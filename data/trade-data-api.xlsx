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and/a5g/github/zerodha-trade/data/"/>
    </mc:Choice>
  </mc:AlternateContent>
  <xr:revisionPtr revIDLastSave="0" documentId="13_ncr:1_{61BD7E48-2562-524F-8706-E0073FBE2090}" xr6:coauthVersionLast="47" xr6:coauthVersionMax="47" xr10:uidLastSave="{00000000-0000-0000-0000-000000000000}"/>
  <bookViews>
    <workbookView xWindow="7740" yWindow="3360" windowWidth="42660" windowHeight="23960" activeTab="2" xr2:uid="{00000000-000D-0000-FFFF-FFFF00000000}"/>
  </bookViews>
  <sheets>
    <sheet name="STOCKS" sheetId="12" r:id="rId1"/>
    <sheet name="STOCKS_OLD" sheetId="1" r:id="rId2"/>
    <sheet name="GTT" sheetId="6" r:id="rId3"/>
    <sheet name="OCO" sheetId="9" r:id="rId4"/>
    <sheet name="ALERT" sheetId="15" r:id="rId5"/>
    <sheet name="OCO_kummi" sheetId="8" r:id="rId6"/>
    <sheet name="LEDGER_ENTRY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I2" i="9"/>
  <c r="H3" i="9"/>
  <c r="I3" i="9"/>
  <c r="H4" i="9"/>
  <c r="I4" i="9"/>
  <c r="H5" i="9"/>
  <c r="I5" i="9"/>
  <c r="H6" i="9"/>
  <c r="I6" i="9"/>
  <c r="H7" i="9"/>
  <c r="I7" i="9"/>
  <c r="H8" i="9"/>
  <c r="I8" i="9"/>
  <c r="H9" i="9"/>
  <c r="I9" i="9"/>
  <c r="H10" i="9"/>
  <c r="I10" i="9"/>
  <c r="H11" i="9"/>
  <c r="I11" i="9"/>
  <c r="H12" i="9"/>
  <c r="I12" i="9"/>
  <c r="H13" i="9"/>
  <c r="I13" i="9"/>
  <c r="H14" i="9"/>
  <c r="I14" i="9"/>
  <c r="H15" i="9"/>
  <c r="I15" i="9"/>
  <c r="P30" i="14"/>
  <c r="Q30" i="14" s="1"/>
  <c r="N30" i="14"/>
  <c r="O30" i="14" s="1"/>
  <c r="L30" i="14"/>
  <c r="M30" i="14" s="1"/>
  <c r="K30" i="14"/>
  <c r="G30" i="14"/>
  <c r="I30" i="14" s="1"/>
  <c r="J30" i="14" s="1"/>
  <c r="Q29" i="14"/>
  <c r="P29" i="14"/>
  <c r="O29" i="14"/>
  <c r="N29" i="14"/>
  <c r="L29" i="14"/>
  <c r="M29" i="14" s="1"/>
  <c r="K29" i="14"/>
  <c r="G29" i="14"/>
  <c r="I29" i="14" s="1"/>
  <c r="J29" i="14" s="1"/>
  <c r="Q28" i="14"/>
  <c r="P28" i="14"/>
  <c r="N28" i="14"/>
  <c r="O28" i="14" s="1"/>
  <c r="L28" i="14"/>
  <c r="M28" i="14" s="1"/>
  <c r="K28" i="14"/>
  <c r="G28" i="14"/>
  <c r="I28" i="14" s="1"/>
  <c r="J28" i="14" s="1"/>
  <c r="P27" i="14"/>
  <c r="Q27" i="14" s="1"/>
  <c r="O27" i="14"/>
  <c r="N27" i="14"/>
  <c r="M27" i="14"/>
  <c r="L27" i="14"/>
  <c r="K27" i="14"/>
  <c r="G27" i="14"/>
  <c r="I27" i="14" s="1"/>
  <c r="J27" i="14" s="1"/>
  <c r="P26" i="14"/>
  <c r="Q26" i="14" s="1"/>
  <c r="O26" i="14"/>
  <c r="N26" i="14"/>
  <c r="L26" i="14"/>
  <c r="M26" i="14" s="1"/>
  <c r="K26" i="14"/>
  <c r="G26" i="14"/>
  <c r="I26" i="14" s="1"/>
  <c r="J26" i="14" s="1"/>
  <c r="P25" i="14"/>
  <c r="Q25" i="14" s="1"/>
  <c r="N25" i="14"/>
  <c r="O25" i="14" s="1"/>
  <c r="M25" i="14"/>
  <c r="L25" i="14"/>
  <c r="K25" i="14"/>
  <c r="G25" i="14"/>
  <c r="I25" i="14" s="1"/>
  <c r="J25" i="14" s="1"/>
  <c r="Q24" i="14"/>
  <c r="P24" i="14"/>
  <c r="N24" i="14"/>
  <c r="O24" i="14" s="1"/>
  <c r="M24" i="14"/>
  <c r="L24" i="14"/>
  <c r="K24" i="14"/>
  <c r="G24" i="14"/>
  <c r="I24" i="14" s="1"/>
  <c r="J24" i="14" s="1"/>
  <c r="P23" i="14"/>
  <c r="Q23" i="14" s="1"/>
  <c r="N23" i="14"/>
  <c r="O23" i="14" s="1"/>
  <c r="L23" i="14"/>
  <c r="M23" i="14" s="1"/>
  <c r="K23" i="14"/>
  <c r="I23" i="14"/>
  <c r="J23" i="14" s="1"/>
  <c r="G23" i="14"/>
  <c r="P22" i="14"/>
  <c r="Q22" i="14" s="1"/>
  <c r="N22" i="14"/>
  <c r="O22" i="14" s="1"/>
  <c r="L22" i="14"/>
  <c r="M22" i="14" s="1"/>
  <c r="K22" i="14"/>
  <c r="G22" i="14"/>
  <c r="I22" i="14" s="1"/>
  <c r="J22" i="14" s="1"/>
  <c r="P21" i="14"/>
  <c r="Q21" i="14" s="1"/>
  <c r="N21" i="14"/>
  <c r="O21" i="14" s="1"/>
  <c r="L21" i="14"/>
  <c r="M21" i="14" s="1"/>
  <c r="K21" i="14"/>
  <c r="J21" i="14"/>
  <c r="I21" i="14"/>
  <c r="G21" i="14"/>
  <c r="Q20" i="14"/>
  <c r="P20" i="14"/>
  <c r="N20" i="14"/>
  <c r="O20" i="14" s="1"/>
  <c r="L20" i="14"/>
  <c r="M20" i="14" s="1"/>
  <c r="K20" i="14"/>
  <c r="I20" i="14"/>
  <c r="J20" i="14" s="1"/>
  <c r="G20" i="14"/>
  <c r="P19" i="14"/>
  <c r="Q19" i="14" s="1"/>
  <c r="N19" i="14"/>
  <c r="O19" i="14" s="1"/>
  <c r="L19" i="14"/>
  <c r="M19" i="14" s="1"/>
  <c r="K19" i="14"/>
  <c r="G19" i="14"/>
  <c r="I19" i="14" s="1"/>
  <c r="J19" i="14" s="1"/>
  <c r="Q18" i="14"/>
  <c r="P18" i="14"/>
  <c r="O18" i="14"/>
  <c r="N18" i="14"/>
  <c r="L18" i="14"/>
  <c r="M18" i="14" s="1"/>
  <c r="K18" i="14"/>
  <c r="G18" i="14"/>
  <c r="I18" i="14" s="1"/>
  <c r="J18" i="14" s="1"/>
  <c r="Q17" i="14"/>
  <c r="P17" i="14"/>
  <c r="N17" i="14"/>
  <c r="O17" i="14" s="1"/>
  <c r="L17" i="14"/>
  <c r="M17" i="14" s="1"/>
  <c r="K17" i="14"/>
  <c r="G17" i="14"/>
  <c r="I17" i="14" s="1"/>
  <c r="J17" i="14" s="1"/>
  <c r="P16" i="14"/>
  <c r="Q16" i="14" s="1"/>
  <c r="O16" i="14"/>
  <c r="N16" i="14"/>
  <c r="M16" i="14"/>
  <c r="L16" i="14"/>
  <c r="K16" i="14"/>
  <c r="G16" i="14"/>
  <c r="I16" i="14" s="1"/>
  <c r="J16" i="14" s="1"/>
  <c r="P15" i="14"/>
  <c r="Q15" i="14" s="1"/>
  <c r="O15" i="14"/>
  <c r="N15" i="14"/>
  <c r="L15" i="14"/>
  <c r="M15" i="14" s="1"/>
  <c r="K15" i="14"/>
  <c r="G15" i="14"/>
  <c r="I15" i="14" s="1"/>
  <c r="J15" i="14" s="1"/>
  <c r="P14" i="14"/>
  <c r="Q14" i="14" s="1"/>
  <c r="N14" i="14"/>
  <c r="O14" i="14" s="1"/>
  <c r="M14" i="14"/>
  <c r="L14" i="14"/>
  <c r="K14" i="14"/>
  <c r="G14" i="14"/>
  <c r="I14" i="14" s="1"/>
  <c r="J14" i="14" s="1"/>
  <c r="P13" i="14"/>
  <c r="Q13" i="14" s="1"/>
  <c r="N13" i="14"/>
  <c r="O13" i="14" s="1"/>
  <c r="M13" i="14"/>
  <c r="L13" i="14"/>
  <c r="K13" i="14"/>
  <c r="G13" i="14"/>
  <c r="I13" i="14" s="1"/>
  <c r="J13" i="14" s="1"/>
  <c r="P12" i="14"/>
  <c r="Q12" i="14" s="1"/>
  <c r="N12" i="14"/>
  <c r="O12" i="14" s="1"/>
  <c r="L12" i="14"/>
  <c r="M12" i="14" s="1"/>
  <c r="K12" i="14"/>
  <c r="I12" i="14"/>
  <c r="J12" i="14" s="1"/>
  <c r="G12" i="14"/>
  <c r="P11" i="14"/>
  <c r="Q11" i="14" s="1"/>
  <c r="N11" i="14"/>
  <c r="O11" i="14" s="1"/>
  <c r="L11" i="14"/>
  <c r="M11" i="14" s="1"/>
  <c r="K11" i="14"/>
  <c r="G11" i="14"/>
  <c r="I11" i="14" s="1"/>
  <c r="J11" i="14" s="1"/>
  <c r="P10" i="14"/>
  <c r="Q10" i="14" s="1"/>
  <c r="N10" i="14"/>
  <c r="O10" i="14" s="1"/>
  <c r="L10" i="14"/>
  <c r="M10" i="14" s="1"/>
  <c r="K10" i="14"/>
  <c r="G10" i="14"/>
  <c r="I10" i="14" s="1"/>
  <c r="J10" i="14" s="1"/>
  <c r="P9" i="14"/>
  <c r="Q9" i="14" s="1"/>
  <c r="N9" i="14"/>
  <c r="O9" i="14" s="1"/>
  <c r="L9" i="14"/>
  <c r="M9" i="14" s="1"/>
  <c r="K9" i="14"/>
  <c r="G9" i="14"/>
  <c r="I9" i="14" s="1"/>
  <c r="J9" i="14" s="1"/>
  <c r="P8" i="14"/>
  <c r="Q8" i="14" s="1"/>
  <c r="N8" i="14"/>
  <c r="O8" i="14" s="1"/>
  <c r="L8" i="14"/>
  <c r="M8" i="14" s="1"/>
  <c r="K8" i="14"/>
  <c r="G8" i="14"/>
  <c r="I8" i="14" s="1"/>
  <c r="J8" i="14" s="1"/>
  <c r="Q7" i="14"/>
  <c r="P7" i="14"/>
  <c r="O7" i="14"/>
  <c r="N7" i="14"/>
  <c r="L7" i="14"/>
  <c r="M7" i="14" s="1"/>
  <c r="K7" i="14"/>
  <c r="G7" i="14"/>
  <c r="I7" i="14" s="1"/>
  <c r="J7" i="14" s="1"/>
  <c r="P6" i="14"/>
  <c r="Q6" i="14" s="1"/>
  <c r="N6" i="14"/>
  <c r="O6" i="14" s="1"/>
  <c r="L6" i="14"/>
  <c r="M6" i="14" s="1"/>
  <c r="K6" i="14"/>
  <c r="G6" i="14"/>
  <c r="I6" i="14" s="1"/>
  <c r="J6" i="14" s="1"/>
  <c r="P5" i="14"/>
  <c r="Q5" i="14" s="1"/>
  <c r="N5" i="14"/>
  <c r="O5" i="14" s="1"/>
  <c r="L5" i="14"/>
  <c r="M5" i="14" s="1"/>
  <c r="K5" i="14"/>
  <c r="G5" i="14"/>
  <c r="I5" i="14" s="1"/>
  <c r="J5" i="14" s="1"/>
  <c r="P4" i="14"/>
  <c r="Q4" i="14" s="1"/>
  <c r="N4" i="14"/>
  <c r="O4" i="14" s="1"/>
  <c r="L4" i="14"/>
  <c r="M4" i="14" s="1"/>
  <c r="K4" i="14"/>
  <c r="G4" i="14"/>
  <c r="I4" i="14" s="1"/>
  <c r="J4" i="14" s="1"/>
  <c r="P3" i="14"/>
  <c r="Q3" i="14" s="1"/>
  <c r="N3" i="14"/>
  <c r="O3" i="14" s="1"/>
  <c r="L3" i="14"/>
  <c r="M3" i="14" s="1"/>
  <c r="K3" i="14"/>
  <c r="G3" i="14"/>
  <c r="I3" i="14" s="1"/>
  <c r="J3" i="14" s="1"/>
  <c r="P2" i="14"/>
  <c r="Q2" i="14" s="1"/>
  <c r="N2" i="14"/>
  <c r="O2" i="14" s="1"/>
  <c r="L2" i="14"/>
  <c r="M2" i="14" s="1"/>
  <c r="K2" i="14"/>
  <c r="G2" i="14"/>
  <c r="I2" i="14" s="1"/>
  <c r="G3" i="6"/>
  <c r="G4" i="6"/>
  <c r="G5" i="6"/>
  <c r="G6" i="6"/>
  <c r="H16" i="9"/>
  <c r="I16" i="9"/>
  <c r="H17" i="9"/>
  <c r="I17" i="9"/>
  <c r="H18" i="9"/>
  <c r="I18" i="9"/>
  <c r="H19" i="9"/>
  <c r="I19" i="9"/>
  <c r="H20" i="9"/>
  <c r="I20" i="9"/>
  <c r="H21" i="9"/>
  <c r="I21" i="9"/>
  <c r="H22" i="9"/>
  <c r="I22" i="9"/>
  <c r="H23" i="9"/>
  <c r="I23" i="9"/>
  <c r="H24" i="9"/>
  <c r="I24" i="9"/>
  <c r="H25" i="9"/>
  <c r="I25" i="9"/>
  <c r="H26" i="9"/>
  <c r="I26" i="9"/>
  <c r="H27" i="9"/>
  <c r="I27" i="9"/>
  <c r="H28" i="9"/>
  <c r="I28" i="9"/>
  <c r="H29" i="9"/>
  <c r="I29" i="9"/>
  <c r="H30" i="9"/>
  <c r="I30" i="9"/>
  <c r="Q42" i="8"/>
  <c r="N42" i="8"/>
  <c r="K42" i="8"/>
  <c r="H42" i="8"/>
  <c r="Q41" i="8"/>
  <c r="N41" i="8"/>
  <c r="K41" i="8"/>
  <c r="H41" i="8"/>
  <c r="Q40" i="8"/>
  <c r="N40" i="8"/>
  <c r="K40" i="8"/>
  <c r="H40" i="8"/>
  <c r="Q39" i="8"/>
  <c r="N39" i="8"/>
  <c r="K39" i="8"/>
  <c r="H39" i="8"/>
  <c r="Q38" i="8"/>
  <c r="N38" i="8"/>
  <c r="K38" i="8"/>
  <c r="H38" i="8"/>
  <c r="Q37" i="8"/>
  <c r="N37" i="8"/>
  <c r="K37" i="8"/>
  <c r="H37" i="8"/>
  <c r="Q36" i="8"/>
  <c r="N36" i="8"/>
  <c r="K36" i="8"/>
  <c r="H36" i="8"/>
  <c r="Q35" i="8"/>
  <c r="N35" i="8"/>
  <c r="K35" i="8"/>
  <c r="H35" i="8"/>
  <c r="Q34" i="8"/>
  <c r="N34" i="8"/>
  <c r="K34" i="8"/>
  <c r="H34" i="8"/>
  <c r="Q33" i="8"/>
  <c r="N33" i="8"/>
  <c r="K33" i="8"/>
  <c r="H33" i="8"/>
  <c r="Q32" i="8"/>
  <c r="N32" i="8"/>
  <c r="K32" i="8"/>
  <c r="H32" i="8"/>
  <c r="Q31" i="8"/>
  <c r="N31" i="8"/>
  <c r="K31" i="8"/>
  <c r="H31" i="8"/>
  <c r="Q30" i="8"/>
  <c r="N30" i="8"/>
  <c r="K30" i="8"/>
  <c r="H30" i="8"/>
  <c r="Q29" i="8"/>
  <c r="N29" i="8"/>
  <c r="K29" i="8"/>
  <c r="H29" i="8"/>
  <c r="Q28" i="8"/>
  <c r="N28" i="8"/>
  <c r="K28" i="8"/>
  <c r="H28" i="8"/>
  <c r="Q27" i="8"/>
  <c r="N27" i="8"/>
  <c r="K27" i="8"/>
  <c r="H27" i="8"/>
  <c r="Q26" i="8"/>
  <c r="N26" i="8"/>
  <c r="K26" i="8"/>
  <c r="H26" i="8"/>
  <c r="Q25" i="8"/>
  <c r="N25" i="8"/>
  <c r="K25" i="8"/>
  <c r="H25" i="8"/>
  <c r="Q24" i="8"/>
  <c r="N24" i="8"/>
  <c r="K24" i="8"/>
  <c r="H24" i="8"/>
  <c r="Q23" i="8"/>
  <c r="N23" i="8"/>
  <c r="K23" i="8"/>
  <c r="H23" i="8"/>
  <c r="Q22" i="8"/>
  <c r="N22" i="8"/>
  <c r="K22" i="8"/>
  <c r="H22" i="8"/>
  <c r="Q21" i="8"/>
  <c r="N21" i="8"/>
  <c r="K21" i="8"/>
  <c r="H21" i="8"/>
  <c r="Q20" i="8"/>
  <c r="N20" i="8"/>
  <c r="K20" i="8"/>
  <c r="H20" i="8"/>
  <c r="Q19" i="8"/>
  <c r="N19" i="8"/>
  <c r="K19" i="8"/>
  <c r="H19" i="8"/>
  <c r="Q18" i="8"/>
  <c r="N18" i="8"/>
  <c r="K18" i="8"/>
  <c r="H18" i="8"/>
  <c r="Q17" i="8"/>
  <c r="N17" i="8"/>
  <c r="K17" i="8"/>
  <c r="H17" i="8"/>
  <c r="Q16" i="8"/>
  <c r="N16" i="8"/>
  <c r="K16" i="8"/>
  <c r="H16" i="8"/>
  <c r="Q15" i="8"/>
  <c r="N15" i="8"/>
  <c r="K15" i="8"/>
  <c r="H15" i="8"/>
  <c r="Q14" i="8"/>
  <c r="N14" i="8"/>
  <c r="K14" i="8"/>
  <c r="H14" i="8"/>
  <c r="Q13" i="8"/>
  <c r="N13" i="8"/>
  <c r="K13" i="8"/>
  <c r="H13" i="8"/>
  <c r="Q12" i="8"/>
  <c r="N12" i="8"/>
  <c r="K12" i="8"/>
  <c r="H12" i="8"/>
  <c r="Q11" i="8"/>
  <c r="N11" i="8"/>
  <c r="K11" i="8"/>
  <c r="H11" i="8"/>
  <c r="Q10" i="8"/>
  <c r="N10" i="8"/>
  <c r="K10" i="8"/>
  <c r="H10" i="8"/>
  <c r="Q9" i="8"/>
  <c r="N9" i="8"/>
  <c r="K9" i="8"/>
  <c r="H9" i="8"/>
  <c r="Q8" i="8"/>
  <c r="N8" i="8"/>
  <c r="K8" i="8"/>
  <c r="H8" i="8"/>
  <c r="Q7" i="8"/>
  <c r="N7" i="8"/>
  <c r="K7" i="8"/>
  <c r="H7" i="8"/>
  <c r="Q6" i="8"/>
  <c r="N6" i="8"/>
  <c r="K6" i="8"/>
  <c r="H6" i="8"/>
  <c r="Q5" i="8"/>
  <c r="N5" i="8"/>
  <c r="K5" i="8"/>
  <c r="H5" i="8"/>
  <c r="Q4" i="8"/>
  <c r="N4" i="8"/>
  <c r="K4" i="8"/>
  <c r="H4" i="8"/>
  <c r="Q3" i="8"/>
  <c r="N3" i="8"/>
  <c r="K3" i="8"/>
  <c r="H3" i="8"/>
  <c r="S2" i="14" l="1"/>
  <c r="J2" i="14"/>
  <c r="G20" i="6"/>
  <c r="I20" i="6" s="1"/>
  <c r="J20" i="6" s="1"/>
  <c r="K20" i="6"/>
  <c r="L20" i="6"/>
  <c r="M20" i="6" s="1"/>
  <c r="N20" i="6"/>
  <c r="O20" i="6" s="1"/>
  <c r="P20" i="6"/>
  <c r="Q20" i="6" s="1"/>
  <c r="G21" i="6"/>
  <c r="I21" i="6" s="1"/>
  <c r="J21" i="6" s="1"/>
  <c r="K21" i="6"/>
  <c r="L21" i="6"/>
  <c r="M21" i="6" s="1"/>
  <c r="N21" i="6"/>
  <c r="O21" i="6" s="1"/>
  <c r="P21" i="6"/>
  <c r="Q21" i="6" s="1"/>
  <c r="G22" i="6"/>
  <c r="I22" i="6" s="1"/>
  <c r="J22" i="6" s="1"/>
  <c r="K22" i="6"/>
  <c r="L22" i="6"/>
  <c r="M22" i="6" s="1"/>
  <c r="N22" i="6"/>
  <c r="O22" i="6" s="1"/>
  <c r="P22" i="6"/>
  <c r="Q22" i="6" s="1"/>
  <c r="G23" i="6"/>
  <c r="I23" i="6" s="1"/>
  <c r="J23" i="6" s="1"/>
  <c r="K23" i="6"/>
  <c r="L23" i="6"/>
  <c r="M23" i="6" s="1"/>
  <c r="N23" i="6"/>
  <c r="O23" i="6" s="1"/>
  <c r="P23" i="6"/>
  <c r="Q23" i="6" s="1"/>
  <c r="G24" i="6"/>
  <c r="I24" i="6"/>
  <c r="J24" i="6" s="1"/>
  <c r="K24" i="6"/>
  <c r="L24" i="6"/>
  <c r="M24" i="6" s="1"/>
  <c r="N24" i="6"/>
  <c r="O24" i="6" s="1"/>
  <c r="P24" i="6"/>
  <c r="Q24" i="6"/>
  <c r="G25" i="6"/>
  <c r="I25" i="6"/>
  <c r="J25" i="6" s="1"/>
  <c r="K25" i="6"/>
  <c r="L25" i="6"/>
  <c r="M25" i="6" s="1"/>
  <c r="N25" i="6"/>
  <c r="O25" i="6" s="1"/>
  <c r="P25" i="6"/>
  <c r="Q25" i="6" s="1"/>
  <c r="G26" i="6"/>
  <c r="I26" i="6"/>
  <c r="J26" i="6"/>
  <c r="K26" i="6"/>
  <c r="L26" i="6"/>
  <c r="M26" i="6" s="1"/>
  <c r="N26" i="6"/>
  <c r="O26" i="6"/>
  <c r="P26" i="6"/>
  <c r="Q26" i="6" s="1"/>
  <c r="G27" i="6"/>
  <c r="I27" i="6" s="1"/>
  <c r="J27" i="6" s="1"/>
  <c r="K27" i="6"/>
  <c r="L27" i="6"/>
  <c r="M27" i="6" s="1"/>
  <c r="N27" i="6"/>
  <c r="O27" i="6" s="1"/>
  <c r="P27" i="6"/>
  <c r="Q27" i="6"/>
  <c r="G28" i="6"/>
  <c r="I28" i="6"/>
  <c r="J28" i="6"/>
  <c r="K28" i="6"/>
  <c r="L28" i="6"/>
  <c r="M28" i="6" s="1"/>
  <c r="N28" i="6"/>
  <c r="O28" i="6" s="1"/>
  <c r="P28" i="6"/>
  <c r="Q28" i="6" s="1"/>
  <c r="G29" i="6"/>
  <c r="I29" i="6" s="1"/>
  <c r="J29" i="6" s="1"/>
  <c r="K29" i="6"/>
  <c r="L29" i="6"/>
  <c r="M29" i="6" s="1"/>
  <c r="N29" i="6"/>
  <c r="O29" i="6" s="1"/>
  <c r="P29" i="6"/>
  <c r="Q29" i="6" s="1"/>
  <c r="G30" i="6"/>
  <c r="I30" i="6" s="1"/>
  <c r="K30" i="6"/>
  <c r="L7" i="6"/>
  <c r="M7" i="6" s="1"/>
  <c r="N7" i="6"/>
  <c r="O7" i="6" s="1"/>
  <c r="P7" i="6"/>
  <c r="Q7" i="6" s="1"/>
  <c r="L8" i="6"/>
  <c r="M8" i="6" s="1"/>
  <c r="N8" i="6"/>
  <c r="O8" i="6" s="1"/>
  <c r="P8" i="6"/>
  <c r="Q8" i="6" s="1"/>
  <c r="L9" i="6"/>
  <c r="M9" i="6" s="1"/>
  <c r="N9" i="6"/>
  <c r="O9" i="6" s="1"/>
  <c r="P9" i="6"/>
  <c r="Q9" i="6" s="1"/>
  <c r="L10" i="6"/>
  <c r="M10" i="6" s="1"/>
  <c r="N10" i="6"/>
  <c r="O10" i="6" s="1"/>
  <c r="P10" i="6"/>
  <c r="Q10" i="6" s="1"/>
  <c r="L11" i="6"/>
  <c r="M11" i="6" s="1"/>
  <c r="N11" i="6"/>
  <c r="O11" i="6" s="1"/>
  <c r="P11" i="6"/>
  <c r="Q11" i="6" s="1"/>
  <c r="L12" i="6"/>
  <c r="M12" i="6" s="1"/>
  <c r="N12" i="6"/>
  <c r="O12" i="6" s="1"/>
  <c r="P12" i="6"/>
  <c r="Q12" i="6" s="1"/>
  <c r="L13" i="6"/>
  <c r="M13" i="6" s="1"/>
  <c r="N13" i="6"/>
  <c r="O13" i="6" s="1"/>
  <c r="P13" i="6"/>
  <c r="Q13" i="6" s="1"/>
  <c r="L14" i="6"/>
  <c r="M14" i="6" s="1"/>
  <c r="N14" i="6"/>
  <c r="O14" i="6" s="1"/>
  <c r="P14" i="6"/>
  <c r="Q14" i="6" s="1"/>
  <c r="L15" i="6"/>
  <c r="M15" i="6" s="1"/>
  <c r="N15" i="6"/>
  <c r="O15" i="6" s="1"/>
  <c r="P15" i="6"/>
  <c r="Q15" i="6" s="1"/>
  <c r="L16" i="6"/>
  <c r="M16" i="6" s="1"/>
  <c r="N16" i="6"/>
  <c r="O16" i="6" s="1"/>
  <c r="P16" i="6"/>
  <c r="Q16" i="6" s="1"/>
  <c r="L17" i="6"/>
  <c r="M17" i="6" s="1"/>
  <c r="N17" i="6"/>
  <c r="O17" i="6"/>
  <c r="P17" i="6"/>
  <c r="Q17" i="6" s="1"/>
  <c r="L18" i="6"/>
  <c r="M18" i="6" s="1"/>
  <c r="N18" i="6"/>
  <c r="O18" i="6" s="1"/>
  <c r="P18" i="6"/>
  <c r="Q18" i="6" s="1"/>
  <c r="L19" i="6"/>
  <c r="M19" i="6" s="1"/>
  <c r="N19" i="6"/>
  <c r="O19" i="6" s="1"/>
  <c r="P19" i="6"/>
  <c r="Q19" i="6" s="1"/>
  <c r="I18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" i="6"/>
  <c r="G19" i="6"/>
  <c r="I19" i="6" s="1"/>
  <c r="G18" i="6"/>
  <c r="G17" i="6"/>
  <c r="I17" i="6" s="1"/>
  <c r="G16" i="6"/>
  <c r="I16" i="6" s="1"/>
  <c r="G15" i="6"/>
  <c r="I15" i="6" s="1"/>
  <c r="G14" i="6"/>
  <c r="I14" i="6" s="1"/>
  <c r="G13" i="6"/>
  <c r="I13" i="6" s="1"/>
  <c r="G12" i="6"/>
  <c r="I12" i="6" s="1"/>
  <c r="G11" i="6"/>
  <c r="I11" i="6" s="1"/>
  <c r="G10" i="6"/>
  <c r="I10" i="6" s="1"/>
  <c r="G9" i="6"/>
  <c r="I9" i="6" s="1"/>
  <c r="G8" i="6"/>
  <c r="I8" i="6" s="1"/>
  <c r="G7" i="6"/>
  <c r="I7" i="6" s="1"/>
  <c r="I6" i="6"/>
  <c r="L6" i="6" s="1"/>
  <c r="M6" i="6" s="1"/>
  <c r="I5" i="6"/>
  <c r="L5" i="6" s="1"/>
  <c r="M5" i="6" s="1"/>
  <c r="I4" i="6"/>
  <c r="L4" i="6" s="1"/>
  <c r="M4" i="6" s="1"/>
  <c r="I3" i="6"/>
  <c r="L3" i="6" s="1"/>
  <c r="M3" i="6" s="1"/>
  <c r="G2" i="6"/>
  <c r="I2" i="6" s="1"/>
  <c r="P2" i="6" s="1"/>
  <c r="Q2" i="6" s="1"/>
  <c r="J30" i="6" l="1"/>
  <c r="L30" i="6"/>
  <c r="M30" i="6" s="1"/>
  <c r="N30" i="6"/>
  <c r="O30" i="6" s="1"/>
  <c r="P30" i="6"/>
  <c r="Q30" i="6" s="1"/>
  <c r="P6" i="6"/>
  <c r="Q6" i="6" s="1"/>
  <c r="N6" i="6"/>
  <c r="O6" i="6" s="1"/>
  <c r="P5" i="6"/>
  <c r="Q5" i="6" s="1"/>
  <c r="N5" i="6"/>
  <c r="O5" i="6" s="1"/>
  <c r="P4" i="6"/>
  <c r="Q4" i="6" s="1"/>
  <c r="N4" i="6"/>
  <c r="O4" i="6" s="1"/>
  <c r="P3" i="6"/>
  <c r="Q3" i="6" s="1"/>
  <c r="N3" i="6"/>
  <c r="O3" i="6" s="1"/>
  <c r="L2" i="6"/>
  <c r="M2" i="6" s="1"/>
  <c r="N2" i="6"/>
  <c r="O2" i="6" s="1"/>
  <c r="J2" i="6"/>
  <c r="J4" i="6"/>
  <c r="J15" i="6"/>
  <c r="J9" i="6"/>
  <c r="J14" i="6"/>
  <c r="J6" i="6"/>
  <c r="J17" i="6"/>
  <c r="J3" i="6"/>
  <c r="J18" i="6"/>
  <c r="J13" i="6"/>
  <c r="J16" i="6"/>
  <c r="J10" i="6"/>
  <c r="J5" i="6"/>
  <c r="J7" i="6"/>
  <c r="J11" i="6"/>
  <c r="J8" i="6"/>
  <c r="J19" i="6"/>
  <c r="J12" i="6"/>
</calcChain>
</file>

<file path=xl/sharedStrings.xml><?xml version="1.0" encoding="utf-8"?>
<sst xmlns="http://schemas.openxmlformats.org/spreadsheetml/2006/main" count="12262" uniqueCount="8486">
  <si>
    <t>20MICRONS</t>
  </si>
  <si>
    <t>360ONE</t>
  </si>
  <si>
    <t>3IINFOLTD</t>
  </si>
  <si>
    <t>3MINDIA</t>
  </si>
  <si>
    <t>5PAISA</t>
  </si>
  <si>
    <t>63MOONS</t>
  </si>
  <si>
    <t>AADHARHFC</t>
  </si>
  <si>
    <t>AARTIDRUGS</t>
  </si>
  <si>
    <t>AARTIIND</t>
  </si>
  <si>
    <t>AARTIPHARM</t>
  </si>
  <si>
    <t>AARTISURF</t>
  </si>
  <si>
    <t>AAVAS</t>
  </si>
  <si>
    <t>ABB</t>
  </si>
  <si>
    <t>ABBOTINDIA</t>
  </si>
  <si>
    <t>ABCAPITAL</t>
  </si>
  <si>
    <t>ABDL</t>
  </si>
  <si>
    <t>ABFRL</t>
  </si>
  <si>
    <t>ABSLAMC</t>
  </si>
  <si>
    <t>ABSMARINE</t>
  </si>
  <si>
    <t>ACC</t>
  </si>
  <si>
    <t>ACCELYA</t>
  </si>
  <si>
    <t>ACCENTMIC</t>
  </si>
  <si>
    <t>ACE</t>
  </si>
  <si>
    <t>ACI</t>
  </si>
  <si>
    <t>ACL</t>
  </si>
  <si>
    <t>ACLGATI</t>
  </si>
  <si>
    <t>ADANIENSOL</t>
  </si>
  <si>
    <t>ADANIENT</t>
  </si>
  <si>
    <t>ADANIGREEN</t>
  </si>
  <si>
    <t>ADANIPORTS</t>
  </si>
  <si>
    <t>ADANIPOWER</t>
  </si>
  <si>
    <t>ADFFOODS</t>
  </si>
  <si>
    <t>ADSL</t>
  </si>
  <si>
    <t>ADVANIHOTR</t>
  </si>
  <si>
    <t>ADVENZYMES</t>
  </si>
  <si>
    <t>AEGISLOG</t>
  </si>
  <si>
    <t>AEROFLEX</t>
  </si>
  <si>
    <t>AETHER</t>
  </si>
  <si>
    <t>AFFLE</t>
  </si>
  <si>
    <t>AGARIND</t>
  </si>
  <si>
    <t>AGI</t>
  </si>
  <si>
    <t>AGIIL</t>
  </si>
  <si>
    <t>AGSTRA</t>
  </si>
  <si>
    <t>AHLUCONT</t>
  </si>
  <si>
    <t>AIAENG</t>
  </si>
  <si>
    <t>AIIL</t>
  </si>
  <si>
    <t>AIMTRON</t>
  </si>
  <si>
    <t>AJANTPHARM</t>
  </si>
  <si>
    <t>AJMERA</t>
  </si>
  <si>
    <t>AKZOINDIA</t>
  </si>
  <si>
    <t>ALANKIT</t>
  </si>
  <si>
    <t>ALBERTDAVD</t>
  </si>
  <si>
    <t>ALEMBICLTD</t>
  </si>
  <si>
    <t>ALICON</t>
  </si>
  <si>
    <t>ALKEM</t>
  </si>
  <si>
    <t>ALKYLAMINE</t>
  </si>
  <si>
    <t>ALLCARGO</t>
  </si>
  <si>
    <t>ALLETEC</t>
  </si>
  <si>
    <t>ALOKINDS</t>
  </si>
  <si>
    <t>ALPEXSOLAR</t>
  </si>
  <si>
    <t>AMBER</t>
  </si>
  <si>
    <t>AMBIKCO</t>
  </si>
  <si>
    <t>AMBUJACEM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</si>
  <si>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</si>
  <si>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</si>
  <si>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</si>
  <si>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</si>
  <si>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</si>
  <si>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</si>
  <si>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</si>
  <si>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ANNAPURNA</t>
  </si>
  <si>
    <t>ANUHPHR</t>
  </si>
  <si>
    <t>ANUP</t>
  </si>
  <si>
    <t>ANURAS</t>
  </si>
  <si>
    <t>ANZEN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</si>
  <si>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</si>
  <si>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</si>
  <si>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</si>
  <si>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</si>
  <si>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</si>
  <si>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</si>
  <si>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</si>
  <si>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</si>
  <si>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</si>
  <si>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</si>
  <si>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APS</t>
  </si>
  <si>
    <t>APTECHT</t>
  </si>
  <si>
    <t>APTUS</t>
  </si>
  <si>
    <t>ARE&amp;M</t>
  </si>
  <si>
    <t>ARFIN</t>
  </si>
  <si>
    <t>ARIHANTCAP</t>
  </si>
  <si>
    <t>ARIHANTSUP</t>
  </si>
  <si>
    <t>ARMANFIN</t>
  </si>
  <si>
    <t>ARROWGREEN</t>
  </si>
  <si>
    <t>ARTEMISMED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</si>
  <si>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</si>
  <si>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</si>
  <si>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</si>
  <si>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</si>
  <si>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</si>
  <si>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</si>
  <si>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</si>
  <si>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</si>
  <si>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</si>
  <si>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ASHIMASYN</t>
  </si>
  <si>
    <t>ASHOKA</t>
  </si>
  <si>
    <t>ASHOKLEY</t>
  </si>
  <si>
    <t>ASIANENE</t>
  </si>
  <si>
    <t>ASIANPAINT</t>
  </si>
  <si>
    <t>ASIANTILES</t>
  </si>
  <si>
    <t>ASKAUTOLTD</t>
  </si>
  <si>
    <t>ASMS</t>
  </si>
  <si>
    <t>ASTEC</t>
  </si>
  <si>
    <t>ASTERDM</t>
  </si>
  <si>
    <t>ASTRAL</t>
  </si>
  <si>
    <t>ASTRAMICRO</t>
  </si>
  <si>
    <t>ASTRAZEN</t>
  </si>
  <si>
    <t>ATGL</t>
  </si>
  <si>
    <t>ATL</t>
  </si>
  <si>
    <t>ATMASTCO</t>
  </si>
  <si>
    <t>ATUL</t>
  </si>
  <si>
    <t>ATULAUTO</t>
  </si>
  <si>
    <t>AUBANK</t>
  </si>
  <si>
    <t>AURIONPRO</t>
  </si>
  <si>
    <t>AUROPHARMA</t>
  </si>
  <si>
    <t>AURUM</t>
  </si>
  <si>
    <t>AUTOAXLES</t>
  </si>
  <si>
    <t>AUTOIND</t>
  </si>
  <si>
    <t>AVADHSUGAR</t>
  </si>
  <si>
    <t>AVALON</t>
  </si>
  <si>
    <t>AVANTEL</t>
  </si>
  <si>
    <t>AVANTIFEED</t>
  </si>
  <si>
    <t>AVG</t>
  </si>
  <si>
    <t>AVL</t>
  </si>
  <si>
    <t>AVTNPL</t>
  </si>
  <si>
    <t>AWFIS</t>
  </si>
  <si>
    <t>AWHCL</t>
  </si>
  <si>
    <t>AWL</t>
  </si>
  <si>
    <t>AXISBANK</t>
  </si>
  <si>
    <t>AXISCADES</t>
  </si>
  <si>
    <t>AXITA</t>
  </si>
  <si>
    <t>AYMSYNTEX</t>
  </si>
  <si>
    <t>AZAD</t>
  </si>
  <si>
    <t>BAJAJ-AUTO</t>
  </si>
  <si>
    <t>BAJAJCON</t>
  </si>
  <si>
    <t>BAJAJELEC</t>
  </si>
  <si>
    <t>BAJAJFINSV</t>
  </si>
  <si>
    <t>BAJAJHCARE</t>
  </si>
  <si>
    <t>BAJAJHIND</t>
  </si>
  <si>
    <t>BAJAJHLDNG</t>
  </si>
  <si>
    <t>BAJEL</t>
  </si>
  <si>
    <t>BAJFINANCE</t>
  </si>
  <si>
    <t>BALAJITELE</t>
  </si>
  <si>
    <t>BALAMINES</t>
  </si>
  <si>
    <t>BALAXI</t>
  </si>
  <si>
    <t>BALKRISIND</t>
  </si>
  <si>
    <t>BALMLAWRIE</t>
  </si>
  <si>
    <t>BALRAMCHIN</t>
  </si>
  <si>
    <t>BALUFORGE</t>
  </si>
  <si>
    <t>BANARISUG</t>
  </si>
  <si>
    <t>BANCOINDIA</t>
  </si>
  <si>
    <t>BANDHANBNK</t>
  </si>
  <si>
    <t>BANKBARODA</t>
  </si>
  <si>
    <t>BANKINDIA</t>
  </si>
  <si>
    <t>BANSWRAS</t>
  </si>
  <si>
    <t>BARBEQUE</t>
  </si>
  <si>
    <t>BASF</t>
  </si>
  <si>
    <t>BASILIC</t>
  </si>
  <si>
    <t>BATAINDIA</t>
  </si>
  <si>
    <t>BAYERCROP</t>
  </si>
  <si>
    <t>BBL</t>
  </si>
  <si>
    <t>BBOX</t>
  </si>
  <si>
    <t>BBTC</t>
  </si>
  <si>
    <t>BBTCL</t>
  </si>
  <si>
    <t>BCG</t>
  </si>
  <si>
    <t>BCLIND</t>
  </si>
  <si>
    <t>BCONCEPTS</t>
  </si>
  <si>
    <t>BDL</t>
  </si>
  <si>
    <t>BECTORFOOD</t>
  </si>
  <si>
    <t>BEDMUTHA</t>
  </si>
  <si>
    <t>BEL</t>
  </si>
  <si>
    <t>BEML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</si>
  <si>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</si>
  <si>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</si>
  <si>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</si>
  <si>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</si>
  <si>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</si>
  <si>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</si>
  <si>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</si>
  <si>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</si>
  <si>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BHARATFORG</t>
  </si>
  <si>
    <t>BHARATRAS</t>
  </si>
  <si>
    <t>BHARATWIRE</t>
  </si>
  <si>
    <t>BHARTIARTL</t>
  </si>
  <si>
    <t>BHARTIHEXA</t>
  </si>
  <si>
    <t>BHEL</t>
  </si>
  <si>
    <t>BIGBLOC</t>
  </si>
  <si>
    <t>BIKAJI</t>
  </si>
  <si>
    <t>BIL</t>
  </si>
  <si>
    <t>BIOCON</t>
  </si>
  <si>
    <t>BIRET</t>
  </si>
  <si>
    <t>BIRLACABLE</t>
  </si>
  <si>
    <t>BIRLACORPN</t>
  </si>
  <si>
    <t>BIRLAMONEY</t>
  </si>
  <si>
    <t>BLAL</t>
  </si>
  <si>
    <t>BLISSGVS</t>
  </si>
  <si>
    <t>BLKASHYAP</t>
  </si>
  <si>
    <t>BLS</t>
  </si>
  <si>
    <t>BLSE</t>
  </si>
  <si>
    <t>BLUEDART</t>
  </si>
  <si>
    <t>BLUEJET</t>
  </si>
  <si>
    <t>BLUESTARCO</t>
  </si>
  <si>
    <t>BODALCHEM</t>
  </si>
  <si>
    <t>BOMDYEING</t>
  </si>
  <si>
    <t>BOROLTD</t>
  </si>
  <si>
    <t>BORORENEW</t>
  </si>
  <si>
    <t>BOROSCI</t>
  </si>
  <si>
    <t>BOSCHLTD</t>
  </si>
  <si>
    <t>BPCL</t>
  </si>
  <si>
    <t>BPL</t>
  </si>
  <si>
    <t>BRIGADE</t>
  </si>
  <si>
    <t>BRITANNIA</t>
  </si>
  <si>
    <t>BSE</t>
  </si>
  <si>
    <t>BSHSL</t>
  </si>
  <si>
    <t>BSOFT</t>
  </si>
  <si>
    <t>BUTTERFLY</t>
  </si>
  <si>
    <t>CAMLINFINE</t>
  </si>
  <si>
    <t>CAMPUS</t>
  </si>
  <si>
    <t>CAMS</t>
  </si>
  <si>
    <t>CANBK</t>
  </si>
  <si>
    <t>CANFINHOME</t>
  </si>
  <si>
    <t>CANTABIL</t>
  </si>
  <si>
    <t>CAPACITE</t>
  </si>
  <si>
    <t>CAPITALSFB</t>
  </si>
  <si>
    <t>CAPLIPOINT</t>
  </si>
  <si>
    <t>CARBORUNIV</t>
  </si>
  <si>
    <t>CARERATING</t>
  </si>
  <si>
    <t>CARTRADE</t>
  </si>
  <si>
    <t>CARYSIL</t>
  </si>
  <si>
    <t>CASTROLIND</t>
  </si>
  <si>
    <t>CCL</t>
  </si>
  <si>
    <t>CDSL</t>
  </si>
  <si>
    <t>CEATLTD</t>
  </si>
  <si>
    <t>CELLECOR</t>
  </si>
  <si>
    <t>CELLO</t>
  </si>
  <si>
    <t>CENTENKA</t>
  </si>
  <si>
    <t>CENTRALBK</t>
  </si>
  <si>
    <t>CENTRUM</t>
  </si>
  <si>
    <t>CENTUM</t>
  </si>
  <si>
    <t>CENTURYPLY</t>
  </si>
  <si>
    <t>CERA</t>
  </si>
  <si>
    <t>CESC</t>
  </si>
  <si>
    <t>CGCL</t>
  </si>
  <si>
    <t>CGPOWER</t>
  </si>
  <si>
    <t>CHALET</t>
  </si>
  <si>
    <t>CHAMBLFERT</t>
  </si>
  <si>
    <t>CHEMBOND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</si>
  <si>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</si>
  <si>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</si>
  <si>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</si>
  <si>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</si>
  <si>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</si>
  <si>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</si>
  <si>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</si>
  <si>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</si>
  <si>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</si>
  <si>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CIGNITITEC</t>
  </si>
  <si>
    <t>CIPLA</t>
  </si>
  <si>
    <t>CLEAN</t>
  </si>
  <si>
    <t>CLSEL</t>
  </si>
  <si>
    <t>CMSINFO</t>
  </si>
  <si>
    <t>COALINDIA</t>
  </si>
  <si>
    <t>COCHINSHIP</t>
  </si>
  <si>
    <t>COFFEEDAY</t>
  </si>
  <si>
    <t>COFORGE</t>
  </si>
  <si>
    <t>COLPAL</t>
  </si>
  <si>
    <t>CONCOR</t>
  </si>
  <si>
    <t>CONCORDBIO</t>
  </si>
  <si>
    <t>CONFIPET</t>
  </si>
  <si>
    <t>CONSOFINVT</t>
  </si>
  <si>
    <t>CONTROLPR</t>
  </si>
  <si>
    <t>COROMANDEL</t>
  </si>
  <si>
    <t>COSMOFIRST</t>
  </si>
  <si>
    <t>CRAFTSMAN</t>
  </si>
  <si>
    <t>CREATIVE</t>
  </si>
  <si>
    <t>CREDITACC</t>
  </si>
  <si>
    <t>CREST</t>
  </si>
  <si>
    <t>CRISIL</t>
  </si>
  <si>
    <t>CROMPTON</t>
  </si>
  <si>
    <t>CSBBANK</t>
  </si>
  <si>
    <t>CSLFINANCE</t>
  </si>
  <si>
    <t>CUB</t>
  </si>
  <si>
    <t>CUMMINSIND</t>
  </si>
  <si>
    <t>CUPID</t>
  </si>
  <si>
    <t>CYBERTECH</t>
  </si>
  <si>
    <t>CYIENT</t>
  </si>
  <si>
    <t>CYIENTDLM</t>
  </si>
  <si>
    <t>DABUR</t>
  </si>
  <si>
    <t>DALBHARAT</t>
  </si>
  <si>
    <t>DALMIASUG</t>
  </si>
  <si>
    <t>DATAMATICS</t>
  </si>
  <si>
    <t>DATAPATTNS</t>
  </si>
  <si>
    <t>DAVANGERE</t>
  </si>
  <si>
    <t>DBCORP</t>
  </si>
  <si>
    <t>DBL</t>
  </si>
  <si>
    <t>DBOL</t>
  </si>
  <si>
    <t>DBREALTY</t>
  </si>
  <si>
    <t>DCAL</t>
  </si>
  <si>
    <t>DCBBANK</t>
  </si>
  <si>
    <t>DCMNVL</t>
  </si>
  <si>
    <t>DCMSHRIRAM</t>
  </si>
  <si>
    <t>DCMSRIND</t>
  </si>
  <si>
    <t>DCW</t>
  </si>
  <si>
    <t>DCXINDIA</t>
  </si>
  <si>
    <t>DECCANCE</t>
  </si>
  <si>
    <t>DEEDEV</t>
  </si>
  <si>
    <t>DEEPAKFERT</t>
  </si>
  <si>
    <t>DEEPAKNTR</t>
  </si>
  <si>
    <t>DEEPINDS</t>
  </si>
  <si>
    <t>DELHIVERY</t>
  </si>
  <si>
    <t>DELTACORP</t>
  </si>
  <si>
    <t>DEN</t>
  </si>
  <si>
    <t>DENORA</t>
  </si>
  <si>
    <t>DENTALKART</t>
  </si>
  <si>
    <t>DEVYANI</t>
  </si>
  <si>
    <t>DHAMPURSUG</t>
  </si>
  <si>
    <t>DHANBANK</t>
  </si>
  <si>
    <t>DHANI</t>
  </si>
  <si>
    <t>DHANUKA</t>
  </si>
  <si>
    <t>DHARMAJ</t>
  </si>
  <si>
    <t>DHUNINV</t>
  </si>
  <si>
    <t>DIACABS</t>
  </si>
  <si>
    <t>DIAMINESQ</t>
  </si>
  <si>
    <t>DIAMONDYD</t>
  </si>
  <si>
    <t>DIGISPICE</t>
  </si>
  <si>
    <t>DISHTV</t>
  </si>
  <si>
    <t>DIVGIITTS</t>
  </si>
  <si>
    <t>DIVISLAB</t>
  </si>
  <si>
    <t>DIXON</t>
  </si>
  <si>
    <t>DLF</t>
  </si>
  <si>
    <t>DLINKINDIA</t>
  </si>
  <si>
    <t>DMART</t>
  </si>
  <si>
    <t>DMCC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</si>
  <si>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</si>
  <si>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</si>
  <si>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</si>
  <si>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</si>
  <si>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</si>
  <si>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</si>
  <si>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</si>
  <si>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</si>
  <si>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</si>
  <si>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DREAMFOLKS</t>
  </si>
  <si>
    <t>DREDGECORP</t>
  </si>
  <si>
    <t>DRONE</t>
  </si>
  <si>
    <t>DRREDDY</t>
  </si>
  <si>
    <t>DSSL</t>
  </si>
  <si>
    <t>DVL</t>
  </si>
  <si>
    <t>DWARKESH</t>
  </si>
  <si>
    <t>DYCL</t>
  </si>
  <si>
    <t>DYNAMATECH</t>
  </si>
  <si>
    <t>E2E</t>
  </si>
  <si>
    <t>EASEMYTRIP</t>
  </si>
  <si>
    <t>ECLERX</t>
  </si>
  <si>
    <t>EDELWEISS</t>
  </si>
  <si>
    <t>EICHERMOT</t>
  </si>
  <si>
    <t>EIDPARRY</t>
  </si>
  <si>
    <t>EIHAHOTELS</t>
  </si>
  <si>
    <t>EIHOTEL</t>
  </si>
  <si>
    <t>EIMCOELECO</t>
  </si>
  <si>
    <t>EKC</t>
  </si>
  <si>
    <t>ELDEHSG</t>
  </si>
  <si>
    <t>ELECON</t>
  </si>
  <si>
    <t>ELECTCAST</t>
  </si>
  <si>
    <t>ELECTHERM</t>
  </si>
  <si>
    <t>ELGIEQUIP</t>
  </si>
  <si>
    <t>ELIN</t>
  </si>
  <si>
    <t>EMAMILTD</t>
  </si>
  <si>
    <t>EMAMIPAP</t>
  </si>
  <si>
    <t>EMBASSY</t>
  </si>
  <si>
    <t>EMIL</t>
  </si>
  <si>
    <t>EMKAYTOOLS</t>
  </si>
  <si>
    <t>EMSLIMITED</t>
  </si>
  <si>
    <t>EMUDHRA</t>
  </si>
  <si>
    <t>ENDURANCE</t>
  </si>
  <si>
    <t>ENGINERSIN</t>
  </si>
  <si>
    <t>ENIL</t>
  </si>
  <si>
    <t>ENTERO</t>
  </si>
  <si>
    <t>EPACK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</si>
  <si>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</si>
  <si>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</si>
  <si>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</si>
  <si>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</si>
  <si>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</si>
  <si>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</si>
  <si>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</si>
  <si>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</si>
  <si>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ESTER</t>
  </si>
  <si>
    <t>ETHOSLTD</t>
  </si>
  <si>
    <t>EUROBOND</t>
  </si>
  <si>
    <t>EVEREADY</t>
  </si>
  <si>
    <t>EVERESTIND</t>
  </si>
  <si>
    <t>EXCELINDUS</t>
  </si>
  <si>
    <t>EXICOM</t>
  </si>
  <si>
    <t>EXIDEIND</t>
  </si>
  <si>
    <t>EXPLEOSOL</t>
  </si>
  <si>
    <t>FACT</t>
  </si>
  <si>
    <t>FAIRCHEMOR</t>
  </si>
  <si>
    <t>FAZE3Q</t>
  </si>
  <si>
    <t>FCL</t>
  </si>
  <si>
    <t>FCSSOFT</t>
  </si>
  <si>
    <t>FDC</t>
  </si>
  <si>
    <t>FEDERALBNK</t>
  </si>
  <si>
    <t>FEDFINA</t>
  </si>
  <si>
    <t>FIEMIND</t>
  </si>
  <si>
    <t>FILATEX</t>
  </si>
  <si>
    <t>FILATFASH</t>
  </si>
  <si>
    <t>FINCABLES</t>
  </si>
  <si>
    <t>FINEORG</t>
  </si>
  <si>
    <t>FINOPB</t>
  </si>
  <si>
    <t>FINPIPE</t>
  </si>
  <si>
    <t>FISCHER</t>
  </si>
  <si>
    <t>FIVESTAR</t>
  </si>
  <si>
    <t>FLAIR</t>
  </si>
  <si>
    <t>FLUOROCHEM</t>
  </si>
  <si>
    <t>FMGOETZE</t>
  </si>
  <si>
    <t>FOCUS</t>
  </si>
  <si>
    <t>FOODSIN</t>
  </si>
  <si>
    <t>FORCEMOT</t>
  </si>
  <si>
    <t>FORTIS</t>
  </si>
  <si>
    <t>FOSECOIND</t>
  </si>
  <si>
    <t>FROG</t>
  </si>
  <si>
    <t>FSL</t>
  </si>
  <si>
    <t>FUSION</t>
  </si>
  <si>
    <t>GABRIEL</t>
  </si>
  <si>
    <t>GAEL</t>
  </si>
  <si>
    <t>GAIL</t>
  </si>
  <si>
    <t>GALAXYSURF</t>
  </si>
  <si>
    <t>GALLANTT</t>
  </si>
  <si>
    <t>GANDHAR</t>
  </si>
  <si>
    <t>GANDHITUBE</t>
  </si>
  <si>
    <t>GANECOS</t>
  </si>
  <si>
    <t>GANESHBE</t>
  </si>
  <si>
    <t>GANESHHOUC</t>
  </si>
  <si>
    <t>GARFIBRES</t>
  </si>
  <si>
    <t>GATEWAY</t>
  </si>
  <si>
    <t>GEECEE</t>
  </si>
  <si>
    <t>GENESYS</t>
  </si>
  <si>
    <t>GENSOL</t>
  </si>
  <si>
    <t>GENUSPAPER</t>
  </si>
  <si>
    <t>GENUSPOWER</t>
  </si>
  <si>
    <t>GEOJITFSL</t>
  </si>
  <si>
    <t>GEPIL</t>
  </si>
  <si>
    <t>GESHIP</t>
  </si>
  <si>
    <t>GFLLIMITED</t>
  </si>
  <si>
    <t>GHCL</t>
  </si>
  <si>
    <t>GHCLTEXTIL</t>
  </si>
  <si>
    <t>GICHSGFIN</t>
  </si>
  <si>
    <t>GICRE</t>
  </si>
  <si>
    <t>GILLETTE</t>
  </si>
  <si>
    <t>GIPCL</t>
  </si>
  <si>
    <t>GIRIRAJ</t>
  </si>
  <si>
    <t>GKWLIMITED</t>
  </si>
  <si>
    <t>GLAND</t>
  </si>
  <si>
    <t>GLAXO</t>
  </si>
  <si>
    <t>GLENMARK</t>
  </si>
  <si>
    <t>GLOBUSSPR</t>
  </si>
  <si>
    <t>GLOSTERLTD</t>
  </si>
  <si>
    <t>GMBREW</t>
  </si>
  <si>
    <t>GMDCLTD</t>
  </si>
  <si>
    <t>GMMPFAUDLR</t>
  </si>
  <si>
    <t>GMRP&amp;UI</t>
  </si>
  <si>
    <t>GNA</t>
  </si>
  <si>
    <t>GNFC</t>
  </si>
  <si>
    <t>GOACARBON</t>
  </si>
  <si>
    <t>GOCLCORP</t>
  </si>
  <si>
    <t>GOCOLORS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</si>
  <si>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</si>
  <si>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</si>
  <si>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</si>
  <si>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</si>
  <si>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</si>
  <si>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</si>
  <si>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</si>
  <si>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GOKULAGRO</t>
  </si>
  <si>
    <t>GOLDIAM</t>
  </si>
  <si>
    <t>GOLDTECH</t>
  </si>
  <si>
    <t>GOODLUCK</t>
  </si>
  <si>
    <t>GOPAL</t>
  </si>
  <si>
    <t>GPIL</t>
  </si>
  <si>
    <t>GPPL</t>
  </si>
  <si>
    <t>GPTHEALTH</t>
  </si>
  <si>
    <t>GPTINFRA</t>
  </si>
  <si>
    <t>GRANULES</t>
  </si>
  <si>
    <t>GRAPHITE</t>
  </si>
  <si>
    <t>GRASIM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</si>
  <si>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</si>
  <si>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</si>
  <si>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</si>
  <si>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</si>
  <si>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</si>
  <si>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</si>
  <si>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</si>
  <si>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</si>
  <si>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</si>
  <si>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GRPLTD</t>
  </si>
  <si>
    <t>GRSE</t>
  </si>
  <si>
    <t>GRWRHITECH</t>
  </si>
  <si>
    <t>GSFC</t>
  </si>
  <si>
    <t>GSLSU</t>
  </si>
  <si>
    <t>GSPL</t>
  </si>
  <si>
    <t>GTLINFRA</t>
  </si>
  <si>
    <t>GTPL</t>
  </si>
  <si>
    <t>GUFICBIO</t>
  </si>
  <si>
    <t>GUJALKALI</t>
  </si>
  <si>
    <t>GUJGASLTD</t>
  </si>
  <si>
    <t>GULFOILLUB</t>
  </si>
  <si>
    <t>GULPOLY</t>
  </si>
  <si>
    <t>GVKPIL</t>
  </si>
  <si>
    <t>HAL</t>
  </si>
  <si>
    <t>HAPPSTMNDS</t>
  </si>
  <si>
    <t>HAPPYFORGE</t>
  </si>
  <si>
    <t>HARDWYN</t>
  </si>
  <si>
    <t>HARIOMPIPE</t>
  </si>
  <si>
    <t>HARSHA</t>
  </si>
  <si>
    <t>HATHWAY</t>
  </si>
  <si>
    <t>HATSUN</t>
  </si>
  <si>
    <t>HAVELLS</t>
  </si>
  <si>
    <t>HCC</t>
  </si>
  <si>
    <t>HCG</t>
  </si>
  <si>
    <t>HCL-INSYS</t>
  </si>
  <si>
    <t>HCLTECH</t>
  </si>
  <si>
    <t>HDFCAMC</t>
  </si>
  <si>
    <t>HDFCBANK</t>
  </si>
  <si>
    <t>HDFCLIFE</t>
  </si>
  <si>
    <t>HEG</t>
  </si>
  <si>
    <t>HEIDELBERG</t>
  </si>
  <si>
    <t>HEMIPROP</t>
  </si>
  <si>
    <t>HERANBA</t>
  </si>
  <si>
    <t>HERCULES</t>
  </si>
  <si>
    <t>HERITGFOOD</t>
  </si>
  <si>
    <t>HEROMOTOCO</t>
  </si>
  <si>
    <t>HESTERBIO</t>
  </si>
  <si>
    <t>HEUBACHIND</t>
  </si>
  <si>
    <t>HEXATRADEX</t>
  </si>
  <si>
    <t>HFCL</t>
  </si>
  <si>
    <t>HGINFRA</t>
  </si>
  <si>
    <t>HGS</t>
  </si>
  <si>
    <t>HIKAL</t>
  </si>
  <si>
    <t>HIMATSEIDE</t>
  </si>
  <si>
    <t>HINDALCO</t>
  </si>
  <si>
    <t>HINDCOMPOS</t>
  </si>
  <si>
    <t>HINDCOPPER</t>
  </si>
  <si>
    <t>HINDMOTORS</t>
  </si>
  <si>
    <t>HINDOILEXP</t>
  </si>
  <si>
    <t>HINDPETRO</t>
  </si>
  <si>
    <t>HINDUNILVR</t>
  </si>
  <si>
    <t>HINDWAREAP</t>
  </si>
  <si>
    <t>HINDZINC</t>
  </si>
  <si>
    <t>HIRECT</t>
  </si>
  <si>
    <t>HITECH</t>
  </si>
  <si>
    <t>HITECHGEAR</t>
  </si>
  <si>
    <t>HLEGLAS</t>
  </si>
  <si>
    <t>HLVLTD</t>
  </si>
  <si>
    <t>HMAAGRO</t>
  </si>
  <si>
    <t>HMT</t>
  </si>
  <si>
    <t>HMVL</t>
  </si>
  <si>
    <t>HNDFDS</t>
  </si>
  <si>
    <t>HOMEFIRST</t>
  </si>
  <si>
    <t>HONASA</t>
  </si>
  <si>
    <t>HONAUT</t>
  </si>
  <si>
    <t>HONDAPOWER</t>
  </si>
  <si>
    <t>HPAL</t>
  </si>
  <si>
    <t>HPL</t>
  </si>
  <si>
    <t>HSCL</t>
  </si>
  <si>
    <t>HTMEDIA</t>
  </si>
  <si>
    <t>HUBTOWN</t>
  </si>
  <si>
    <t>HUDCO</t>
  </si>
  <si>
    <t>HUHTAMAKI</t>
  </si>
  <si>
    <t>ICEMAKE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</si>
  <si>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</si>
  <si>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</si>
  <si>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</si>
  <si>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</si>
  <si>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</si>
  <si>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</si>
  <si>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</si>
  <si>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</si>
  <si>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</si>
  <si>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IEML</t>
  </si>
  <si>
    <t>IEX</t>
  </si>
  <si>
    <t>IFBAGRO</t>
  </si>
  <si>
    <t>IFBIND</t>
  </si>
  <si>
    <t>IFCI</t>
  </si>
  <si>
    <t>IFGLEXPOR</t>
  </si>
  <si>
    <t>IGARASHI</t>
  </si>
  <si>
    <t>IGL</t>
  </si>
  <si>
    <t>IGPL</t>
  </si>
  <si>
    <t>IIFL</t>
  </si>
  <si>
    <t>IKIO</t>
  </si>
  <si>
    <t>IMAGICAA</t>
  </si>
  <si>
    <t>IMFA</t>
  </si>
  <si>
    <t>IMPAL</t>
  </si>
  <si>
    <t>INDGN</t>
  </si>
  <si>
    <t>INDHOTEL</t>
  </si>
  <si>
    <t>INDIACEM</t>
  </si>
  <si>
    <t>INDIAGLYCO</t>
  </si>
  <si>
    <t>INDIAMART</t>
  </si>
  <si>
    <t>INDIANB</t>
  </si>
  <si>
    <t>INDIANHUME</t>
  </si>
  <si>
    <t>INDIASHLTR</t>
  </si>
  <si>
    <t>INDIGO</t>
  </si>
  <si>
    <t>INDIGOPNTS</t>
  </si>
  <si>
    <t>INDIGRID</t>
  </si>
  <si>
    <t>INDNIPPON</t>
  </si>
  <si>
    <t>INDOAMIN</t>
  </si>
  <si>
    <t>INDOBORAX</t>
  </si>
  <si>
    <t>INDOCO</t>
  </si>
  <si>
    <t>INDORAMA</t>
  </si>
  <si>
    <t>INDOSTAR</t>
  </si>
  <si>
    <t>INDOTECH</t>
  </si>
  <si>
    <t>INDRAMEDCO</t>
  </si>
  <si>
    <t>INDSWFTLAB</t>
  </si>
  <si>
    <t>INDUSINDBK</t>
  </si>
  <si>
    <t>INDUSTOWER</t>
  </si>
  <si>
    <t>INFIBEAM</t>
  </si>
  <si>
    <t>INFOBEAN</t>
  </si>
  <si>
    <t>INFY</t>
  </si>
  <si>
    <t>INGERRAND</t>
  </si>
  <si>
    <t>INNOVACAP</t>
  </si>
  <si>
    <t>INNOVANA</t>
  </si>
  <si>
    <t>INOXGREEN</t>
  </si>
  <si>
    <t>INOXINDIA</t>
  </si>
  <si>
    <t>INOXWIND</t>
  </si>
  <si>
    <t>INSECTICID</t>
  </si>
  <si>
    <t>INTELLECT</t>
  </si>
  <si>
    <t>INTLCONV</t>
  </si>
  <si>
    <t>IOB</t>
  </si>
  <si>
    <t>IOC</t>
  </si>
  <si>
    <t>IOLCP</t>
  </si>
  <si>
    <t>IONEXCHANG</t>
  </si>
  <si>
    <t>IPCALAB</t>
  </si>
  <si>
    <t>IPL</t>
  </si>
  <si>
    <t>IRB</t>
  </si>
  <si>
    <t>IRBINVIT</t>
  </si>
  <si>
    <t>IRBIT</t>
  </si>
  <si>
    <t>IRCON</t>
  </si>
  <si>
    <t>IRCTC</t>
  </si>
  <si>
    <t>IREDA</t>
  </si>
  <si>
    <t>IRFC</t>
  </si>
  <si>
    <t>IRISDOREME</t>
  </si>
  <si>
    <t>IRMENERGY</t>
  </si>
  <si>
    <t>ISGEC</t>
  </si>
  <si>
    <t>ITC</t>
  </si>
  <si>
    <t>ITDC</t>
  </si>
  <si>
    <t>ITDCEM</t>
  </si>
  <si>
    <t>ITI</t>
  </si>
  <si>
    <t>IXIGO</t>
  </si>
  <si>
    <t>IZMO</t>
  </si>
  <si>
    <t>J&amp;KBANK</t>
  </si>
  <si>
    <t>JAGRAN</t>
  </si>
  <si>
    <t>JAGSNPHARM</t>
  </si>
  <si>
    <t>JAIBALAJI</t>
  </si>
  <si>
    <t>JAICORPLTD</t>
  </si>
  <si>
    <t>JAMNAAUTO</t>
  </si>
  <si>
    <t>JASH</t>
  </si>
  <si>
    <t>JAYAGROGN</t>
  </si>
  <si>
    <t>JAYBARMARU</t>
  </si>
  <si>
    <t>JAYNECOIND</t>
  </si>
  <si>
    <t>JBCHEPHARM</t>
  </si>
  <si>
    <t>JBMA</t>
  </si>
  <si>
    <t>JCHAC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</si>
  <si>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</si>
  <si>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</si>
  <si>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</si>
  <si>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</si>
  <si>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</si>
  <si>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</si>
  <si>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</si>
  <si>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</si>
  <si>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JISLJALEQS</t>
  </si>
  <si>
    <t>JITFINFRA</t>
  </si>
  <si>
    <t>JKCEMENT</t>
  </si>
  <si>
    <t>JKIL</t>
  </si>
  <si>
    <t>JKLAKSHMI</t>
  </si>
  <si>
    <t>JKPAPER</t>
  </si>
  <si>
    <t>JKTYRE</t>
  </si>
  <si>
    <t>JLHL</t>
  </si>
  <si>
    <t>JMFINANCIL</t>
  </si>
  <si>
    <t>JNKINDIA</t>
  </si>
  <si>
    <t>JPASSOCIAT</t>
  </si>
  <si>
    <t>JPOLYINVST</t>
  </si>
  <si>
    <t>JPPOWER</t>
  </si>
  <si>
    <t>JSFB</t>
  </si>
  <si>
    <t>JSL</t>
  </si>
  <si>
    <t>JSLL</t>
  </si>
  <si>
    <t>JSWENERGY</t>
  </si>
  <si>
    <t>JSWHL</t>
  </si>
  <si>
    <t>JSWINFRA</t>
  </si>
  <si>
    <t>JSWSTEEL</t>
  </si>
  <si>
    <t>JTEKTINDIA</t>
  </si>
  <si>
    <t>JTLIND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</si>
  <si>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</si>
  <si>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</si>
  <si>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</si>
  <si>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</si>
  <si>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</si>
  <si>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</si>
  <si>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</si>
  <si>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</si>
  <si>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</si>
  <si>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</si>
  <si>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</si>
  <si>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</si>
  <si>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KALYANKJIL</t>
  </si>
  <si>
    <t>KAMATHOTEL</t>
  </si>
  <si>
    <t>KAMDHENU</t>
  </si>
  <si>
    <t>KAMOPAINTS</t>
  </si>
  <si>
    <t>KANORICHEM</t>
  </si>
  <si>
    <t>KANSAINER</t>
  </si>
  <si>
    <t>KARURVYSYA</t>
  </si>
  <si>
    <t>KAYA</t>
  </si>
  <si>
    <t>KAYNES</t>
  </si>
  <si>
    <t>KCP</t>
  </si>
  <si>
    <t>KCPSUGIND</t>
  </si>
  <si>
    <t>KDDL</t>
  </si>
  <si>
    <t>KDL</t>
  </si>
  <si>
    <t>KEC</t>
  </si>
  <si>
    <t>KECL</t>
  </si>
  <si>
    <t>KEI</t>
  </si>
  <si>
    <t>KELLTONTEC</t>
  </si>
  <si>
    <t>KERNEX</t>
  </si>
  <si>
    <t>KESORAMIND</t>
  </si>
  <si>
    <t>KFINTECH</t>
  </si>
  <si>
    <t>KHADIM</t>
  </si>
  <si>
    <t>KHAICHEM</t>
  </si>
  <si>
    <t>KICL</t>
  </si>
  <si>
    <t>KILITCH</t>
  </si>
  <si>
    <t>KIMS</t>
  </si>
  <si>
    <t>KINGFA</t>
  </si>
  <si>
    <t>KIOCL</t>
  </si>
  <si>
    <t>KIRIINDUS</t>
  </si>
  <si>
    <t>KIRLOSBROS</t>
  </si>
  <si>
    <t>KIRLOSENG</t>
  </si>
  <si>
    <t>KIRLOSIND</t>
  </si>
  <si>
    <t>KIRLPNU</t>
  </si>
  <si>
    <t>KITEX</t>
  </si>
  <si>
    <t>KKCL</t>
  </si>
  <si>
    <t>KNAGRI</t>
  </si>
  <si>
    <t>KNRCON</t>
  </si>
  <si>
    <t>KODYTECH</t>
  </si>
  <si>
    <t>KOKUYOCMLN</t>
  </si>
  <si>
    <t>KOLTEPATIL</t>
  </si>
  <si>
    <t>KOPRAN</t>
  </si>
  <si>
    <t>KORE</t>
  </si>
  <si>
    <t>KOTAKBANK</t>
  </si>
  <si>
    <t>KOTHARIPET</t>
  </si>
  <si>
    <t>KOTHARIPRO</t>
  </si>
  <si>
    <t>KOTYARK</t>
  </si>
  <si>
    <t>KPEL</t>
  </si>
  <si>
    <t>KPIGREEN</t>
  </si>
  <si>
    <t>KPIL</t>
  </si>
  <si>
    <t>KPITTECH</t>
  </si>
  <si>
    <t>KPRMILL</t>
  </si>
  <si>
    <t>KRBL</t>
  </si>
  <si>
    <t>KRISHANA</t>
  </si>
  <si>
    <t>KRISHNADEF</t>
  </si>
  <si>
    <t>KRITI</t>
  </si>
  <si>
    <t>KRITIKA</t>
  </si>
  <si>
    <t>KRITINUT</t>
  </si>
  <si>
    <t>KRONOX</t>
  </si>
  <si>
    <t>KRSNAA</t>
  </si>
  <si>
    <t>KRYSTAL</t>
  </si>
  <si>
    <t>KSB</t>
  </si>
  <si>
    <t>KSCL</t>
  </si>
  <si>
    <t>KSL</t>
  </si>
  <si>
    <t>KSOLVES</t>
  </si>
  <si>
    <t>KTKBANK</t>
  </si>
  <si>
    <t>KUANTUM</t>
  </si>
  <si>
    <t>LALPATHLAB</t>
  </si>
  <si>
    <t>LANDMARK</t>
  </si>
  <si>
    <t>LAOPALA</t>
  </si>
  <si>
    <t>LATENTVIEW</t>
  </si>
  <si>
    <t>LAURUSLABS</t>
  </si>
  <si>
    <t>LAWSIKHO</t>
  </si>
  <si>
    <t>LEMONTREE</t>
  </si>
  <si>
    <t>LGBBROSLTD</t>
  </si>
  <si>
    <t>LGHL</t>
  </si>
  <si>
    <t>LIBERTSHOE</t>
  </si>
  <si>
    <t>LICHSGFIN</t>
  </si>
  <si>
    <t>LICI</t>
  </si>
  <si>
    <t>LIKHITHA</t>
  </si>
  <si>
    <t>LINC</t>
  </si>
  <si>
    <t>LINCOLN</t>
  </si>
  <si>
    <t>LINDEINDIA</t>
  </si>
  <si>
    <t>LLOYDSENGG</t>
  </si>
  <si>
    <t>LLOYDSME</t>
  </si>
  <si>
    <t>LODHA</t>
  </si>
  <si>
    <t>LOKESHMACH</t>
  </si>
  <si>
    <t>LT</t>
  </si>
  <si>
    <t>LTF</t>
  </si>
  <si>
    <t>LTFOODS</t>
  </si>
  <si>
    <t>LTIM</t>
  </si>
  <si>
    <t>LTTS</t>
  </si>
  <si>
    <t>LUMAXIND</t>
  </si>
  <si>
    <t>LUMAXTECH</t>
  </si>
  <si>
    <t>LUPIN</t>
  </si>
  <si>
    <t>LUXIND</t>
  </si>
  <si>
    <t>LXCHEM</t>
  </si>
  <si>
    <t>M&amp;M</t>
  </si>
  <si>
    <t>M&amp;MFIN</t>
  </si>
  <si>
    <t>MAANALU</t>
  </si>
  <si>
    <t>MACPOWER</t>
  </si>
  <si>
    <t>MADRASFERT</t>
  </si>
  <si>
    <t>MAGADSUGAR</t>
  </si>
  <si>
    <t>MAHABANK</t>
  </si>
  <si>
    <t>MAHLIFE</t>
  </si>
  <si>
    <t>MAHLOG</t>
  </si>
  <si>
    <t>MAHSCOOTER</t>
  </si>
  <si>
    <t>MAHSEAMLES</t>
  </si>
  <si>
    <t>MAITHANALL</t>
  </si>
  <si>
    <t>MALLCOM</t>
  </si>
  <si>
    <t>MANAKSIA</t>
  </si>
  <si>
    <t>MANALIPETC</t>
  </si>
  <si>
    <t>MANAPPURAM</t>
  </si>
  <si>
    <t>MANGCHEFER</t>
  </si>
  <si>
    <t>MANGLMCEM</t>
  </si>
  <si>
    <t>MANINDS</t>
  </si>
  <si>
    <t>MANINFRA</t>
  </si>
  <si>
    <t>MANKIND</t>
  </si>
  <si>
    <t>MANORAMA</t>
  </si>
  <si>
    <t>MANYAVAR</t>
  </si>
  <si>
    <t>MAPMYINDIA</t>
  </si>
  <si>
    <t>MARATHON</t>
  </si>
  <si>
    <t>MARICO</t>
  </si>
  <si>
    <t>MARINE</t>
  </si>
  <si>
    <t>MARKSANS</t>
  </si>
  <si>
    <t>MARUTI</t>
  </si>
  <si>
    <t>MASFIN</t>
  </si>
  <si>
    <t>MASTEK</t>
  </si>
  <si>
    <t>MASTERTR</t>
  </si>
  <si>
    <t>MATRIMONY</t>
  </si>
  <si>
    <t>MAXESTATES</t>
  </si>
  <si>
    <t>MAXHEALTH</t>
  </si>
  <si>
    <t>MAXIND</t>
  </si>
  <si>
    <t>MAYURUNIQ</t>
  </si>
  <si>
    <t>MAZDA</t>
  </si>
  <si>
    <t>MAZDOCK</t>
  </si>
  <si>
    <t>MBAPL</t>
  </si>
  <si>
    <t>MBLINFRA</t>
  </si>
  <si>
    <t>MCX</t>
  </si>
  <si>
    <t>MEDANTA</t>
  </si>
  <si>
    <t>MEDIASSIST</t>
  </si>
  <si>
    <t>MEDICAMEQ</t>
  </si>
  <si>
    <t>MEDPLUS</t>
  </si>
  <si>
    <t>MEGASOFT</t>
  </si>
  <si>
    <t>MEGATHERM</t>
  </si>
  <si>
    <t>MENONBE</t>
  </si>
  <si>
    <t>METROBRAND</t>
  </si>
  <si>
    <t>METROPOLIS</t>
  </si>
  <si>
    <t>MFSL</t>
  </si>
  <si>
    <t>MGL</t>
  </si>
  <si>
    <t>MHRIL</t>
  </si>
  <si>
    <t>MICEL</t>
  </si>
  <si>
    <t>MIDHANI</t>
  </si>
  <si>
    <t>MINDACORP</t>
  </si>
  <si>
    <t>MINDSPACE</t>
  </si>
  <si>
    <t>MINDTECK</t>
  </si>
  <si>
    <t>MIRZAINT</t>
  </si>
  <si>
    <t>MMFL</t>
  </si>
  <si>
    <t>MMP</t>
  </si>
  <si>
    <t>MMTC</t>
  </si>
  <si>
    <t>MOIL</t>
  </si>
  <si>
    <t>MOL</t>
  </si>
  <si>
    <t>MOLDTECH</t>
  </si>
  <si>
    <t>MOLDTKPAC</t>
  </si>
  <si>
    <t>MONARCH</t>
  </si>
  <si>
    <t>MONTECARLO</t>
  </si>
  <si>
    <t>MOREPENLAB</t>
  </si>
  <si>
    <t>MOSCHIP</t>
  </si>
  <si>
    <t>MOTHERSON</t>
  </si>
  <si>
    <t>MOTILALOFS</t>
  </si>
  <si>
    <t>MOTISONS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</si>
  <si>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</si>
  <si>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</si>
  <si>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</si>
  <si>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</si>
  <si>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</si>
  <si>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</si>
  <si>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</si>
  <si>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</si>
  <si>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</si>
  <si>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</si>
  <si>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</si>
  <si>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</si>
  <si>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</si>
  <si>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MUNJALAU</t>
  </si>
  <si>
    <t>MUNJALSHOW</t>
  </si>
  <si>
    <t>MUTHOOTCAP</t>
  </si>
  <si>
    <t>MUTHOOTFIN</t>
  </si>
  <si>
    <t>MUTHOOTMF</t>
  </si>
  <si>
    <t>MVGJL</t>
  </si>
  <si>
    <t>NACLIND</t>
  </si>
  <si>
    <t>NAGAFERT</t>
  </si>
  <si>
    <t>NAHARCAP</t>
  </si>
  <si>
    <t>NAHARINDUS</t>
  </si>
  <si>
    <t>NAHARPOLY</t>
  </si>
  <si>
    <t>NAHARSPING</t>
  </si>
  <si>
    <t>NAM-INDIA</t>
  </si>
  <si>
    <t>NATCOPHARM</t>
  </si>
  <si>
    <t>NATIONALUM</t>
  </si>
  <si>
    <t>NAUKRI</t>
  </si>
  <si>
    <t>NAVA</t>
  </si>
  <si>
    <t>NAVINFLUOR</t>
  </si>
  <si>
    <t>NAVKARCORP</t>
  </si>
  <si>
    <t>NAVNETEDUL</t>
  </si>
  <si>
    <t>NAZARA</t>
  </si>
  <si>
    <t>NBCC</t>
  </si>
  <si>
    <t>NBIFIN</t>
  </si>
  <si>
    <t>NCC</t>
  </si>
  <si>
    <t>NCLIND</t>
  </si>
  <si>
    <t>NDL</t>
  </si>
  <si>
    <t>NDRAUTO</t>
  </si>
  <si>
    <t>NDTV</t>
  </si>
  <si>
    <t>NECLIFE</t>
  </si>
  <si>
    <t>NELCAST</t>
  </si>
  <si>
    <t>NELCO</t>
  </si>
  <si>
    <t>NEOGEN</t>
  </si>
  <si>
    <t>NESCO</t>
  </si>
  <si>
    <t>NESTLEIND</t>
  </si>
  <si>
    <t>NETWEB</t>
  </si>
  <si>
    <t>NETWORK18</t>
  </si>
  <si>
    <t>NEULANDLAB</t>
  </si>
  <si>
    <t>NEWGEN</t>
  </si>
  <si>
    <t>NFL</t>
  </si>
  <si>
    <t>NGLFINE</t>
  </si>
  <si>
    <t>NH</t>
  </si>
  <si>
    <t>NHIT</t>
  </si>
  <si>
    <t>NHPC</t>
  </si>
  <si>
    <t>NIACL</t>
  </si>
  <si>
    <t>NIITLTD</t>
  </si>
  <si>
    <t>NIITMTS</t>
  </si>
  <si>
    <t>NILKAMAL</t>
  </si>
  <si>
    <t>NINSYS</t>
  </si>
  <si>
    <t>NITCO</t>
  </si>
  <si>
    <t>NITINSPIN</t>
  </si>
  <si>
    <t>NLCINDIA</t>
  </si>
  <si>
    <t>NMDC</t>
  </si>
  <si>
    <t>NOCIL</t>
  </si>
  <si>
    <t>NOVAAGRI</t>
  </si>
  <si>
    <t>NPST</t>
  </si>
  <si>
    <t>NRAIL</t>
  </si>
  <si>
    <t>NRBBEARING</t>
  </si>
  <si>
    <t>NRL</t>
  </si>
  <si>
    <t>NSIL</t>
  </si>
  <si>
    <t>NSLNISP</t>
  </si>
  <si>
    <t>NTPC</t>
  </si>
  <si>
    <t>NUCLEUS</t>
  </si>
  <si>
    <t>NUVAMA</t>
  </si>
  <si>
    <t>NUVOCO</t>
  </si>
  <si>
    <t>NXST</t>
  </si>
  <si>
    <t>NYKAA</t>
  </si>
  <si>
    <t>OAL</t>
  </si>
  <si>
    <t>OBEROIRLTY</t>
  </si>
  <si>
    <t>OFSS</t>
  </si>
  <si>
    <t>OIL</t>
  </si>
  <si>
    <t>OLECTRA</t>
  </si>
  <si>
    <t>OMAXE</t>
  </si>
  <si>
    <t>OMINFRAL</t>
  </si>
  <si>
    <t>ONEPOINT</t>
  </si>
  <si>
    <t>ONGC</t>
  </si>
  <si>
    <t>ONMOBILE</t>
  </si>
  <si>
    <t>ONWARDTEC</t>
  </si>
  <si>
    <t>OPTIEMUS</t>
  </si>
  <si>
    <t>ORCHPHARMA</t>
  </si>
  <si>
    <t>ORIANA</t>
  </si>
  <si>
    <t>ORICONENT</t>
  </si>
  <si>
    <t>ORIENTBELL</t>
  </si>
  <si>
    <t>ORIENTCEM</t>
  </si>
  <si>
    <t>ORIENTCER</t>
  </si>
  <si>
    <t>ORIENTELEC</t>
  </si>
  <si>
    <t>ORIENTHOT</t>
  </si>
  <si>
    <t>ORIENTPPR</t>
  </si>
  <si>
    <t>ORISSAMINE</t>
  </si>
  <si>
    <t>OSWALAGRO</t>
  </si>
  <si>
    <t>OSWALGREEN</t>
  </si>
  <si>
    <t>OWAIS</t>
  </si>
  <si>
    <t>PAGEIND</t>
  </si>
  <si>
    <t>PAISALO</t>
  </si>
  <si>
    <t>PAKKA</t>
  </si>
  <si>
    <t>PANACEABIO</t>
  </si>
  <si>
    <t>PANAMAPET</t>
  </si>
  <si>
    <t>PARACABLES</t>
  </si>
  <si>
    <t>PARADEEP</t>
  </si>
  <si>
    <t>PARAGMILK</t>
  </si>
  <si>
    <t>PARAS</t>
  </si>
  <si>
    <t>PARKHOTELS</t>
  </si>
  <si>
    <t>PARSVNATH</t>
  </si>
  <si>
    <t>PASHUPATI</t>
  </si>
  <si>
    <t>PATANJALI</t>
  </si>
  <si>
    <t>PATELENG</t>
  </si>
  <si>
    <t>PAVNAIND</t>
  </si>
  <si>
    <t>PAYTM</t>
  </si>
  <si>
    <t>PCBL</t>
  </si>
  <si>
    <t>PCCL</t>
  </si>
  <si>
    <t>PCJEWELLER</t>
  </si>
  <si>
    <t>PDMJEPAPER</t>
  </si>
  <si>
    <t>PDSL</t>
  </si>
  <si>
    <t>PEL</t>
  </si>
  <si>
    <t>PENIND</t>
  </si>
  <si>
    <t>PENINLAND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</si>
  <si>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</si>
  <si>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</si>
  <si>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</si>
  <si>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</si>
  <si>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</si>
  <si>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</si>
  <si>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</si>
  <si>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</si>
  <si>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</si>
  <si>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</si>
  <si>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PGINVIT</t>
  </si>
  <si>
    <t>PHANTOMFX</t>
  </si>
  <si>
    <t>PHOENIXLTD</t>
  </si>
  <si>
    <t>PICCADIL</t>
  </si>
  <si>
    <t>PIDILITIND</t>
  </si>
  <si>
    <t>PIIND</t>
  </si>
  <si>
    <t>PILANIINVS</t>
  </si>
  <si>
    <t>PITTIENG</t>
  </si>
  <si>
    <t>PIXTRANS</t>
  </si>
  <si>
    <t>PLASTIBLEN</t>
  </si>
  <si>
    <t>PLATIND</t>
  </si>
  <si>
    <t>PNB</t>
  </si>
  <si>
    <t>PNBGILTS</t>
  </si>
  <si>
    <t>PNBHOUSING</t>
  </si>
  <si>
    <t>PNCINFRA</t>
  </si>
  <si>
    <t>POCL</t>
  </si>
  <si>
    <t>POKARNA</t>
  </si>
  <si>
    <t>POLICYBZR</t>
  </si>
  <si>
    <t>POLYCAB</t>
  </si>
  <si>
    <t>POLYMED</t>
  </si>
  <si>
    <t>POLYPLEX</t>
  </si>
  <si>
    <t>POONAWALLA</t>
  </si>
  <si>
    <t>POWERGRID</t>
  </si>
  <si>
    <t>POWERINDIA</t>
  </si>
  <si>
    <t>POWERMECH</t>
  </si>
  <si>
    <t>PPL</t>
  </si>
  <si>
    <t>PPLPHARMA</t>
  </si>
  <si>
    <t>PRAJIND</t>
  </si>
  <si>
    <t>PRAKASH</t>
  </si>
  <si>
    <t>PRATHAM</t>
  </si>
  <si>
    <t>PRECAM</t>
  </si>
  <si>
    <t>PRECOT</t>
  </si>
  <si>
    <t>PRECWIRE</t>
  </si>
  <si>
    <t>PREMEXPLN</t>
  </si>
  <si>
    <t>PRESTIGE</t>
  </si>
  <si>
    <t>PRICOLLTD</t>
  </si>
  <si>
    <t>PRIMESECU</t>
  </si>
  <si>
    <t>PRINCEPIPE</t>
  </si>
  <si>
    <t>PRIVISCL</t>
  </si>
  <si>
    <t>PROTEAN</t>
  </si>
  <si>
    <t>PRSMJOHNSN</t>
  </si>
  <si>
    <t>PRUDENT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</si>
  <si>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</si>
  <si>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</si>
  <si>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</si>
  <si>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</si>
  <si>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</si>
  <si>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</si>
  <si>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</si>
  <si>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</si>
  <si>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</si>
  <si>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</si>
  <si>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PYRAMID</t>
  </si>
  <si>
    <t>QUESS</t>
  </si>
  <si>
    <t>QUICKHEAL</t>
  </si>
  <si>
    <t>RACE</t>
  </si>
  <si>
    <t>RACLGEAR</t>
  </si>
  <si>
    <t>RADHIKAJWE</t>
  </si>
  <si>
    <t>RADIANTCMS</t>
  </si>
  <si>
    <t>RADICO</t>
  </si>
  <si>
    <t>RADIOCITY</t>
  </si>
  <si>
    <t>RAILTEL</t>
  </si>
  <si>
    <t>RAIN</t>
  </si>
  <si>
    <t>RAINBOW</t>
  </si>
  <si>
    <t>RAJESHEXPO</t>
  </si>
  <si>
    <t>RAJOOENG</t>
  </si>
  <si>
    <t>RAJRATAN</t>
  </si>
  <si>
    <t>RAJRILTD</t>
  </si>
  <si>
    <t>RAJTV</t>
  </si>
  <si>
    <t>RALLIS</t>
  </si>
  <si>
    <t>RAMASTEEL</t>
  </si>
  <si>
    <t>RAMCOCEM</t>
  </si>
  <si>
    <t>RAMCOIND</t>
  </si>
  <si>
    <t>RAMCOSYS</t>
  </si>
  <si>
    <t>RAMKY</t>
  </si>
  <si>
    <t>RAMRAT</t>
  </si>
  <si>
    <t>RANEHOLDIN</t>
  </si>
  <si>
    <t>RATEGAIN</t>
  </si>
  <si>
    <t>RATNAMANI</t>
  </si>
  <si>
    <t>RATNAVEER</t>
  </si>
  <si>
    <t>RAYMOND</t>
  </si>
  <si>
    <t>RBA</t>
  </si>
  <si>
    <t>RBLBANK</t>
  </si>
  <si>
    <t>RBMINFRA</t>
  </si>
  <si>
    <t>RBZJEWEL</t>
  </si>
  <si>
    <t>RCF</t>
  </si>
  <si>
    <t>RCOM</t>
  </si>
  <si>
    <t>RECLTD</t>
  </si>
  <si>
    <t>REDINGTON</t>
  </si>
  <si>
    <t>REDTAPE</t>
  </si>
  <si>
    <t>REFEX</t>
  </si>
  <si>
    <t>REFRACTORY</t>
  </si>
  <si>
    <t>RELAXO</t>
  </si>
  <si>
    <t>RELIANCE</t>
  </si>
  <si>
    <t>RELIGARE</t>
  </si>
  <si>
    <t>RELINFRA</t>
  </si>
  <si>
    <t>REMUS</t>
  </si>
  <si>
    <t>RENUKA</t>
  </si>
  <si>
    <t>REPCOHOME</t>
  </si>
  <si>
    <t>REPRO</t>
  </si>
  <si>
    <t>RESPONIND</t>
  </si>
  <si>
    <t>RGL</t>
  </si>
  <si>
    <t>RHIM</t>
  </si>
  <si>
    <t>RICOAUTO</t>
  </si>
  <si>
    <t>RIIL</t>
  </si>
  <si>
    <t>RISHABH</t>
  </si>
  <si>
    <t>RITCO</t>
  </si>
  <si>
    <t>RITES</t>
  </si>
  <si>
    <t>RKFORGE</t>
  </si>
  <si>
    <t>RKSWAMY</t>
  </si>
  <si>
    <t>RML</t>
  </si>
  <si>
    <t>ROHLTD</t>
  </si>
  <si>
    <t>ROLEXRINGS</t>
  </si>
  <si>
    <t>ROSSARI</t>
  </si>
  <si>
    <t>ROSSELLIND</t>
  </si>
  <si>
    <t>ROTO</t>
  </si>
  <si>
    <t>ROUTE</t>
  </si>
  <si>
    <t>RPGLIFE</t>
  </si>
  <si>
    <t>RPOWER</t>
  </si>
  <si>
    <t>RPPINFRA</t>
  </si>
  <si>
    <t>RPSGVENT</t>
  </si>
  <si>
    <t>RPTECH</t>
  </si>
  <si>
    <t>RRKABEL</t>
  </si>
  <si>
    <t>RSSOFTWARE</t>
  </si>
  <si>
    <t>RSWM</t>
  </si>
  <si>
    <t>RSYSTEMS</t>
  </si>
  <si>
    <t>RTNINDIA</t>
  </si>
  <si>
    <t>RTNPOWER</t>
  </si>
  <si>
    <t>RUBYMILLS</t>
  </si>
  <si>
    <t>RUPA</t>
  </si>
  <si>
    <t>RUSHIL</t>
  </si>
  <si>
    <t>RUSTOMJEE</t>
  </si>
  <si>
    <t>RVNL</t>
  </si>
  <si>
    <t>SAAKSHI</t>
  </si>
  <si>
    <t>SADBHAV</t>
  </si>
  <si>
    <t>SADHNANIQ</t>
  </si>
  <si>
    <t>SAFARI</t>
  </si>
  <si>
    <t>SAGCEM</t>
  </si>
  <si>
    <t>SAHANA</t>
  </si>
  <si>
    <t>SAIL</t>
  </si>
  <si>
    <t>SAKAR</t>
  </si>
  <si>
    <t>SAKSOFT</t>
  </si>
  <si>
    <t>SAKUMA</t>
  </si>
  <si>
    <t>SALASAR</t>
  </si>
  <si>
    <t>SALZERELEC</t>
  </si>
  <si>
    <t>SAMHI</t>
  </si>
  <si>
    <t>SANDESH</t>
  </si>
  <si>
    <t>SANDHAR</t>
  </si>
  <si>
    <t>SANDUMA</t>
  </si>
  <si>
    <t>SANGAMIND</t>
  </si>
  <si>
    <t>SANGHIIND</t>
  </si>
  <si>
    <t>SANGHVIMOV</t>
  </si>
  <si>
    <t>SANOFI</t>
  </si>
  <si>
    <t>SANSERA</t>
  </si>
  <si>
    <t>SAPPHIRE</t>
  </si>
  <si>
    <t>SARDAEN</t>
  </si>
  <si>
    <t>SAREGAMA</t>
  </si>
  <si>
    <t>SARLAPOLY</t>
  </si>
  <si>
    <t>SARVESHWAR</t>
  </si>
  <si>
    <t>SASKEN</t>
  </si>
  <si>
    <t>SASTASUNDR</t>
  </si>
  <si>
    <t>SATIA</t>
  </si>
  <si>
    <t>SATIN</t>
  </si>
  <si>
    <t>SAURASHCEM</t>
  </si>
  <si>
    <t>SBC</t>
  </si>
  <si>
    <t>SBCL</t>
  </si>
  <si>
    <t>SBFC</t>
  </si>
  <si>
    <t>SBGLP</t>
  </si>
  <si>
    <t>SBICARD</t>
  </si>
  <si>
    <t>SBILIFE</t>
  </si>
  <si>
    <t>SBIN</t>
  </si>
  <si>
    <t>SCHAEFFLER</t>
  </si>
  <si>
    <t>SCHAND</t>
  </si>
  <si>
    <t>SCHNEIDER</t>
  </si>
  <si>
    <t>SCI</t>
  </si>
  <si>
    <t>SCILAL</t>
  </si>
  <si>
    <t>SCPL</t>
  </si>
  <si>
    <t>SDBL</t>
  </si>
  <si>
    <t>SEAMECLTD</t>
  </si>
  <si>
    <t>SELAN</t>
  </si>
  <si>
    <t>SENCO</t>
  </si>
  <si>
    <t>SEPC</t>
  </si>
  <si>
    <t>SEQUENT</t>
  </si>
  <si>
    <t>SERVOTECH</t>
  </si>
  <si>
    <t>SESHAPAPER</t>
  </si>
  <si>
    <t>SFL</t>
  </si>
  <si>
    <t>SGIL</t>
  </si>
  <si>
    <t>SHAILY</t>
  </si>
  <si>
    <t>SHAKTIPUMP</t>
  </si>
  <si>
    <t>SHALBY</t>
  </si>
  <si>
    <t>SHALPAINTS</t>
  </si>
  <si>
    <t>SHANKARA</t>
  </si>
  <si>
    <t>SHANTIGEAR</t>
  </si>
  <si>
    <t>SHARDACROP</t>
  </si>
  <si>
    <t>SHARDAMOTR</t>
  </si>
  <si>
    <t>SHAREINDIA</t>
  </si>
  <si>
    <t>SHILPAMED</t>
  </si>
  <si>
    <t>SHIVALIK</t>
  </si>
  <si>
    <t>SHIVAMAUTO</t>
  </si>
  <si>
    <t>SHK</t>
  </si>
  <si>
    <t>SHOPERSTOP</t>
  </si>
  <si>
    <t>SHREDIGCEM</t>
  </si>
  <si>
    <t>SHREECEM</t>
  </si>
  <si>
    <t>SHREEPUSHK</t>
  </si>
  <si>
    <t>SHRIPISTON</t>
  </si>
  <si>
    <t>SHRIRAMFIN</t>
  </si>
  <si>
    <t>SHRIRAMPPS</t>
  </si>
  <si>
    <t>SHYAMMETL</t>
  </si>
  <si>
    <t>SICALLOG</t>
  </si>
  <si>
    <t>SIEMENS</t>
  </si>
  <si>
    <t>SIGACHI</t>
  </si>
  <si>
    <t>SIGNATURE</t>
  </si>
  <si>
    <t>SIGNPOST</t>
  </si>
  <si>
    <t>SILINV</t>
  </si>
  <si>
    <t>SILVERTUC</t>
  </si>
  <si>
    <t>SIMPLEXINF</t>
  </si>
  <si>
    <t>SINCLAIR</t>
  </si>
  <si>
    <t>SINDHUTRAD</t>
  </si>
  <si>
    <t>SIRCA</t>
  </si>
  <si>
    <t>SIS</t>
  </si>
  <si>
    <t>SIYSIL</t>
  </si>
  <si>
    <t>SJLOGISTIC</t>
  </si>
  <si>
    <t>SJS</t>
  </si>
  <si>
    <t>SJVN</t>
  </si>
  <si>
    <t>SKFINDIA</t>
  </si>
  <si>
    <t>SKIPPER</t>
  </si>
  <si>
    <t>SKMEGGPROD</t>
  </si>
  <si>
    <t>SKYGOLD</t>
  </si>
  <si>
    <t>SMCGLOBAL</t>
  </si>
  <si>
    <t>SMLISUZU</t>
  </si>
  <si>
    <t>SMSPHARMA</t>
  </si>
  <si>
    <t>SNOWMAN</t>
  </si>
  <si>
    <t>SOBHA</t>
  </si>
  <si>
    <t>SOLARA</t>
  </si>
  <si>
    <t>SOLARINDS</t>
  </si>
  <si>
    <t>SOLEX</t>
  </si>
  <si>
    <t>SOMANYCERA</t>
  </si>
  <si>
    <t>SONACOMS</t>
  </si>
  <si>
    <t>SONATSOFTW</t>
  </si>
  <si>
    <t>SOTL</t>
  </si>
  <si>
    <t>SOUTHBANK</t>
  </si>
  <si>
    <t>SPAL</t>
  </si>
  <si>
    <t>SPANDANA</t>
  </si>
  <si>
    <t>SPARC</t>
  </si>
  <si>
    <t>SPCENET</t>
  </si>
  <si>
    <t>SPCL</t>
  </si>
  <si>
    <t>SPECIALITY</t>
  </si>
  <si>
    <t>SPECTRUM</t>
  </si>
  <si>
    <t>SPENCERS</t>
  </si>
  <si>
    <t>SPIC</t>
  </si>
  <si>
    <t>SPLPETRO</t>
  </si>
  <si>
    <t>SPMLINFRA</t>
  </si>
  <si>
    <t>SPORTKING</t>
  </si>
  <si>
    <t>SREEL</t>
  </si>
  <si>
    <t>SRF</t>
  </si>
  <si>
    <t>SRGHFL</t>
  </si>
  <si>
    <t>SRHHYPOLTD</t>
  </si>
  <si>
    <t>SSWL</t>
  </si>
  <si>
    <t>STANLEY</t>
  </si>
  <si>
    <t>STAR</t>
  </si>
  <si>
    <t>STARCEMENT</t>
  </si>
  <si>
    <t>STARHEALTH</t>
  </si>
  <si>
    <t>STCINDIA</t>
  </si>
  <si>
    <t>STEELCAS</t>
  </si>
  <si>
    <t>STEELXIND</t>
  </si>
  <si>
    <t>STEL</t>
  </si>
  <si>
    <t>STERTOOLS</t>
  </si>
  <si>
    <t>STLTECH</t>
  </si>
  <si>
    <t>STOVEKRAFT</t>
  </si>
  <si>
    <t>STYLAMIND</t>
  </si>
  <si>
    <t>STYRENIX</t>
  </si>
  <si>
    <t>SUBEXLTD</t>
  </si>
  <si>
    <t>SUBROS</t>
  </si>
  <si>
    <t>SUDARSCHEM</t>
  </si>
  <si>
    <t>SUKHJITS</t>
  </si>
  <si>
    <t>SULA</t>
  </si>
  <si>
    <t>SUMICHEM</t>
  </si>
  <si>
    <t>SUMMITSEC</t>
  </si>
  <si>
    <t>SUNCLAY</t>
  </si>
  <si>
    <t>SUNDARMFIN</t>
  </si>
  <si>
    <t>SUNDARMHLD</t>
  </si>
  <si>
    <t>SUNDRMFAST</t>
  </si>
  <si>
    <t>SUNFLAG</t>
  </si>
  <si>
    <t>SUNPHARMA</t>
  </si>
  <si>
    <t>SUNTECK</t>
  </si>
  <si>
    <t>SUNTV</t>
  </si>
  <si>
    <t>SUPRAJIT</t>
  </si>
  <si>
    <t>SUPREMEIND</t>
  </si>
  <si>
    <t>SUPREMEPWR</t>
  </si>
  <si>
    <t>SUPRIYA</t>
  </si>
  <si>
    <t>SURAJEST</t>
  </si>
  <si>
    <t>SURYAROSNI</t>
  </si>
  <si>
    <t>SURYODAY</t>
  </si>
  <si>
    <t>SUTLEJTEX</t>
  </si>
  <si>
    <t>SUVEN</t>
  </si>
  <si>
    <t>SUYOG</t>
  </si>
  <si>
    <t>SUZLON</t>
  </si>
  <si>
    <t>SWANENERGY</t>
  </si>
  <si>
    <t>SWARAJ</t>
  </si>
  <si>
    <t>SWARAJENG</t>
  </si>
  <si>
    <t>SWELECTES</t>
  </si>
  <si>
    <t>SWSOLAR</t>
  </si>
  <si>
    <t>SYMPHONY</t>
  </si>
  <si>
    <t>SYNCOMF</t>
  </si>
  <si>
    <t>SYNGENE</t>
  </si>
  <si>
    <t>SYRMA</t>
  </si>
  <si>
    <t>TAJGVK</t>
  </si>
  <si>
    <t>TALBROAUTO</t>
  </si>
  <si>
    <t>TANLA</t>
  </si>
  <si>
    <t>TARACHAND</t>
  </si>
  <si>
    <t>TARC</t>
  </si>
  <si>
    <t>TARSONS</t>
  </si>
  <si>
    <t>TASTYBITE</t>
  </si>
  <si>
    <t>TATACHEM</t>
  </si>
  <si>
    <t>TATACOMM</t>
  </si>
  <si>
    <t>TATACONSUM</t>
  </si>
  <si>
    <t>TATAELXSI</t>
  </si>
  <si>
    <t>TATAINVEST</t>
  </si>
  <si>
    <t>TATAMOTORS</t>
  </si>
  <si>
    <t>TATAPOWER</t>
  </si>
  <si>
    <t>TATASTEEL</t>
  </si>
  <si>
    <t>TATATECH</t>
  </si>
  <si>
    <t>TATVA</t>
  </si>
  <si>
    <t>TBI</t>
  </si>
  <si>
    <t>TBOTEK</t>
  </si>
  <si>
    <t>TBZ</t>
  </si>
  <si>
    <t>TCI</t>
  </si>
  <si>
    <t>TCIEXP</t>
  </si>
  <si>
    <t>TCL</t>
  </si>
  <si>
    <t>TCPLPACK</t>
  </si>
  <si>
    <t>TCS</t>
  </si>
  <si>
    <t>TDPOWERSYS</t>
  </si>
  <si>
    <t>TEAMLEASE</t>
  </si>
  <si>
    <t>TECHLABS</t>
  </si>
  <si>
    <t>TECHM</t>
  </si>
  <si>
    <t>TECHNOE</t>
  </si>
  <si>
    <t>TEGA</t>
  </si>
  <si>
    <t>TEJASNET</t>
  </si>
  <si>
    <t>TEXINFRA</t>
  </si>
  <si>
    <t>TEXRAIL</t>
  </si>
  <si>
    <t>TFCILTD</t>
  </si>
  <si>
    <t>TGL</t>
  </si>
  <si>
    <t>THANGAMAYL</t>
  </si>
  <si>
    <t>THEINVEST</t>
  </si>
  <si>
    <t>THEJO</t>
  </si>
  <si>
    <t>THEMISMED</t>
  </si>
  <si>
    <t>THERMAX</t>
  </si>
  <si>
    <t>THOMASCOOK</t>
  </si>
  <si>
    <t>THYROCARE</t>
  </si>
  <si>
    <t>TI</t>
  </si>
  <si>
    <t>TIIL</t>
  </si>
  <si>
    <t>TIINDIA</t>
  </si>
  <si>
    <t>TIL</t>
  </si>
  <si>
    <t>TIMETECHNO</t>
  </si>
  <si>
    <t>TIMKEN</t>
  </si>
  <si>
    <t>TINNARUBR</t>
  </si>
  <si>
    <t>TIRUMALCHM</t>
  </si>
  <si>
    <t>TIRUPATI</t>
  </si>
  <si>
    <t>TITAGARH</t>
  </si>
  <si>
    <t>TITAN</t>
  </si>
  <si>
    <t>TMB</t>
  </si>
  <si>
    <t>TNPETRO</t>
  </si>
  <si>
    <t>TNPL</t>
  </si>
  <si>
    <t>TORNTPHARM</t>
  </si>
  <si>
    <t>TORNTPOWER</t>
  </si>
  <si>
    <t>TPLPLASTEH</t>
  </si>
  <si>
    <t>TRACXN</t>
  </si>
  <si>
    <t>TREL</t>
  </si>
  <si>
    <t>TRENT</t>
  </si>
  <si>
    <t>TRF</t>
  </si>
  <si>
    <t>TRIDENT</t>
  </si>
  <si>
    <t>TRITURBINE</t>
  </si>
  <si>
    <t>TRIVENI</t>
  </si>
  <si>
    <t>TRU</t>
  </si>
  <si>
    <t>TRUST</t>
  </si>
  <si>
    <t>TTKHLTCARE</t>
  </si>
  <si>
    <t>TTKPRESTIG</t>
  </si>
  <si>
    <t>TTML</t>
  </si>
  <si>
    <t>TVSELECT</t>
  </si>
  <si>
    <t>TVSHLTD</t>
  </si>
  <si>
    <t>TVSMOTOR</t>
  </si>
  <si>
    <t>TVSSCS</t>
  </si>
  <si>
    <t>TVSSRICHAK</t>
  </si>
  <si>
    <t>TVTODAY</t>
  </si>
  <si>
    <t>UBL</t>
  </si>
  <si>
    <t>UCOBANK</t>
  </si>
  <si>
    <t>UDS</t>
  </si>
  <si>
    <t>UEL</t>
  </si>
  <si>
    <t>UFLEX</t>
  </si>
  <si>
    <t>UFO</t>
  </si>
  <si>
    <t>UGARSUGAR</t>
  </si>
  <si>
    <t>UGROCAP</t>
  </si>
  <si>
    <t>UJJIVANSFB</t>
  </si>
  <si>
    <t>ULTRACEMCO</t>
  </si>
  <si>
    <t>UNICHEMLAB</t>
  </si>
  <si>
    <t>UNIENTER</t>
  </si>
  <si>
    <t>UNIONBANK</t>
  </si>
  <si>
    <t>UNIPARTS</t>
  </si>
  <si>
    <t>UNITDSPR</t>
  </si>
  <si>
    <t>UNITECH</t>
  </si>
  <si>
    <t>UNIVCABLES</t>
  </si>
  <si>
    <t>UNOMINDA</t>
  </si>
  <si>
    <t>UPL</t>
  </si>
  <si>
    <t>URJA</t>
  </si>
  <si>
    <t>USHAMART</t>
  </si>
  <si>
    <t>UTIAMC</t>
  </si>
  <si>
    <t>UTKARSHBNK</t>
  </si>
  <si>
    <t>UTTAMSUGAR</t>
  </si>
  <si>
    <t>V2RETAIL</t>
  </si>
  <si>
    <t>VADILALIND</t>
  </si>
  <si>
    <t>VAIBHAVGBL</t>
  </si>
  <si>
    <t>VAKRANGEE</t>
  </si>
  <si>
    <t>VALIANTLAB</t>
  </si>
  <si>
    <t>VALIANTORG</t>
  </si>
  <si>
    <t>VARROC</t>
  </si>
  <si>
    <t>VASCONEQ</t>
  </si>
  <si>
    <t>VBL</t>
  </si>
  <si>
    <t>VEDL</t>
  </si>
  <si>
    <t>VENKEYS</t>
  </si>
  <si>
    <t>VENUSPIPES</t>
  </si>
  <si>
    <t>VENUSREM</t>
  </si>
  <si>
    <t>VERANDA</t>
  </si>
  <si>
    <t>VESUVIUS</t>
  </si>
  <si>
    <t>VGUARD</t>
  </si>
  <si>
    <t>VHL</t>
  </si>
  <si>
    <t>VHLTD</t>
  </si>
  <si>
    <t>VIDHIING</t>
  </si>
  <si>
    <t>VIJAYA</t>
  </si>
  <si>
    <t>VIKASECO</t>
  </si>
  <si>
    <t>VIKASLIFE</t>
  </si>
  <si>
    <t>VILAS</t>
  </si>
  <si>
    <t>VIMTALABS</t>
  </si>
  <si>
    <t>VINATIORGA</t>
  </si>
  <si>
    <t>VINDHYATEL</t>
  </si>
  <si>
    <t>VINSYS</t>
  </si>
  <si>
    <t>VINYAS</t>
  </si>
  <si>
    <t>VINYLINDIA</t>
  </si>
  <si>
    <t>VIPIND</t>
  </si>
  <si>
    <t>VIPULLTD</t>
  </si>
  <si>
    <t>VISAKAIND</t>
  </si>
  <si>
    <t>VISHNU</t>
  </si>
  <si>
    <t>VISHNUINFR</t>
  </si>
  <si>
    <t>VIVIANA</t>
  </si>
  <si>
    <t>VLEGOV</t>
  </si>
  <si>
    <t>VLSFINANCE</t>
  </si>
  <si>
    <t>VMART</t>
  </si>
  <si>
    <t>VOLTAMP</t>
  </si>
  <si>
    <t>VOLTAS</t>
  </si>
  <si>
    <t>VPRPL</t>
  </si>
  <si>
    <t>VRAJ</t>
  </si>
  <si>
    <t>VRLLOG</t>
  </si>
  <si>
    <t>VSSL</t>
  </si>
  <si>
    <t>VSTIND</t>
  </si>
  <si>
    <t>VSTTILLERS</t>
  </si>
  <si>
    <t>VTL</t>
  </si>
  <si>
    <t>WABAG</t>
  </si>
  <si>
    <t>WALCHANNAG</t>
  </si>
  <si>
    <t>WANBURY</t>
  </si>
  <si>
    <t>WEALTH</t>
  </si>
  <si>
    <t>WEBELSOLAR</t>
  </si>
  <si>
    <t>WEL</t>
  </si>
  <si>
    <t>WELCORP</t>
  </si>
  <si>
    <t>WELENT</t>
  </si>
  <si>
    <t>WELSPUNLIV</t>
  </si>
  <si>
    <t>WENDT</t>
  </si>
  <si>
    <t>WESTLIFE</t>
  </si>
  <si>
    <t>WHEELS</t>
  </si>
  <si>
    <t>WHIRLPOOL</t>
  </si>
  <si>
    <t>WINDLAS</t>
  </si>
  <si>
    <t>WINDMACHIN</t>
  </si>
  <si>
    <t>WINSOL</t>
  </si>
  <si>
    <t>WIPRO</t>
  </si>
  <si>
    <t>WOCKPHARMA</t>
  </si>
  <si>
    <t>WONDERLA</t>
  </si>
  <si>
    <t>WSI</t>
  </si>
  <si>
    <t>WSTCSTPAPR</t>
  </si>
  <si>
    <t>WTICAB</t>
  </si>
  <si>
    <t>XCHANGING</t>
  </si>
  <si>
    <t>XPROINDIA</t>
  </si>
  <si>
    <t>YASHO</t>
  </si>
  <si>
    <t>YATHARTH</t>
  </si>
  <si>
    <t>YATRA</t>
  </si>
  <si>
    <t>YESBANK</t>
  </si>
  <si>
    <t>YUKEN</t>
  </si>
  <si>
    <t>ZAGGLE</t>
  </si>
  <si>
    <t>ZEEL</t>
  </si>
  <si>
    <t>ZEEMEDIA</t>
  </si>
  <si>
    <t>ZENSARTECH</t>
  </si>
  <si>
    <t>ZENTEC</t>
  </si>
  <si>
    <t>ZFCVINDIA</t>
  </si>
  <si>
    <t>ZIMLAB</t>
  </si>
  <si>
    <t>ZODIAC</t>
  </si>
  <si>
    <t>ZOTA</t>
  </si>
  <si>
    <t>ZUARI</t>
  </si>
  <si>
    <t>ZUARIIND</t>
  </si>
  <si>
    <t>ZYDUSLIFE</t>
  </si>
  <si>
    <t>ZYDUSWELL</t>
  </si>
  <si>
    <t>exchange</t>
  </si>
  <si>
    <t>trading_symbol</t>
  </si>
  <si>
    <t>ltp</t>
  </si>
  <si>
    <t>qty</t>
  </si>
  <si>
    <t>buy_price</t>
  </si>
  <si>
    <t>sell_price</t>
  </si>
  <si>
    <t>profit_percent</t>
  </si>
  <si>
    <t>trade_risk</t>
  </si>
  <si>
    <t>position_size</t>
  </si>
  <si>
    <t>NSE</t>
  </si>
  <si>
    <t>proft_or_risk</t>
  </si>
  <si>
    <t>points</t>
  </si>
  <si>
    <t>est. qty</t>
  </si>
  <si>
    <t>Stock Name</t>
  </si>
  <si>
    <t>Scrip Code</t>
  </si>
  <si>
    <t>KILPEST</t>
  </si>
  <si>
    <t>AHL</t>
  </si>
  <si>
    <t>KRONECOMM</t>
  </si>
  <si>
    <t>ADORFO</t>
  </si>
  <si>
    <t>ADORWELD</t>
  </si>
  <si>
    <t>ATFL</t>
  </si>
  <si>
    <t>AKCAPIT</t>
  </si>
  <si>
    <t>HINDEVER</t>
  </si>
  <si>
    <t>AIML</t>
  </si>
  <si>
    <t>ALLSEC</t>
  </si>
  <si>
    <t>AMIORG</t>
  </si>
  <si>
    <t>ANDHRAPET</t>
  </si>
  <si>
    <t>ANDREWYU</t>
  </si>
  <si>
    <t>ARTSONENGG</t>
  </si>
  <si>
    <t>ASTAR</t>
  </si>
  <si>
    <t>ASMTEC</t>
  </si>
  <si>
    <t>AUTOCORP</t>
  </si>
  <si>
    <t>AXTEL</t>
  </si>
  <si>
    <t>BAJAJST</t>
  </si>
  <si>
    <t>BLIL</t>
  </si>
  <si>
    <t>BEEKAY</t>
  </si>
  <si>
    <t>BENARAS</t>
  </si>
  <si>
    <t>BENGALASM</t>
  </si>
  <si>
    <t>BHARATAGRI</t>
  </si>
  <si>
    <t>BHINVIT</t>
  </si>
  <si>
    <t>BLACKROSE</t>
  </si>
  <si>
    <t>BLUECLOUDS</t>
  </si>
  <si>
    <t>BHILTEX</t>
  </si>
  <si>
    <t>CAREERP</t>
  </si>
  <si>
    <t>ADCC</t>
  </si>
  <si>
    <t>CENTURYTEX</t>
  </si>
  <si>
    <t>ZPPOLYSA</t>
  </si>
  <si>
    <t>DANLAW</t>
  </si>
  <si>
    <t>DECNGOLD</t>
  </si>
  <si>
    <t>DEEPENR</t>
  </si>
  <si>
    <t>GEORGFISCH</t>
  </si>
  <si>
    <t>DRAGARWQ</t>
  </si>
  <si>
    <t>ECORECO</t>
  </si>
  <si>
    <t>AMANITRA</t>
  </si>
  <si>
    <t>DRBECK</t>
  </si>
  <si>
    <t>ELPROINTL</t>
  </si>
  <si>
    <t>EMPIND</t>
  </si>
  <si>
    <t>ENKEIWHEL</t>
  </si>
  <si>
    <t>IBREALEST</t>
  </si>
  <si>
    <t>TOBUENT</t>
  </si>
  <si>
    <t>IMCAP</t>
  </si>
  <si>
    <t>FINKURVE</t>
  </si>
  <si>
    <t>FORBESGOK</t>
  </si>
  <si>
    <t>FRONTSP</t>
  </si>
  <si>
    <t>GET&amp;D</t>
  </si>
  <si>
    <t>GLS</t>
  </si>
  <si>
    <t>GMRINFRA</t>
  </si>
  <si>
    <t>GOODYEAR</t>
  </si>
  <si>
    <t>INTELLCAP</t>
  </si>
  <si>
    <t>GRAUWEIL</t>
  </si>
  <si>
    <t>GUJTHEMIS</t>
  </si>
  <si>
    <t>HALDYNGL</t>
  </si>
  <si>
    <t>RPIL</t>
  </si>
  <si>
    <t>HAWKINCOOK</t>
  </si>
  <si>
    <t>HBLPOWER</t>
  </si>
  <si>
    <t>HIGHENE</t>
  </si>
  <si>
    <t>HIL</t>
  </si>
  <si>
    <t>ISEC</t>
  </si>
  <si>
    <t>IDFC</t>
  </si>
  <si>
    <t>IIFLSEC</t>
  </si>
  <si>
    <t>INDAG</t>
  </si>
  <si>
    <t>IBULHSGFIN</t>
  </si>
  <si>
    <t>INDPRUD</t>
  </si>
  <si>
    <t>IWEL</t>
  </si>
  <si>
    <t>INTEGRAEN</t>
  </si>
  <si>
    <t>INTLTRAVHS</t>
  </si>
  <si>
    <t>ISMTLTD</t>
  </si>
  <si>
    <t>ISTLTD</t>
  </si>
  <si>
    <t>JAGAJITIND</t>
  </si>
  <si>
    <t>JKSYNTHETC</t>
  </si>
  <si>
    <t>FLATPROD</t>
  </si>
  <si>
    <t>JUBLINDS</t>
  </si>
  <si>
    <t>JYOTIRES</t>
  </si>
  <si>
    <t>AXIS</t>
  </si>
  <si>
    <t>KAMAHOLD</t>
  </si>
  <si>
    <t>KENNAMET</t>
  </si>
  <si>
    <t>KILBUNENGG</t>
  </si>
  <si>
    <t>KIRANVYPAR</t>
  </si>
  <si>
    <t>KIRLFER</t>
  </si>
  <si>
    <t>KISAN</t>
  </si>
  <si>
    <t>SEQUELE</t>
  </si>
  <si>
    <t>KMCSHIL</t>
  </si>
  <si>
    <t>KOVAI</t>
  </si>
  <si>
    <t>KSE</t>
  </si>
  <si>
    <t>KPL</t>
  </si>
  <si>
    <t>LAXMIMACH</t>
  </si>
  <si>
    <t>LANCER</t>
  </si>
  <si>
    <t>TRANSFIN</t>
  </si>
  <si>
    <t>SHRGLTR</t>
  </si>
  <si>
    <t>LOTUSCHO</t>
  </si>
  <si>
    <t>MCCHRLS-B</t>
  </si>
  <si>
    <t>MAFATLAIND</t>
  </si>
  <si>
    <t>SIPROJECTS</t>
  </si>
  <si>
    <t>MARSONS</t>
  </si>
  <si>
    <t>MMWL</t>
  </si>
  <si>
    <t>MERCURY</t>
  </si>
  <si>
    <t>MISHTANN</t>
  </si>
  <si>
    <t>IKAB</t>
  </si>
  <si>
    <t>MODINSULAT</t>
  </si>
  <si>
    <t>DHANUKACOM</t>
  </si>
  <si>
    <t>MORGANITE</t>
  </si>
  <si>
    <t>NATPEROXID</t>
  </si>
  <si>
    <t>NEWTIME</t>
  </si>
  <si>
    <t>KFL</t>
  </si>
  <si>
    <t>NICCOPAR</t>
  </si>
  <si>
    <t>NIKHILAD</t>
  </si>
  <si>
    <t>NILE</t>
  </si>
  <si>
    <t>NIRLON</t>
  </si>
  <si>
    <t>KERALACHEM</t>
  </si>
  <si>
    <t>M3GLOBAL</t>
  </si>
  <si>
    <t>NOVARTIND</t>
  </si>
  <si>
    <t>ORVENPR</t>
  </si>
  <si>
    <t>APUNKA</t>
  </si>
  <si>
    <t>PAUSHAKLTD</t>
  </si>
  <si>
    <t>PERMAGNET</t>
  </si>
  <si>
    <t>PQIF</t>
  </si>
  <si>
    <t>SWORDNSH</t>
  </si>
  <si>
    <t>PUNALKALI</t>
  </si>
  <si>
    <t>RNBDENIMS</t>
  </si>
  <si>
    <t>RRML</t>
  </si>
  <si>
    <t>RAJPALAYAM</t>
  </si>
  <si>
    <t>RBL</t>
  </si>
  <si>
    <t>RAVINDT</t>
  </si>
  <si>
    <t>RIR</t>
  </si>
  <si>
    <t>RMC</t>
  </si>
  <si>
    <t>HIMFIBP</t>
  </si>
  <si>
    <t>MDINDUCTO</t>
  </si>
  <si>
    <t>SAINTGOBAIN</t>
  </si>
  <si>
    <t>SAPL</t>
  </si>
  <si>
    <t>ZSARACOM</t>
  </si>
  <si>
    <t>SATINDLTD</t>
  </si>
  <si>
    <t>SAYAJIHOTL</t>
  </si>
  <si>
    <t>SCOOTER</t>
  </si>
  <si>
    <t>MOONGIPASEC</t>
  </si>
  <si>
    <t>JARITEX</t>
  </si>
  <si>
    <t>SEIL</t>
  </si>
  <si>
    <t>SHILCTECH</t>
  </si>
  <si>
    <t>SHIVACEM</t>
  </si>
  <si>
    <t>SGRL</t>
  </si>
  <si>
    <t>SHREYAS</t>
  </si>
  <si>
    <t>SHRJAGP</t>
  </si>
  <si>
    <t>SRAMSET</t>
  </si>
  <si>
    <t>SIKA</t>
  </si>
  <si>
    <t>SINGER</t>
  </si>
  <si>
    <t>SPICELEC</t>
  </si>
  <si>
    <t>SPICEJET</t>
  </si>
  <si>
    <t>KANSAFB</t>
  </si>
  <si>
    <t>STOVACQ</t>
  </si>
  <si>
    <t>SUNSHIEL</t>
  </si>
  <si>
    <t>SUPER</t>
  </si>
  <si>
    <t>SURAJ</t>
  </si>
  <si>
    <t>SUVENPHAR</t>
  </si>
  <si>
    <t>SWADPOL</t>
  </si>
  <si>
    <t>NETWORK</t>
  </si>
  <si>
    <t>SYSTMTXC</t>
  </si>
  <si>
    <t>TAALENT</t>
  </si>
  <si>
    <t>TANEJAERO</t>
  </si>
  <si>
    <t>TANFACIND</t>
  </si>
  <si>
    <t>TCLCONS</t>
  </si>
  <si>
    <t>ASWTR</t>
  </si>
  <si>
    <t>TCNSBRANDS</t>
  </si>
  <si>
    <t>TECHNVISN</t>
  </si>
  <si>
    <t>SREERAYALK</t>
  </si>
  <si>
    <t>YAMUNA</t>
  </si>
  <si>
    <t>TIDEWATER</t>
  </si>
  <si>
    <t>TIMEXWATCH</t>
  </si>
  <si>
    <t>TIPSINDLTD</t>
  </si>
  <si>
    <t>TRIL</t>
  </si>
  <si>
    <t>TRANSPEK</t>
  </si>
  <si>
    <t>TUTICORALK</t>
  </si>
  <si>
    <t>TV18BRDCST</t>
  </si>
  <si>
    <t>UDAICEMENT</t>
  </si>
  <si>
    <t>ULTRMARINE</t>
  </si>
  <si>
    <t>UNIABEXAL</t>
  </si>
  <si>
    <t>URAVI</t>
  </si>
  <si>
    <t>VALIANT</t>
  </si>
  <si>
    <t>POOJAENT</t>
  </si>
  <si>
    <t>VELJAN</t>
  </si>
  <si>
    <t>VERITAS</t>
  </si>
  <si>
    <t>VIKRAMTH</t>
  </si>
  <si>
    <t>SPACEAGE</t>
  </si>
  <si>
    <t>PORRITSPEN</t>
  </si>
  <si>
    <t>SAL</t>
  </si>
  <si>
    <t>HKT</t>
  </si>
  <si>
    <t>MANVIJAY</t>
  </si>
  <si>
    <t>REMIMETAL</t>
  </si>
  <si>
    <t>WIMPLAST</t>
  </si>
  <si>
    <t>WPIL</t>
  </si>
  <si>
    <t>FRONTIER</t>
  </si>
  <si>
    <t>ZFSTEERING</t>
  </si>
  <si>
    <t>ZOMATO</t>
  </si>
  <si>
    <t>20 Microns Ltd. (20MICRONS)</t>
  </si>
  <si>
    <t>360 One Wam Ltd. (360ONE)</t>
  </si>
  <si>
    <t>3i Infotech Ltd. (3IINFOLTD)</t>
  </si>
  <si>
    <t>3M India Ltd. (3MINDIA)</t>
  </si>
  <si>
    <t>5Paisa Capital Ltd. (5PAISA)</t>
  </si>
  <si>
    <t>63 Moons Technologies Ltd. (63MOONS)</t>
  </si>
  <si>
    <t>Aadhar Housing Finance Ltd. (AADHARHFC)</t>
  </si>
  <si>
    <t>Aarti Drugs Ltd. (AARTIDRUGS)</t>
  </si>
  <si>
    <t>Aarti Industries Ltd. (AARTIIND)</t>
  </si>
  <si>
    <t>Aarti Pharmalabs Ltd. (AARTIPHARM)</t>
  </si>
  <si>
    <t>Aarti Surfactants Ltd. (AARTISURF)</t>
  </si>
  <si>
    <t>Aavas Financiers Ltd. (AAVAS)</t>
  </si>
  <si>
    <t>ABB India Ltd. (ABB)</t>
  </si>
  <si>
    <t>Abbott India Ltd. (ABBOTINDIA)</t>
  </si>
  <si>
    <t>Aditya Birla Capital Ltd. (ABCAPITAL)</t>
  </si>
  <si>
    <t>Allied Blenders &amp; Distillers Ltd. (ABDL)</t>
  </si>
  <si>
    <t>Aditya Birla Fashion and Retail Ltd. (ABFRL)</t>
  </si>
  <si>
    <t>Aditya Birla Sun Life AMC Ltd. (ABSLAMC)</t>
  </si>
  <si>
    <t>ABS Marine Services Ltd. (ABSMARINE)</t>
  </si>
  <si>
    <t>ACC Ltd. (ACC)</t>
  </si>
  <si>
    <t>Accelya Solutions India Ltd. (ACCELYA)</t>
  </si>
  <si>
    <t>Accent Microcell Ltd. (ACCENTMIC)</t>
  </si>
  <si>
    <t>Action Construction Equipment Ltd. (ACE)</t>
  </si>
  <si>
    <t>Archean Chemical Industries Ltd. (ACI)</t>
  </si>
  <si>
    <t>Andhra Cements Ltd. (ACL)</t>
  </si>
  <si>
    <t>Allcargo Gati Ltd. (ACLGATI)</t>
  </si>
  <si>
    <t>Adani Energy Solutions Ltd. (ADANIENSOL)</t>
  </si>
  <si>
    <t>Adani Enterprises Ltd. (ADANIENT)</t>
  </si>
  <si>
    <t>Adani Green Energy Ltd. (ADANIGREEN)</t>
  </si>
  <si>
    <t>Adani Ports &amp; Special Economic Zone Ltd. (ADANIPORTS)</t>
  </si>
  <si>
    <t>Adani Power Ltd. (ADANIPOWER)</t>
  </si>
  <si>
    <t>Ceinsys Tech Ltd. (ADCC)</t>
  </si>
  <si>
    <t>ADF Foods Ltd. (ADFFOODS)</t>
  </si>
  <si>
    <t>Ador Fontech Ltd. (ADORFO)</t>
  </si>
  <si>
    <t>Ador Welding Ltd. (ADORWELD)</t>
  </si>
  <si>
    <t>Allied Digital Services Ltd. (ADSL)</t>
  </si>
  <si>
    <t>Advani Hotels &amp; Resorts (India) Ltd. (ADVANIHOTR)</t>
  </si>
  <si>
    <t>Advanced Enzyme Technologies Ltd. (ADVENZYMES)</t>
  </si>
  <si>
    <t>Aegis Logistics Ltd. (AEGISLOG)</t>
  </si>
  <si>
    <t>Aeroflex Industries Ltd. (AEROFLEX)</t>
  </si>
  <si>
    <t>Aether Industries Ltd. (AETHER)</t>
  </si>
  <si>
    <t>Affle (India) Ltd. (AFFLE)</t>
  </si>
  <si>
    <t>Agarwal Industrial Corporation Ltd. (AGARIND)</t>
  </si>
  <si>
    <t>AGI Greenpac Ltd. (AGI)</t>
  </si>
  <si>
    <t>AGI Infra Ltd. (AGIIL)</t>
  </si>
  <si>
    <t>AGS Transact Technologies Ltd. (AGSTRA)</t>
  </si>
  <si>
    <t>Abans Holdings Ltd. (AHL)</t>
  </si>
  <si>
    <t>Ahluwalia Contracts (India) Ltd. (AHLUCONT)</t>
  </si>
  <si>
    <t>AIA Engineering Ltd. (AIAENG)</t>
  </si>
  <si>
    <t>Authum Investment &amp; Infrastructure Ltd. (AIIL)</t>
  </si>
  <si>
    <t>Alliance Integrated Metaliks Ltd. (AIML)</t>
  </si>
  <si>
    <t>Aimtron Electronics Ltd. (AIMTRON)</t>
  </si>
  <si>
    <t>Ajanta Pharma Ltd. (AJANTPHARM)</t>
  </si>
  <si>
    <t>Ajmera Realty &amp; Infra India Ltd. (AJMERA)</t>
  </si>
  <si>
    <t>AK Capital Services Ltd. (AKCAPIT)</t>
  </si>
  <si>
    <t>Akzo Nobel India Ltd. (AKZOINDIA)</t>
  </si>
  <si>
    <t>Alankit Ltd. (ALANKIT)</t>
  </si>
  <si>
    <t>Albert David Ltd. (ALBERTDAVD)</t>
  </si>
  <si>
    <t>Alembic Ltd. (ALEMBICLTD)</t>
  </si>
  <si>
    <t>Alicon Castalloy Ltd. (ALICON)</t>
  </si>
  <si>
    <t>Alkem Laboratories Ltd. (ALKEM)</t>
  </si>
  <si>
    <t>Alkyl Amines Chemicals Ltd. (ALKYLAMINE)</t>
  </si>
  <si>
    <t>Allcargo Logistics Ltd. (ALLCARGO)</t>
  </si>
  <si>
    <t>All e Technologies Ltd. (ALLETEC)</t>
  </si>
  <si>
    <t>Allsec Technologies Ltd. (ALLSEC)</t>
  </si>
  <si>
    <t>Alok Industries Ltd. (ALOKINDS)</t>
  </si>
  <si>
    <t>Alpex Solar Ltd. (ALPEXSOLAR)</t>
  </si>
  <si>
    <t>EFC (I) Ltd. (AMANITRA)</t>
  </si>
  <si>
    <t>Amber Enterprises India Ltd. (AMBER)</t>
  </si>
  <si>
    <t>Ambika Cotton Mills Ltd. (AMBIKCO)</t>
  </si>
  <si>
    <t>Ambuja Cements Ltd. (AMBUJACEM)</t>
  </si>
  <si>
    <t>Ami Organics Ltd. (AMIORG)</t>
  </si>
  <si>
    <t>Amines &amp; Plasticizers Ltd. (AMNPLST)</t>
  </si>
  <si>
    <t>Amrutanjan Health Care Ltd. (AMRUTANJAN)</t>
  </si>
  <si>
    <t>Anand Rathi Wealth Ltd. (ANANDRATHI)</t>
  </si>
  <si>
    <t>Anant Raj Ltd. (ANANTRAJ)</t>
  </si>
  <si>
    <t>Andhra Paper Ltd. (ANDHRAPAP)</t>
  </si>
  <si>
    <t>Andhra Petrochemicals Ltd. (ANDHRAPET)</t>
  </si>
  <si>
    <t>Andhra Sugars Ltd. (ANDHRSUGAR)</t>
  </si>
  <si>
    <t>Andrew Yule &amp; Company Ltd. (ANDREWYU)</t>
  </si>
  <si>
    <t>Angel One Ltd. (ANGELONE)</t>
  </si>
  <si>
    <t>Annapurna Swadisht Ltd. (ANNAPURNA)</t>
  </si>
  <si>
    <t>Anuh Pharma Ltd. (ANUHPHR)</t>
  </si>
  <si>
    <t>The Anup Engineering Ltd. (ANUP)</t>
  </si>
  <si>
    <t>Anupam Rasayan India Ltd. (ANURAS)</t>
  </si>
  <si>
    <t>Anzen India Energy Yield Plus Trust (ANZEN)</t>
  </si>
  <si>
    <t>Apar Industries Ltd. (APARINDS)</t>
  </si>
  <si>
    <t>Anjani Portland Cement Ltd. (APCL)</t>
  </si>
  <si>
    <t>Apcotex Industries Ltd. (APCOTEXIND)</t>
  </si>
  <si>
    <t>Apex Frozen Foods Ltd. (APEX)</t>
  </si>
  <si>
    <t>APL Apollo Tubes Ltd. (APLAPOLLO)</t>
  </si>
  <si>
    <t>Alembic Pharmaceuticals Ltd. (APLLTD)</t>
  </si>
  <si>
    <t>Apollo Micro Systems Ltd. (APOLLO)</t>
  </si>
  <si>
    <t>Apollo Hospitals Enterprise Ltd. (APOLLOHOSP)</t>
  </si>
  <si>
    <t>Apollo Pipes Ltd. (APOLLOPIPE)</t>
  </si>
  <si>
    <t>Apollo Tyres Ltd. (APOLLOTYRE)</t>
  </si>
  <si>
    <t>Australian Premium Solar (India) Ltd. (APS)</t>
  </si>
  <si>
    <t>Aptech Ltd. (APTECHT)</t>
  </si>
  <si>
    <t>Aptus Value Housing Finance India Ltd. (APTUS)</t>
  </si>
  <si>
    <t>Panorama Studios International Ltd. (APUNKA)</t>
  </si>
  <si>
    <t>Amara Raja Energy &amp; Mobility Ltd. (ARE&amp;M)</t>
  </si>
  <si>
    <t>Arfin India Ltd. (ARFIN)</t>
  </si>
  <si>
    <t>Arihant Capital Markets Ltd. (ARIHANTCAP)</t>
  </si>
  <si>
    <t>Arihant Superstructures Ltd. (ARIHANTSUP)</t>
  </si>
  <si>
    <t>Arman Financial Services Ltd. (ARMANFIN)</t>
  </si>
  <si>
    <t>Arrow Greentech Ltd. (ARROWGREEN)</t>
  </si>
  <si>
    <t>Artemis Medicare Services Ltd. (ARTEMISMED)</t>
  </si>
  <si>
    <t>Artson Engineering Ltd. (ARTSONENGG)</t>
  </si>
  <si>
    <t>Arvind Ltd. (ARVIND)</t>
  </si>
  <si>
    <t>Arvind Fashions Ltd. (ARVINDFASN)</t>
  </si>
  <si>
    <t>Arvind SmartSpaces Ltd. (ARVSMART)</t>
  </si>
  <si>
    <t>Asahi India Glass Ltd. (ASAHIINDIA)</t>
  </si>
  <si>
    <t>Asahi Songwon Colors Ltd. (ASAHISONG)</t>
  </si>
  <si>
    <t>Automotive Stampings and Assemblies Ltd. (ASAL)</t>
  </si>
  <si>
    <t>Associated Alcohols &amp; Breweries Ltd. (ASALCBR)</t>
  </si>
  <si>
    <t>Ashapura Minechem Ltd. (ASHAPURMIN)</t>
  </si>
  <si>
    <t>Ashiana Housing Ltd. (ASHIANA)</t>
  </si>
  <si>
    <t>Ashima Ltd. (ASHIMASYN)</t>
  </si>
  <si>
    <t>Ashoka Buildcon Ltd. (ASHOKA)</t>
  </si>
  <si>
    <t>Ashok Leyland Ltd. (ASHOKLEY)</t>
  </si>
  <si>
    <t>Asian Energy Services Ltd. (ASIANENE)</t>
  </si>
  <si>
    <t>Asian Paints Ltd. (ASIANPAINT)</t>
  </si>
  <si>
    <t>Asian Granito India Ltd. (ASIANTILES)</t>
  </si>
  <si>
    <t>ASK Automotive Ltd. (ASKAUTOLTD)</t>
  </si>
  <si>
    <t>Bartronics India Ltd. (ASMS)</t>
  </si>
  <si>
    <t>ASM Technologies Ltd. (ASMTEC)</t>
  </si>
  <si>
    <t>Asian Star Company Ltd. (ASTAR)</t>
  </si>
  <si>
    <t>Astec Lifesciences Ltd. (ASTEC)</t>
  </si>
  <si>
    <t>Aster DM Healthcare Ltd. (ASTERDM)</t>
  </si>
  <si>
    <t>Astral Ltd. (ASTRAL)</t>
  </si>
  <si>
    <t>Astra Microwave Products Ltd. (ASTRAMICRO)</t>
  </si>
  <si>
    <t>AstraZeneca Pharma India Ltd. (ASTRAZEN)</t>
  </si>
  <si>
    <t>TCC Concept Ltd. (ASWTR)</t>
  </si>
  <si>
    <t>Agro Tech Foods Ltd. (ATFL)</t>
  </si>
  <si>
    <t>Adani Total Gas Ltd. (ATGL)</t>
  </si>
  <si>
    <t>Allcargo Terminals Ltd. (ATL)</t>
  </si>
  <si>
    <t>Atmastco Ltd. (ATMASTCO)</t>
  </si>
  <si>
    <t>Atul Ltd. (ATUL)</t>
  </si>
  <si>
    <t>Atul Auto Ltd. (ATULAUTO)</t>
  </si>
  <si>
    <t>Au Small Finance Bank Ltd. (AUBANK)</t>
  </si>
  <si>
    <t>Aurionpro Solutions Ltd. (AURIONPRO)</t>
  </si>
  <si>
    <t>Aurobindo Pharma Ltd. (AUROPHARMA)</t>
  </si>
  <si>
    <t>Aurum Proptech Ltd. (AURUM)</t>
  </si>
  <si>
    <t>Automotive Axles Ltd. (AUTOAXLES)</t>
  </si>
  <si>
    <t>Automobile Corporation Of Goa Ltd. (AUTOCORP)</t>
  </si>
  <si>
    <t>Autoline Industries Ltd. (AUTOIND)</t>
  </si>
  <si>
    <t>Avadh Sugar &amp; Energy Ltd. (AVADHSUGAR)</t>
  </si>
  <si>
    <t>Avalon Technologies Ltd. (AVALON)</t>
  </si>
  <si>
    <t>Avantel Ltd. (AVANTEL)</t>
  </si>
  <si>
    <t>Avanti Feeds Ltd. (AVANTIFEED)</t>
  </si>
  <si>
    <t>AVG Logistics Ltd. (AVG)</t>
  </si>
  <si>
    <t>Aditya Vision Ltd. (AVL)</t>
  </si>
  <si>
    <t>AVT Natural Products Ltd. (AVTNPL)</t>
  </si>
  <si>
    <t>Awfis Space Solutions Ltd (AWFIS)</t>
  </si>
  <si>
    <t>Antony Waste Handling Cell Ltd. (AWHCL)</t>
  </si>
  <si>
    <t>Adani Wilmar Ltd. (AWL)</t>
  </si>
  <si>
    <t>K&amp;R Rail Engineering Ltd. (AXIS)</t>
  </si>
  <si>
    <t>Axis Bank Ltd. (AXISBANK)</t>
  </si>
  <si>
    <t>AXISCADES Technologies Ltd. (AXISCADES)</t>
  </si>
  <si>
    <t>Axita Cotton Ltd. (AXITA)</t>
  </si>
  <si>
    <t>Axtel Industries Ltd. (AXTEL)</t>
  </si>
  <si>
    <t>AYM Syntex Ltd. (AYMSYNTEX)</t>
  </si>
  <si>
    <t>Azad Engineering Ltd. (AZAD)</t>
  </si>
  <si>
    <t>Bajaj Auto Ltd. (BAJAJ-AUTO)</t>
  </si>
  <si>
    <t>Bajaj Consumer Care Ltd. (BAJAJCON)</t>
  </si>
  <si>
    <t>Bajaj Electricals Ltd. (BAJAJELEC)</t>
  </si>
  <si>
    <t>Bajaj Finserv Ltd. (BAJAJFINSV)</t>
  </si>
  <si>
    <t>Bajaj Healthcare Ltd. (BAJAJHCARE)</t>
  </si>
  <si>
    <t>Bajaj Hindusthan Sugar Ltd. (BAJAJHIND)</t>
  </si>
  <si>
    <t>Bajaj Holdings &amp; Investment Ltd. (BAJAJHLDNG)</t>
  </si>
  <si>
    <t>Bajaj Steel Industries Ltd. (BAJAJST)</t>
  </si>
  <si>
    <t>Bajel Projects Ltd. (BAJEL)</t>
  </si>
  <si>
    <t>Bajaj Finance Ltd. (BAJFINANCE)</t>
  </si>
  <si>
    <t>Balaji Telefilms Ltd. (BALAJITELE)</t>
  </si>
  <si>
    <t>Balaji Amines Ltd. (BALAMINES)</t>
  </si>
  <si>
    <t>Balaxi Pharmaceuticals Ltd. (BALAXI)</t>
  </si>
  <si>
    <t>Balkrishna Industries Ltd. (BALKRISIND)</t>
  </si>
  <si>
    <t>Balmer Lawrie &amp; Company Ltd. (BALMLAWRIE)</t>
  </si>
  <si>
    <t>Balrampur Chini Mills Ltd. (BALRAMCHIN)</t>
  </si>
  <si>
    <t>Balu Forge Industries Ltd. (BALUFORGE)</t>
  </si>
  <si>
    <t>Bannari Amman Sugars Ltd. (BANARISUG)</t>
  </si>
  <si>
    <t>Banco Products (India) Ltd. (BANCOINDIA)</t>
  </si>
  <si>
    <t>Bandhan Bank Ltd. (BANDHANBNK)</t>
  </si>
  <si>
    <t>Bank of Baroda (BANKBARODA)</t>
  </si>
  <si>
    <t>Bank of India (BANKINDIA)</t>
  </si>
  <si>
    <t>Banswara Syntex Ltd. (BANSWRAS)</t>
  </si>
  <si>
    <t>Barbeque-Nation Hospitality Ltd. (BARBEQUE)</t>
  </si>
  <si>
    <t>BASF India Ltd. (BASF)</t>
  </si>
  <si>
    <t>Basilic Fly Studio Ltd. (BASILIC)</t>
  </si>
  <si>
    <t>Bata India Ltd. (BATAINDIA)</t>
  </si>
  <si>
    <t>Bayer Cropscience Ltd. (BAYERCROP)</t>
  </si>
  <si>
    <t>Bharat Bijlee Ltd. (BBL)</t>
  </si>
  <si>
    <t>Black Box Ltd. (BBOX)</t>
  </si>
  <si>
    <t>Bombay Burmah Trading Corporation Ltd. (BBTC)</t>
  </si>
  <si>
    <t>B&amp;B Triplewall Containers Ltd. (BBTCL)</t>
  </si>
  <si>
    <t>Brightcom Group Ltd. (BCG)</t>
  </si>
  <si>
    <t>BCL Industries Ltd. (BCLIND)</t>
  </si>
  <si>
    <t>Brand Concepts Ltd. (BCONCEPTS)</t>
  </si>
  <si>
    <t>Bharat Dynamics Ltd. (BDL)</t>
  </si>
  <si>
    <t>Mrs. Bectors Food Specialities Ltd. (BECTORFOOD)</t>
  </si>
  <si>
    <t>Bedmutha Industries Ltd. (BEDMUTHA)</t>
  </si>
  <si>
    <t>Beekay Steel Industries Ltd. (BEEKAY)</t>
  </si>
  <si>
    <t>Bharat Electronics Ltd. (BEL)</t>
  </si>
  <si>
    <t>BEML Ltd. (BEML)</t>
  </si>
  <si>
    <t>Benares Hotels Ltd. (BENARAS)</t>
  </si>
  <si>
    <t>Bengal &amp; Assam Company Ltd. (BENGALASM)</t>
  </si>
  <si>
    <t>Bhansali Engineering Polymers Ltd. (BEPL)</t>
  </si>
  <si>
    <t>Berger Paints (India) Ltd. (BERGEPAINT)</t>
  </si>
  <si>
    <t>Best Agrolife Ltd. (BESTAGRO)</t>
  </si>
  <si>
    <t>Beta Drugs Ltd. (BETA)</t>
  </si>
  <si>
    <t>BF Investment Ltd. (BFINVEST)</t>
  </si>
  <si>
    <t>BF Utilities Ltd. (BFUTILITIE)</t>
  </si>
  <si>
    <t>Bhagiradha Chemicals &amp; Industries Ltd. (BHAGCHEM)</t>
  </si>
  <si>
    <t>Bhageria Industries Ltd. (BHAGERIA)</t>
  </si>
  <si>
    <t>Bharat Agri Fert &amp; Realty Ltd. (BHARATAGRI)</t>
  </si>
  <si>
    <t>Bharat Forge Ltd. (BHARATFORG)</t>
  </si>
  <si>
    <t>Bharat Rasayan Ltd. (BHARATRAS)</t>
  </si>
  <si>
    <t>Bharat Wire Ropes Ltd. (BHARATWIRE)</t>
  </si>
  <si>
    <t>Bharti Airtel Ltd. (BHARTIARTL)</t>
  </si>
  <si>
    <t>Bharti Hexacom Ltd. (BHARTIHEXA)</t>
  </si>
  <si>
    <t>Bharat Heavy Electricals Ltd. (BHEL)</t>
  </si>
  <si>
    <t>Capital India Finance Ltd. (BHILTEX)</t>
  </si>
  <si>
    <t>Bharat Highways InvIT (BHINVIT)</t>
  </si>
  <si>
    <t>Bigbloc Construction Ltd. (BIGBLOC)</t>
  </si>
  <si>
    <t>Bikaji Foods International Ltd. (BIKAJI)</t>
  </si>
  <si>
    <t>Bhartiya International Ltd. (BIL)</t>
  </si>
  <si>
    <t>Biocon Ltd. (BIOCON)</t>
  </si>
  <si>
    <t>Brookfield India Real Estate Trust (BIRET)</t>
  </si>
  <si>
    <t>Birla Cable Ltd. (BIRLACABLE)</t>
  </si>
  <si>
    <t>Birla Corporation Ltd. (BIRLACORPN)</t>
  </si>
  <si>
    <t>Aditya Birla Money Ltd. (BIRLAMONEY)</t>
  </si>
  <si>
    <t>Black Rose Industries Ltd. (BLACKROSE)</t>
  </si>
  <si>
    <t>BEML Land Assets Ltd. (BLAL)</t>
  </si>
  <si>
    <t>Balmer Lawrie Investments Ltd. (BLIL)</t>
  </si>
  <si>
    <t>Bliss GVS Pharma Ltd. (BLISSGVS)</t>
  </si>
  <si>
    <t>B L Kashyap &amp; Sons Ltd. (BLKASHYAP)</t>
  </si>
  <si>
    <t>BLS International Services Ltd. (BLS)</t>
  </si>
  <si>
    <t>BLS E-Services Ltd. (BLSE)</t>
  </si>
  <si>
    <t>Blue Cloud Softech Solutions Ltd. (BLUECLOUDS)</t>
  </si>
  <si>
    <t>Blue Dart Express Ltd. (BLUEDART)</t>
  </si>
  <si>
    <t>Blue Jet Healthcare Ltd (BLUEJET)</t>
  </si>
  <si>
    <t>Blue Star Ltd. (BLUESTARCO)</t>
  </si>
  <si>
    <t>Bodal Chemicals Ltd. (BODALCHEM)</t>
  </si>
  <si>
    <t>Bombay Dyeing &amp; Manufacturing Company Ltd. (BOMDYEING)</t>
  </si>
  <si>
    <t>Borosil Ltd. (BOROLTD)</t>
  </si>
  <si>
    <t>Borosil Renewables Ltd. (BORORENEW)</t>
  </si>
  <si>
    <t>Borosil Scientific Ltd. (BOROSCI)</t>
  </si>
  <si>
    <t>Bosch Ltd. (BOSCHLTD)</t>
  </si>
  <si>
    <t>Bharat Petroleum Corporation Ltd. (BPCL)</t>
  </si>
  <si>
    <t>BPL Ltd. (BPL)</t>
  </si>
  <si>
    <t>Brigade Enterprises Ltd. (BRIGADE)</t>
  </si>
  <si>
    <t>Britannia Industries Ltd. (BRITANNIA)</t>
  </si>
  <si>
    <t>BSE Ltd. (BSE)</t>
  </si>
  <si>
    <t>Bombay Super Hybrid Seeds Ltd. (BSHSL)</t>
  </si>
  <si>
    <t>Birlasoft Ltd. (BSOFT)</t>
  </si>
  <si>
    <t>Butterfly Gandhimathi Appliances Ltd. (BUTTERFLY)</t>
  </si>
  <si>
    <t>Camlin Fine Sciences Ltd. (CAMLINFINE)</t>
  </si>
  <si>
    <t>Campus Activewear Ltd. (CAMPUS)</t>
  </si>
  <si>
    <t>Computer Age Management Services Ltd. (CAMS)</t>
  </si>
  <si>
    <t>Canara Bank (CANBK)</t>
  </si>
  <si>
    <t>Can Fin Homes Ltd. (CANFINHOME)</t>
  </si>
  <si>
    <t>Cantabil Retail India Ltd. (CANTABIL)</t>
  </si>
  <si>
    <t>Capacit'e Infraprojects Ltd. (CAPACITE)</t>
  </si>
  <si>
    <t>Capital Small Finance Bank Ltd. (CAPITALSFB)</t>
  </si>
  <si>
    <t>Caplin Point Laboratories Ltd. (CAPLIPOINT)</t>
  </si>
  <si>
    <t>Carborundum Universal Ltd. (CARBORUNIV)</t>
  </si>
  <si>
    <t>Career Point Ltd. (CAREERP)</t>
  </si>
  <si>
    <t>CARE Ratings Ltd. (CARERATING)</t>
  </si>
  <si>
    <t>CarTrade Tech Ltd. (CARTRADE)</t>
  </si>
  <si>
    <t>Carysil Ltd. (CARYSIL)</t>
  </si>
  <si>
    <t>Castrol India Ltd. (CASTROLIND)</t>
  </si>
  <si>
    <t>CCL Products India Ltd. (CCL)</t>
  </si>
  <si>
    <t>Central Depository Services (India) Ltd. (CDSL)</t>
  </si>
  <si>
    <t>Ceat Ltd. (CEATLTD)</t>
  </si>
  <si>
    <t>Cellecor Gadgets Ltd. (CELLECOR)</t>
  </si>
  <si>
    <t>Cello World Ltd. (CELLO)</t>
  </si>
  <si>
    <t>Century Enka Ltd. (CENTENKA)</t>
  </si>
  <si>
    <t>Central Bank of India (CENTRALBK)</t>
  </si>
  <si>
    <t>Centrum Capital Ltd. (CENTRUM)</t>
  </si>
  <si>
    <t>Centum Electronics Ltd. (CENTUM)</t>
  </si>
  <si>
    <t>Century Plyboards (India) Ltd. (CENTURYPLY)</t>
  </si>
  <si>
    <t>Century Textiles &amp; Industries Ltd. (CENTURYTEX)</t>
  </si>
  <si>
    <t>Cera Sanitaryware Ltd. (CERA)</t>
  </si>
  <si>
    <t>CESC Ltd. (CESC)</t>
  </si>
  <si>
    <t>Capri Global Capital Ltd. (CGCL)</t>
  </si>
  <si>
    <t>CG Power and Industrial Solutions Ltd. (CGPOWER)</t>
  </si>
  <si>
    <t>Chalet Hotels Ltd. (CHALET)</t>
  </si>
  <si>
    <t>Chambal Fertilisers &amp; Chemicals Ltd. (CHAMBLFERT)</t>
  </si>
  <si>
    <t>Chembond Chemicals Ltd. (CHEMBOND)</t>
  </si>
  <si>
    <t>Chemcon Speciality Chemicals Ltd. (CHEMCON)</t>
  </si>
  <si>
    <t>Chemfab Alkalis Ltd. (CHEMFAB)</t>
  </si>
  <si>
    <t>Chemplast Sanmar Ltd. (CHEMPLASTS)</t>
  </si>
  <si>
    <t>Chennai Petroleum Corporation Ltd. (CHENNPETRO)</t>
  </si>
  <si>
    <t>Cheviot Company Ltd. (CHEVIOT)</t>
  </si>
  <si>
    <t>Choice International Ltd. (CHOICEIN)</t>
  </si>
  <si>
    <t>Cholamandalam Investment &amp; Finance Company Ltd. (CHOLAFIN)</t>
  </si>
  <si>
    <t>Cholamandalam Financial Holdings Ltd. (CHOLAHLDNG)</t>
  </si>
  <si>
    <t>CIE Automotive India Ltd. (CIEINDIA)</t>
  </si>
  <si>
    <t>Cigniti Technologies Ltd. (CIGNITITEC)</t>
  </si>
  <si>
    <t>Cipla Ltd. (CIPLA)</t>
  </si>
  <si>
    <t>Clean Science &amp; Technology Ltd. (CLEAN)</t>
  </si>
  <si>
    <t>Chaman Lal Setia Exports Ltd. (CLSEL)</t>
  </si>
  <si>
    <t>CMS Info Systems Ltd. (CMSINFO)</t>
  </si>
  <si>
    <t>Coal India Ltd. (COALINDIA)</t>
  </si>
  <si>
    <t>Cochin Shipyard Ltd. (COCHINSHIP)</t>
  </si>
  <si>
    <t>Coffee Day Enterprises Ltd. (COFFEEDAY)</t>
  </si>
  <si>
    <t>Coforge Ltd. (COFORGE)</t>
  </si>
  <si>
    <t>Colgate-Palmolive (India) Ltd. (COLPAL)</t>
  </si>
  <si>
    <t>Container Corporation of India Ltd. (CONCOR)</t>
  </si>
  <si>
    <t>Concord Biotech Ltd. (CONCORDBIO)</t>
  </si>
  <si>
    <t>Confidence Petroleum India Ltd. (CONFIPET)</t>
  </si>
  <si>
    <t>Consolidated Finvest &amp; Holdings Ltd. (CONSOFINVT)</t>
  </si>
  <si>
    <t>Control Print Ltd. (CONTROLPR)</t>
  </si>
  <si>
    <t>Coromandel International Ltd. (COROMANDEL)</t>
  </si>
  <si>
    <t>Cosmo First Ltd. (COSMOFIRST)</t>
  </si>
  <si>
    <t>Craftsman Automation Ltd. (CRAFTSMAN)</t>
  </si>
  <si>
    <t>Creative Newtech Ltd. (CREATIVE)</t>
  </si>
  <si>
    <t>CreditAccess Grameen Ltd. (CREDITACC)</t>
  </si>
  <si>
    <t>Crest Ventures Ltd. (CREST)</t>
  </si>
  <si>
    <t>Crisil Ltd. (CRISIL)</t>
  </si>
  <si>
    <t>Crompton Greaves Consumer Electricals Ltd. (CROMPTON)</t>
  </si>
  <si>
    <t>CSB Bank Ltd. (CSBBANK)</t>
  </si>
  <si>
    <t>CSL Finance Ltd. (CSLFINANCE)</t>
  </si>
  <si>
    <t>City Union Bank Ltd. (CUB)</t>
  </si>
  <si>
    <t>Cummins India Ltd. (CUMMINSIND)</t>
  </si>
  <si>
    <t>Cupid Ltd. (CUPID)</t>
  </si>
  <si>
    <t>Cybertech Systems &amp; Software Ltd. (CYBERTECH)</t>
  </si>
  <si>
    <t>Cyient Ltd. (CYIENT)</t>
  </si>
  <si>
    <t>Cyient DLM Ltd. (CYIENTDLM)</t>
  </si>
  <si>
    <t>Dabur India Ltd. (DABUR)</t>
  </si>
  <si>
    <t>Dalmia Bharat Ltd. (DALBHARAT)</t>
  </si>
  <si>
    <t>Dalmia Bharat Sugar and Industries Ltd. (DALMIASUG)</t>
  </si>
  <si>
    <t>Danlaw Technologies India Ltd. (DANLAW)</t>
  </si>
  <si>
    <t>Datamatics Global Services Ltd. (DATAMATICS)</t>
  </si>
  <si>
    <t>Data Patterns (India) Ltd. (DATAPATTNS)</t>
  </si>
  <si>
    <t>Davangere Sugar Company Ltd. (DAVANGERE)</t>
  </si>
  <si>
    <t>DB Corp Ltd. (DBCORP)</t>
  </si>
  <si>
    <t>Dilip Buildcon Ltd. (DBL)</t>
  </si>
  <si>
    <t>Dhampur Bio Organics Ltd. (DBOL)</t>
  </si>
  <si>
    <t>Valor Estate Ltd. (DBREALTY)</t>
  </si>
  <si>
    <t>Dishman Carbogen Amcis Ltd. (DCAL)</t>
  </si>
  <si>
    <t>DCB Bank Ltd. (DCBBANK)</t>
  </si>
  <si>
    <t>DCM Nouvelle Ltd. (DCMNVL)</t>
  </si>
  <si>
    <t>DCM Shriram Ltd. (DCMSHRIRAM)</t>
  </si>
  <si>
    <t>DCM Shriram Industries Ltd. (DCMSRIND)</t>
  </si>
  <si>
    <t>DCW Ltd. (DCW)</t>
  </si>
  <si>
    <t>DCX Systems Ltd. (DCXINDIA)</t>
  </si>
  <si>
    <t>Deccan Cements Ltd. (DECCANCE)</t>
  </si>
  <si>
    <t>Deccan Gold Mines Ltd. (DECNGOLD)</t>
  </si>
  <si>
    <t>DEE Development Engineers Ltd. (DEEDEV)</t>
  </si>
  <si>
    <t>Deepak Fertilisers &amp; Petrochemicals Corporation Ltd. (DEEPAKFERT)</t>
  </si>
  <si>
    <t>Deepak Nitrite Ltd. (DEEPAKNTR)</t>
  </si>
  <si>
    <t>Deep Energy Resources Ltd. (DEEPENR)</t>
  </si>
  <si>
    <t>Deep Industries Ltd. (DEEPINDS)</t>
  </si>
  <si>
    <t>Delhivery Ltd. (DELHIVERY)</t>
  </si>
  <si>
    <t>Delta Corp Ltd. (DELTACORP)</t>
  </si>
  <si>
    <t>Den Networks Ltd. (DEN)</t>
  </si>
  <si>
    <t>De Nora India Ltd. (DENORA)</t>
  </si>
  <si>
    <t>Vasa Denticity Ltd. (DENTALKART)</t>
  </si>
  <si>
    <t>Devyani International Ltd. (DEVYANI)</t>
  </si>
  <si>
    <t>Dhampur Sugar Mills Ltd. (DHAMPURSUG)</t>
  </si>
  <si>
    <t>Dhanlaxmi Bank Ltd. (DHANBANK)</t>
  </si>
  <si>
    <t>Dhani Services Ltd. (DHANI)</t>
  </si>
  <si>
    <t>Dhanuka Agritech Ltd. (DHANUKA)</t>
  </si>
  <si>
    <t>Moneyboxx Finance Ltd. (DHANUKACOM)</t>
  </si>
  <si>
    <t>Dharmaj Crop Guard Ltd. (DHARMAJ)</t>
  </si>
  <si>
    <t>Dhunseri Investments Ltd. (DHUNINV)</t>
  </si>
  <si>
    <t>Diamond Power Infrastructure Ltd. (DIACABS)</t>
  </si>
  <si>
    <t>Diamines &amp; Chemicals Ltd. (DIAMINESQ)</t>
  </si>
  <si>
    <t>Prataap Snacks Ltd. (DIAMONDYD)</t>
  </si>
  <si>
    <t>DiGiSPICE Technologies Ltd. (DIGISPICE)</t>
  </si>
  <si>
    <t>Dish TV India Ltd. (DISHTV)</t>
  </si>
  <si>
    <t>Divgi Torqtransfer Systems Ltd. (DIVGIITTS)</t>
  </si>
  <si>
    <t>Divi's Laboratories Ltd. (DIVISLAB)</t>
  </si>
  <si>
    <t>Dixon Technologies (India) Ltd. (DIXON)</t>
  </si>
  <si>
    <t>DLF Ltd. (DLF)</t>
  </si>
  <si>
    <t>D-Link (India) Ltd. (DLINKINDIA)</t>
  </si>
  <si>
    <t>Avenue Supermarts Ltd. (DMART)</t>
  </si>
  <si>
    <t>DMCC Speciality Chemicals Ltd. (DMCC)</t>
  </si>
  <si>
    <t>Dodla Dairy Ltd. (DODLA)</t>
  </si>
  <si>
    <t>Dolat Algotech Ltd. (DOLATALGO)</t>
  </si>
  <si>
    <t>Dollar Industries Ltd. (DOLLAR)</t>
  </si>
  <si>
    <t>Dolphin Offshore Enterprises (India) Ltd. (DOLPHIN)</t>
  </si>
  <si>
    <t>DOMS Industries Ltd. (DOMS)</t>
  </si>
  <si>
    <t>Donear Industries Ltd. (DONEAR)</t>
  </si>
  <si>
    <t>D P Abhushan Ltd. (DPABHUSHAN)</t>
  </si>
  <si>
    <t>India Power Corporation Ltd. (DPSCLTD)</t>
  </si>
  <si>
    <t>D P Wires Ltd. (DPWIRES)</t>
  </si>
  <si>
    <t>Dr. Agarwal's Eye Hospital Ltd. (DRAGARWQ)</t>
  </si>
  <si>
    <t>Elantas Beck India Ltd. (DRBECK)</t>
  </si>
  <si>
    <t>Dreamfolks Services Ltd. (DREAMFOLKS)</t>
  </si>
  <si>
    <t>Dredging Corporation Of India Ltd. (DREDGECORP)</t>
  </si>
  <si>
    <t>Drone Destination Ltd. (DRONE)</t>
  </si>
  <si>
    <t>Dr. Reddy's Laboratories Ltd. (DRREDDY)</t>
  </si>
  <si>
    <t>Dynacons Systems &amp; Solutions Ltd. (DSSL)</t>
  </si>
  <si>
    <t>Dhunseri Ventures Ltd. (DVL)</t>
  </si>
  <si>
    <t>Dwarikesh Sugar Industries Ltd. (DWARKESH)</t>
  </si>
  <si>
    <t>Dynamic Cables Ltd. (DYCL)</t>
  </si>
  <si>
    <t>Dynamatic Technologies Ltd. (DYNAMATECH)</t>
  </si>
  <si>
    <t>E2E Networks Ltd. (E2E)</t>
  </si>
  <si>
    <t>Easy Trip Planners Ltd. (EASEMYTRIP)</t>
  </si>
  <si>
    <t>eClerx Services Ltd. (ECLERX)</t>
  </si>
  <si>
    <t>Eco Recycling Ltd. (ECORECO)</t>
  </si>
  <si>
    <t>Edelweiss Financial Services Ltd. (EDELWEISS)</t>
  </si>
  <si>
    <t>Eicher Motors Ltd. (EICHERMOT)</t>
  </si>
  <si>
    <t>EID Parry (India) Ltd. (EIDPARRY)</t>
  </si>
  <si>
    <t>EIH Associated Hotels Ltd. (EIHAHOTELS)</t>
  </si>
  <si>
    <t>EIH Ltd. (EIHOTEL)</t>
  </si>
  <si>
    <t>Eimco Elecon (India) Ltd. (EIMCOELECO)</t>
  </si>
  <si>
    <t>Everest Kanto Cylinder Ltd. (EKC)</t>
  </si>
  <si>
    <t>Eldeco Housing &amp; Industries Ltd. (ELDEHSG)</t>
  </si>
  <si>
    <t>Elecon Engineering Company Ltd. (ELECON)</t>
  </si>
  <si>
    <t>Electrosteel Castings Ltd. (ELECTCAST)</t>
  </si>
  <si>
    <t>Electrotherm (India) Ltd. (ELECTHERM)</t>
  </si>
  <si>
    <t>Elgi Equipments Ltd. (ELGIEQUIP)</t>
  </si>
  <si>
    <t>Elin Electronics Ltd. (ELIN)</t>
  </si>
  <si>
    <t>Elpro International Ltd. (ELPROINTL)</t>
  </si>
  <si>
    <t>Emami Ltd. (EMAMILTD)</t>
  </si>
  <si>
    <t>Emami Paper Mills Ltd. (EMAMIPAP)</t>
  </si>
  <si>
    <t>Embassy Office Parks REIT (EMBASSY)</t>
  </si>
  <si>
    <t>Electronics Mart India Ltd. (EMIL)</t>
  </si>
  <si>
    <t>Emkay Taps and Cutting Tools Ltd. (EMKAYTOOLS)</t>
  </si>
  <si>
    <t>Empire Industries Ltd. (EMPIND)</t>
  </si>
  <si>
    <t>EMS Ltd. (EMSLIMITED)</t>
  </si>
  <si>
    <t>eMudhra Ltd. (EMUDHRA)</t>
  </si>
  <si>
    <t>Endurance Technologies Ltd. (ENDURANCE)</t>
  </si>
  <si>
    <t>Engineers India Ltd. (ENGINERSIN)</t>
  </si>
  <si>
    <t>Entertainment Network (India) Ltd. (ENIL)</t>
  </si>
  <si>
    <t>Enkei Wheels (India) Ltd. (ENKEIWHEL)</t>
  </si>
  <si>
    <t>Entero Healthcare Solutions Ltd. (ENTERO)</t>
  </si>
  <si>
    <t>EPACK Durables Ltd. (EPACK)</t>
  </si>
  <si>
    <t>Epigral Ltd. (EPIGRAL)</t>
  </si>
  <si>
    <t>EPL Ltd. (EPL)</t>
  </si>
  <si>
    <t>Equitas Small Finance Bank Ltd. (EQUITASBNK)</t>
  </si>
  <si>
    <t>Eris Lifesciences Ltd. (ERIS)</t>
  </si>
  <si>
    <t>Esab India Ltd. (ESABINDIA)</t>
  </si>
  <si>
    <t>ESAF Small Finance Bank Ltd. (ESAFSFB)</t>
  </si>
  <si>
    <t>Escorts Kubota Ltd. (ESCORTS)</t>
  </si>
  <si>
    <t>Essar Shipping Ltd. (ESSARSHPNG)</t>
  </si>
  <si>
    <t>Ester Industries Ltd. (ESTER)</t>
  </si>
  <si>
    <t>Ethos Ltd. (ETHOSLTD)</t>
  </si>
  <si>
    <t>Euro Panel Products Ltd. (EUROBOND)</t>
  </si>
  <si>
    <t>Eveready Industries India Ltd. (EVEREADY)</t>
  </si>
  <si>
    <t>Everest Industries Ltd. (EVERESTIND)</t>
  </si>
  <si>
    <t>Excel Industries Ltd. (EXCELINDUS)</t>
  </si>
  <si>
    <t>Exicom Tele-Systems Ltd. (EXICOM)</t>
  </si>
  <si>
    <t>Exide Industries Ltd. (EXIDEIND)</t>
  </si>
  <si>
    <t>Expleo Solutions Ltd. (EXPLEOSOL)</t>
  </si>
  <si>
    <t>The Fertilisers and Chemicals Travancore Ltd. (FACT)</t>
  </si>
  <si>
    <t>Fairchem Organics Ltd. (FAIRCHEMOR)</t>
  </si>
  <si>
    <t>Faze Three Ltd. (FAZE3Q)</t>
  </si>
  <si>
    <t>Fineotex Chemical Ltd. (FCL)</t>
  </si>
  <si>
    <t>FCS Software Solutions Ltd. (FCSSOFT)</t>
  </si>
  <si>
    <t>FDC Ltd. (FDC)</t>
  </si>
  <si>
    <t>Federal Bank Ltd. (FEDERALBNK)</t>
  </si>
  <si>
    <t>Fedbank Financial Services Ltd. (FEDFINA)</t>
  </si>
  <si>
    <t>FIEM Industries Ltd. (FIEMIND)</t>
  </si>
  <si>
    <t>Filatex India Ltd. (FILATEX)</t>
  </si>
  <si>
    <t>Filatex Fashions Ltd. (FILATFASH)</t>
  </si>
  <si>
    <t>Finolex Cables Ltd. (FINCABLES)</t>
  </si>
  <si>
    <t>Fine Organic Industries Ltd. (FINEORG)</t>
  </si>
  <si>
    <t>Finkurve Financial Services Ltd. (FINKURVE)</t>
  </si>
  <si>
    <t>Fino Payments Bank Ltd. (FINOPB)</t>
  </si>
  <si>
    <t>Finolex Industries Ltd. (FINPIPE)</t>
  </si>
  <si>
    <t>Fischer Medical Ventures Ltd. (FISCHER)</t>
  </si>
  <si>
    <t>Five-Star Business Finance Ltd. (FIVESTAR)</t>
  </si>
  <si>
    <t>Flair Writing Industries Ltd (FLAIR)</t>
  </si>
  <si>
    <t>John Cockerill India Ltd. (FLATPROD)</t>
  </si>
  <si>
    <t>Gujarat Fluorochemicals Ltd. (FLUOROCHEM)</t>
  </si>
  <si>
    <t>Federal-Mogul Goetze (India) Ltd. (FMGOETZE)</t>
  </si>
  <si>
    <t>Focus Lighting and Fixtures Ltd. (FOCUS)</t>
  </si>
  <si>
    <t>Foods &amp; Inns Ltd. (FOODSIN)</t>
  </si>
  <si>
    <t>Forbes &amp; Company Ltd. (FORBESGOK)</t>
  </si>
  <si>
    <t>Force Motors Ltd. (FORCEMOT)</t>
  </si>
  <si>
    <t>Fortis Healthcare Ltd. (FORTIS)</t>
  </si>
  <si>
    <t>Foseco India Ltd. (FOSECOIND)</t>
  </si>
  <si>
    <t>Frog Cellsat Ltd. (FROG)</t>
  </si>
  <si>
    <t>Xtglobal Infotech Ltd. (FRONTIER)</t>
  </si>
  <si>
    <t>Frontier Springs Ltd. (FRONTSP)</t>
  </si>
  <si>
    <t>Firstsource Solutions Ltd. (FSL)</t>
  </si>
  <si>
    <t>Fusion Micro Finance Ltd. (FUSION)</t>
  </si>
  <si>
    <t>Gabriel India Ltd. (GABRIEL)</t>
  </si>
  <si>
    <t>Gujarat Ambuja Exports Ltd. (GAEL)</t>
  </si>
  <si>
    <t>GAIL (India) Ltd. (GAIL)</t>
  </si>
  <si>
    <t>Galaxy Surfactants Ltd. (GALAXYSURF)</t>
  </si>
  <si>
    <t>Gallantt Ispat Ltd. (GALLANTT)</t>
  </si>
  <si>
    <t>Gandhar Oil Refinery (India) Ltd. (GANDHAR)</t>
  </si>
  <si>
    <t>Gandhi Special Tubes Ltd. (GANDHITUBE)</t>
  </si>
  <si>
    <t>Ganesha Ecosphere Ltd. (GANECOS)</t>
  </si>
  <si>
    <t>Ganesh Benzoplast Ltd. (GANESHBE)</t>
  </si>
  <si>
    <t>Ganesh Housing Corporation Ltd. (GANESHHOUC)</t>
  </si>
  <si>
    <t>Garware Technical Fibres Ltd. (GARFIBRES)</t>
  </si>
  <si>
    <t>Gateway Distriparks Ltd. (GATEWAY)</t>
  </si>
  <si>
    <t>GeeCee Ventures Ltd. (GEECEE)</t>
  </si>
  <si>
    <t>Genesys International Corporation Ltd. (GENESYS)</t>
  </si>
  <si>
    <t>Gensol Engineering Ltd. (GENSOL)</t>
  </si>
  <si>
    <t>Genus Paper &amp; Boards Ltd. (GENUSPAPER)</t>
  </si>
  <si>
    <t>Genus Power Infrastructures Ltd. (GENUSPOWER)</t>
  </si>
  <si>
    <t>Geojit Financial Services Ltd. (GEOJITFSL)</t>
  </si>
  <si>
    <t>Disa India Ltd. (GEORGFISCH)</t>
  </si>
  <si>
    <t>GE Power India Ltd. (GEPIL)</t>
  </si>
  <si>
    <t>Great Eastern Shipping Company Ltd. (GESHIP)</t>
  </si>
  <si>
    <t>GE T&amp;D India Ltd. (GET&amp;D)</t>
  </si>
  <si>
    <t>GFL Ltd. (GFLLIMITED)</t>
  </si>
  <si>
    <t>GHCL Ltd. (GHCL)</t>
  </si>
  <si>
    <t>GHCL Textiles Ltd. (GHCLTEXTIL)</t>
  </si>
  <si>
    <t>GIC Housing Finance Ltd. (GICHSGFIN)</t>
  </si>
  <si>
    <t>General Insurance Corporation of India (GICRE)</t>
  </si>
  <si>
    <t>Gillette India Ltd. (GILLETTE)</t>
  </si>
  <si>
    <t>Gujarat Industries Power Company Ltd. (GIPCL)</t>
  </si>
  <si>
    <t>Giriraj Civil Developers Ltd. (GIRIRAJ)</t>
  </si>
  <si>
    <t>GKW Ltd. (GKWLIMITED)</t>
  </si>
  <si>
    <t>Gland Pharma Ltd. (GLAND)</t>
  </si>
  <si>
    <t>GlaxoSmithKline Pharmaceuticals Ltd. (GLAXO)</t>
  </si>
  <si>
    <t>Glenmark Pharmaceuticals Ltd. (GLENMARK)</t>
  </si>
  <si>
    <t>Globus Spirits Ltd. (GLOBUSSPR)</t>
  </si>
  <si>
    <t>Gloster Ltd. (GLOSTERLTD)</t>
  </si>
  <si>
    <t>Glenmark Life Sciences Ltd. (GLS)</t>
  </si>
  <si>
    <t>G M Breweries Ltd. (GMBREW)</t>
  </si>
  <si>
    <t>Gujarat Mineral Development Corporation Ltd. (GMDCLTD)</t>
  </si>
  <si>
    <t>GMM Pfaudler Ltd. (GMMPFAUDLR)</t>
  </si>
  <si>
    <t>GMR Airports Infrastructure Ltd. (GMRINFRA)</t>
  </si>
  <si>
    <t>GMR Power and Urban Infra Ltd. (GMRP&amp;UI)</t>
  </si>
  <si>
    <t>GNA Axles Ltd. (GNA)</t>
  </si>
  <si>
    <t>Gujarat Narmada Valley Fertilizers &amp; Chemicals Ltd. (GNFC)</t>
  </si>
  <si>
    <t>Goa Carbons Ltd. (GOACARBON)</t>
  </si>
  <si>
    <t>GOCL Corporation Ltd. (GOCLCORP)</t>
  </si>
  <si>
    <t>Go Fashion (India) Ltd. (GOCOLORS)</t>
  </si>
  <si>
    <t>Godfrey Phillips India Ltd. (GODFRYPHLP)</t>
  </si>
  <si>
    <t>Go Digit General Insurance Ltd. (GODIGIT)</t>
  </si>
  <si>
    <t>Godrej Agrovet Ltd. (GODREJAGRO)</t>
  </si>
  <si>
    <t>Godrej Consumer Products Ltd. (GODREJCP)</t>
  </si>
  <si>
    <t>Godrej Industries Ltd. (GODREJIND)</t>
  </si>
  <si>
    <t>Godrej Properties Ltd. (GODREJPROP)</t>
  </si>
  <si>
    <t>Gokaldas Exports Ltd. (GOKEX)</t>
  </si>
  <si>
    <t>Gokul Agro Resources Ltd. (GOKULAGRO)</t>
  </si>
  <si>
    <t>Goldiam International Ltd. (GOLDIAM)</t>
  </si>
  <si>
    <t>AION-TECH Solutions Ltd. (GOLDTECH)</t>
  </si>
  <si>
    <t>Goodluck India Ltd. (GOODLUCK)</t>
  </si>
  <si>
    <t>Goodyear India Ltd. (GOODYEAR)</t>
  </si>
  <si>
    <t>Gopal Snacks Ltd. (GOPAL)</t>
  </si>
  <si>
    <t>Godawari Power &amp; Ispat Ltd. (GPIL)</t>
  </si>
  <si>
    <t>Gujarat Pipavav Port Ltd. (GPPL)</t>
  </si>
  <si>
    <t>GPT Healthcare Ltd. (GPTHEALTH)</t>
  </si>
  <si>
    <t>GPT Infraprojects Ltd. (GPTINFRA)</t>
  </si>
  <si>
    <t>Granules India Ltd. (GRANULES)</t>
  </si>
  <si>
    <t>Graphite India Ltd. (GRAPHITE)</t>
  </si>
  <si>
    <t>Grasim Industries Ltd. (GRASIM)</t>
  </si>
  <si>
    <t>Grauer &amp; Weil (India) Ltd. (GRAUWEIL)</t>
  </si>
  <si>
    <t>Gravita India Ltd. (GRAVITA)</t>
  </si>
  <si>
    <t>Greaves Cotton Ltd. (GREAVESCOT)</t>
  </si>
  <si>
    <t>Greenlam Industries Ltd. (GREENLAM)</t>
  </si>
  <si>
    <t>Greenpanel Industries Ltd. (GREENPANEL)</t>
  </si>
  <si>
    <t>Greenply Industries Ltd. (GREENPLY)</t>
  </si>
  <si>
    <t>Orient Green Power Company Ltd. (GREENPOWER)</t>
  </si>
  <si>
    <t>Grindwell Norton Ltd. (GRINDWELL)</t>
  </si>
  <si>
    <t>G R Infraprojects Ltd. (GRINFRA)</t>
  </si>
  <si>
    <t>GRM Overseas Ltd. (GRMOVER)</t>
  </si>
  <si>
    <t>GRP Ltd. (GRPLTD)</t>
  </si>
  <si>
    <t>Garden Reach Shipbuilders &amp; Engineers Ltd. (GRSE)</t>
  </si>
  <si>
    <t>Garware Hi-Tech Films Ltd. (GRWRHITECH)</t>
  </si>
  <si>
    <t>Gujarat State Fertilizer &amp; Chemicals Ltd. (GSFC)</t>
  </si>
  <si>
    <t>Global Surfaces Ltd. (GSLSU)</t>
  </si>
  <si>
    <t>Gujarat State Petronet Ltd. (GSPL)</t>
  </si>
  <si>
    <t>GTL Infrastructure Ltd. (GTLINFRA)</t>
  </si>
  <si>
    <t>GTPL Hathway Ltd. (GTPL)</t>
  </si>
  <si>
    <t>Gufic BioSciences Ltd. (GUFICBIO)</t>
  </si>
  <si>
    <t>Gujarat Alkalies &amp; Chemicals Ltd. (GUJALKALI)</t>
  </si>
  <si>
    <t>Gujarat Gas Ltd. (GUJGASLTD)</t>
  </si>
  <si>
    <t>Gujarat Themis Biosyn Ltd. (GUJTHEMIS)</t>
  </si>
  <si>
    <t>Gulf Oil Lubricants India Ltd. (GULFOILLUB)</t>
  </si>
  <si>
    <t>Gulshan Polyols Ltd. (GULPOLY)</t>
  </si>
  <si>
    <t>GVK Power &amp; Infrastructure Ltd. (GVKPIL)</t>
  </si>
  <si>
    <t>Hindustan Aeronautics Ltd. (HAL)</t>
  </si>
  <si>
    <t>Haldyn Glass Ltd. (HALDYNGL)</t>
  </si>
  <si>
    <t>Happiest Minds Technologies Ltd. (HAPPSTMNDS)</t>
  </si>
  <si>
    <t>Happy Forgings Ltd. (HAPPYFORGE)</t>
  </si>
  <si>
    <t>Hardwyn India Ltd. (HARDWYN)</t>
  </si>
  <si>
    <t>Hariom Pipe Industries Ltd. (HARIOMPIPE)</t>
  </si>
  <si>
    <t>Harsha Engineers International Ltd. (HARSHA)</t>
  </si>
  <si>
    <t>Hathway Cable &amp; Datacom Ltd. (HATHWAY)</t>
  </si>
  <si>
    <t>Hatsun Agro Products Ltd. (HATSUN)</t>
  </si>
  <si>
    <t>Havells India Ltd. (HAVELLS)</t>
  </si>
  <si>
    <t>Hawkins Cookers Ltd. (HAWKINCOOK)</t>
  </si>
  <si>
    <t>HBL Power Systems Ltd. (HBLPOWER)</t>
  </si>
  <si>
    <t>Hindustan Construction Company Ltd. (HCC)</t>
  </si>
  <si>
    <t>Healthcare Global Enterprises Ltd. (HCG)</t>
  </si>
  <si>
    <t>HCL Infosystems Ltd. (HCL-INSYS)</t>
  </si>
  <si>
    <t>HCL Technologies Ltd. (HCLTECH)</t>
  </si>
  <si>
    <t>HDFC Asset Management Company Ltd. (HDFCAMC)</t>
  </si>
  <si>
    <t>HDFC Bank Ltd. (HDFCBANK)</t>
  </si>
  <si>
    <t>HDFC Life Insurance Company Ltd. (HDFCLIFE)</t>
  </si>
  <si>
    <t>HEG Ltd. (HEG)</t>
  </si>
  <si>
    <t>Heidelberg Cement India Ltd. (HEIDELBERG)</t>
  </si>
  <si>
    <t>Hemisphere Properties India Ltd. (HEMIPROP)</t>
  </si>
  <si>
    <t>Heranba Industries Ltd. (HERANBA)</t>
  </si>
  <si>
    <t>Hercules Hoists Ltd. (HERCULES)</t>
  </si>
  <si>
    <t>Heritage Foods Ltd. (HERITGFOOD)</t>
  </si>
  <si>
    <t>Hero MotoCorp Ltd. (HEROMOTOCO)</t>
  </si>
  <si>
    <t>Hester Biosciences Ltd. (HESTERBIO)</t>
  </si>
  <si>
    <t>Heubach Colorants India Ltd. (HEUBACHIND)</t>
  </si>
  <si>
    <t>Hexa Tradex Ltd. (HEXATRADEX)</t>
  </si>
  <si>
    <t>HFCL Ltd. (HFCL)</t>
  </si>
  <si>
    <t>HG Infra Engineering Ltd. (HGINFRA)</t>
  </si>
  <si>
    <t>Hinduja Global Solutions Ltd. (HGS)</t>
  </si>
  <si>
    <t>High Energy Batteries (India) Ltd. (HIGHENE)</t>
  </si>
  <si>
    <t>Hikal Ltd. (HIKAL)</t>
  </si>
  <si>
    <t>HIL Ltd. (HIL)</t>
  </si>
  <si>
    <t>Himatsingka Seide Ltd. (HIMATSEIDE)</t>
  </si>
  <si>
    <t>Rudra Ecovation Ltd. (HIMFIBP)</t>
  </si>
  <si>
    <t>Hindalco Industries Ltd. (HINDALCO)</t>
  </si>
  <si>
    <t>Hindustan Composites Ltd. (HINDCOMPOS)</t>
  </si>
  <si>
    <t>Hindustan Copper Ltd. (HINDCOPPER)</t>
  </si>
  <si>
    <t>Algoquant Fintech Ltd. (HINDEVER)</t>
  </si>
  <si>
    <t>Hindustan Motors Ltd. (HINDMOTORS)</t>
  </si>
  <si>
    <t>Hindustan Oil Exploration Company Ltd. (HINDOILEXP)</t>
  </si>
  <si>
    <t>Hindustan Petroleum Corporation Ltd. (HINDPETRO)</t>
  </si>
  <si>
    <t>Hindustan Unilever Ltd. (HINDUNILVR)</t>
  </si>
  <si>
    <t>Hindware Home Innovation Ltd. (HINDWAREAP)</t>
  </si>
  <si>
    <t>Hindustan Zinc Ltd. (HINDZINC)</t>
  </si>
  <si>
    <t>Hind Rectifiers Ltd. (HIRECT)</t>
  </si>
  <si>
    <t>Hi-Tech Pipes Ltd. (HITECH)</t>
  </si>
  <si>
    <t>The Hi-Tech Gears Ltd. (HITECHGEAR)</t>
  </si>
  <si>
    <t>Waaree Technologies Ltd. (HKT)</t>
  </si>
  <si>
    <t>HLE Glascoat Ltd. (HLEGLAS)</t>
  </si>
  <si>
    <t>HLV Ltd. (HLVLTD)</t>
  </si>
  <si>
    <t>HMA Agro Industries Ltd. (HMAAGRO)</t>
  </si>
  <si>
    <t>HMT Ltd. (HMT)</t>
  </si>
  <si>
    <t>Hindustan Media Ventures Ltd. (HMVL)</t>
  </si>
  <si>
    <t>Hindustan Foods Ltd. (HNDFDS)</t>
  </si>
  <si>
    <t>Home First Finance Company India Ltd. (HOMEFIRST)</t>
  </si>
  <si>
    <t>Honasa Consumer Ltd. (HONASA)</t>
  </si>
  <si>
    <t>Honeywell Automation India Ltd. (HONAUT)</t>
  </si>
  <si>
    <t>Honda India Power Products Ltd. (HONDAPOWER)</t>
  </si>
  <si>
    <t>HP Adhesives Ltd. (HPAL)</t>
  </si>
  <si>
    <t>HPL Electric &amp; Power Ltd. (HPL)</t>
  </si>
  <si>
    <t>Himadri Speciality Chemical Ltd. (HSCL)</t>
  </si>
  <si>
    <t>HT Media Ltd. (HTMEDIA)</t>
  </si>
  <si>
    <t>Hubtown Ltd. (HUBTOWN)</t>
  </si>
  <si>
    <t>Housing and Urban Development Corporation Ltd. (HUDCO)</t>
  </si>
  <si>
    <t>Huhtamaki India Ltd. (HUHTAMAKI)</t>
  </si>
  <si>
    <t>Equinox India Developments Ltd. (IBREALEST)</t>
  </si>
  <si>
    <t>Indiabulls Housing Finance Ltd. (IBULHSGFIN)</t>
  </si>
  <si>
    <t>ICE Make Refrigeration Ltd. (ICEMAKE)</t>
  </si>
  <si>
    <t>ICICI Bank Ltd. (ICICIBANK)</t>
  </si>
  <si>
    <t>ICICI Lombard General Insurance Company Ltd. (ICICIGI)</t>
  </si>
  <si>
    <t>ICICI Prudential Life Insurance Company Ltd. (ICICIPRULI)</t>
  </si>
  <si>
    <t>Indo Count Industries Ltd. (ICIL)</t>
  </si>
  <si>
    <t>ICRA Ltd. (ICRA)</t>
  </si>
  <si>
    <t>IDBI Bank Ltd. (IDBI)</t>
  </si>
  <si>
    <t>Vodafone Idea Ltd. (IDEA)</t>
  </si>
  <si>
    <t>ideaForge Technology Ltd. (IDEAFORGE)</t>
  </si>
  <si>
    <t>IDFC Ltd. (IDFC)</t>
  </si>
  <si>
    <t>IDFC First Bank Ltd. (IDFCFIRSTB)</t>
  </si>
  <si>
    <t>Indian Emulsifiers Ltd. (IEML)</t>
  </si>
  <si>
    <t>Indian Energy Exchange Ltd. (IEX)</t>
  </si>
  <si>
    <t>IFB Agro Industries Ltd. (IFBAGRO)</t>
  </si>
  <si>
    <t>IFB Industries Ltd. (IFBIND)</t>
  </si>
  <si>
    <t>IFCI Ltd. (IFCI)</t>
  </si>
  <si>
    <t>IFGL Refractories Ltd. (IFGLEXPOR)</t>
  </si>
  <si>
    <t>Igarashi Motors India Ltd. (IGARASHI)</t>
  </si>
  <si>
    <t>Indraprastha Gas Ltd. (IGL)</t>
  </si>
  <si>
    <t>I G Petrochemicals Ltd. (IGPL)</t>
  </si>
  <si>
    <t>IIFL Finance Ltd. (IIFL)</t>
  </si>
  <si>
    <t>IIFL Securities Ltd. (IIFLSEC)</t>
  </si>
  <si>
    <t>Mkventures Capital Ltd. (IKAB)</t>
  </si>
  <si>
    <t>IKIO Lighting Ltd. (IKIO)</t>
  </si>
  <si>
    <t>Imagicaaworld Entertainment Ltd. (IMAGICAA)</t>
  </si>
  <si>
    <t>Fedders Holding Ltd. (IMCAP)</t>
  </si>
  <si>
    <t>Indian Metals &amp; Ferro Alloys Ltd. (IMFA)</t>
  </si>
  <si>
    <t>India Motor Parts &amp; Accessories Ltd. (IMPAL)</t>
  </si>
  <si>
    <t>Indag Rubber Ltd. (INDAG)</t>
  </si>
  <si>
    <t>Indegene Ltd. (INDGN)</t>
  </si>
  <si>
    <t>Indian Hotels Company Ltd. (INDHOTEL)</t>
  </si>
  <si>
    <t>India Cements Ltd. (INDIACEM)</t>
  </si>
  <si>
    <t>India Glycols Ltd. (INDIAGLYCO)</t>
  </si>
  <si>
    <t>IndiaMART InterMESH Ltd. (INDIAMART)</t>
  </si>
  <si>
    <t>Indian Bank (INDIANB)</t>
  </si>
  <si>
    <t>Indian Hume Pipe Company Ltd. (INDIANHUME)</t>
  </si>
  <si>
    <t>India Shelter Finance Corporation Ltd. (INDIASHLTR)</t>
  </si>
  <si>
    <t>InterGlobe Aviation Ltd. (INDIGO)</t>
  </si>
  <si>
    <t>Indigo Paints Ltd. (INDIGOPNTS)</t>
  </si>
  <si>
    <t>India Grid Trust (INDIGRID)</t>
  </si>
  <si>
    <t>India Nippon Electricals Ltd. (INDNIPPON)</t>
  </si>
  <si>
    <t>Indo Amines Ltd. (INDOAMIN)</t>
  </si>
  <si>
    <t>Indo Borax &amp; Chemicals Ltd. (INDOBORAX)</t>
  </si>
  <si>
    <t>Indoco Remedies Ltd. (INDOCO)</t>
  </si>
  <si>
    <t>Indo Rama Synthetics (India) Ltd. (INDORAMA)</t>
  </si>
  <si>
    <t>Indostar Capital Finance Ltd. (INDOSTAR)</t>
  </si>
  <si>
    <t>Indo Tech Transformers Ltd. (INDOTECH)</t>
  </si>
  <si>
    <t>Industrial &amp; Prudential Investment Company Ltd. (INDPRUD)</t>
  </si>
  <si>
    <t>Indraprastha Medical Corporation Ltd. (INDRAMEDCO)</t>
  </si>
  <si>
    <t>Ind-Swift Laboratories Ltd. (INDSWFTLAB)</t>
  </si>
  <si>
    <t>IndusInd Bank Ltd. (INDUSINDBK)</t>
  </si>
  <si>
    <t>Indus Towers Ltd. (INDUSTOWER)</t>
  </si>
  <si>
    <t>Infibeam Avenues Ltd. (INFIBEAM)</t>
  </si>
  <si>
    <t>InfoBeans Technologies Ltd. (INFOBEAN)</t>
  </si>
  <si>
    <t>Infosys Ltd. (INFY)</t>
  </si>
  <si>
    <t>Ingersoll-Rand (India) Ltd. (INGERRAND)</t>
  </si>
  <si>
    <t>Innova Captab Ltd. (INNOVACAP)</t>
  </si>
  <si>
    <t>Innovana Thinklabs Ltd. (INNOVANA)</t>
  </si>
  <si>
    <t>Inox Green Energy Services Ltd. (INOXGREEN)</t>
  </si>
  <si>
    <t>Inox India Ltd. (INOXINDIA)</t>
  </si>
  <si>
    <t>Inox Wind Ltd. (INOXWIND)</t>
  </si>
  <si>
    <t>Insecticides (India) Ltd. (INSECTICID)</t>
  </si>
  <si>
    <t>Integra Engineering India Ltd. (INTEGRAEN)</t>
  </si>
  <si>
    <t>Gourmet Gateway India Ltd. (INTELLCAP)</t>
  </si>
  <si>
    <t>Intellect Design Arena Ltd. (INTELLECT)</t>
  </si>
  <si>
    <t>International Conveyors Ltd. (INTLCONV)</t>
  </si>
  <si>
    <t>International Travel House Ltd. (INTLTRAVHS)</t>
  </si>
  <si>
    <t>Indian Overseas Bank (IOB)</t>
  </si>
  <si>
    <t>Indian Oil Corporation Ltd. (IOC)</t>
  </si>
  <si>
    <t>IOL Chemicals and Pharmaceuticals Ltd. (IOLCP)</t>
  </si>
  <si>
    <t>Ion Exchange (India) Ltd. (IONEXCHANG)</t>
  </si>
  <si>
    <t>Ipca Laboratories Ltd. (IPCALAB)</t>
  </si>
  <si>
    <t>India Pesticides Ltd. (IPL)</t>
  </si>
  <si>
    <t>IRB Infrastructure Developers Ltd. (IRB)</t>
  </si>
  <si>
    <t>IRB InvIT Fund (IRBINVIT)</t>
  </si>
  <si>
    <t>IRB Infrastructure Trust (IRBIT)</t>
  </si>
  <si>
    <t>Ircon International Ltd. (IRCON)</t>
  </si>
  <si>
    <t>Indian Railway Catering &amp; Tourism Corporation Ltd. (IRCTC)</t>
  </si>
  <si>
    <t>Indian Renewable Energy Development Agency Ltd. (IREDA)</t>
  </si>
  <si>
    <t>Indian Railway Finance Corporation Ltd. (IRFC)</t>
  </si>
  <si>
    <t>IRIS Clothings Ltd. (IRISDOREME)</t>
  </si>
  <si>
    <t>IRM Energy Ltd. (IRMENERGY)</t>
  </si>
  <si>
    <t>ICICI Securities Ltd. (ISEC)</t>
  </si>
  <si>
    <t>ISGEC Heavy Engineering Ltd. (ISGEC)</t>
  </si>
  <si>
    <t>ISMT Ltd. (ISMTLTD)</t>
  </si>
  <si>
    <t>IST Ltd. (ISTLTD)</t>
  </si>
  <si>
    <t>ITC Ltd. (ITC)</t>
  </si>
  <si>
    <t>India Tourism Development Corporation Ltd. (ITDC)</t>
  </si>
  <si>
    <t>ITD Cementation India Ltd. (ITDCEM)</t>
  </si>
  <si>
    <t>ITI Ltd. (ITI)</t>
  </si>
  <si>
    <t>Inox Wind Energy Ltd. (IWEL)</t>
  </si>
  <si>
    <t>LE Travenues Technology Ltd. (IXIGO)</t>
  </si>
  <si>
    <t>IZMO Ltd. (IZMO)</t>
  </si>
  <si>
    <t>Jammu &amp; Kashmir Bank Ltd. (J&amp;KBANK)</t>
  </si>
  <si>
    <t>Jagatjit Industries Ltd. (JAGAJITIND)</t>
  </si>
  <si>
    <t>Jagran Prakashan Ltd. (JAGRAN)</t>
  </si>
  <si>
    <t>Jagsonpal Pharmaceuticals Ltd. (JAGSNPHARM)</t>
  </si>
  <si>
    <t>Jai Balaji Industries Ltd. (JAIBALAJI)</t>
  </si>
  <si>
    <t>Jai Corp Ltd. (JAICORPLTD)</t>
  </si>
  <si>
    <t>Jamna Auto Industries Ltd. (JAMNAAUTO)</t>
  </si>
  <si>
    <t>SG Mart Ltd. (JARITEX)</t>
  </si>
  <si>
    <t>Jash Engineering Ltd. (JASH)</t>
  </si>
  <si>
    <t>Jayant Agro Organics Ltd. (JAYAGROGN)</t>
  </si>
  <si>
    <t>Jay Bharat Maruti Ltd. (JAYBARMARU)</t>
  </si>
  <si>
    <t>Jayaswal Neco Industries Ltd. (JAYNECOIND)</t>
  </si>
  <si>
    <t>J B Chemicals &amp; Pharmaceuticals Ltd. (JBCHEPHARM)</t>
  </si>
  <si>
    <t>JBM Auto Ltd. (JBMA)</t>
  </si>
  <si>
    <t>Johnson Controls-Hitachi Air Conditioning India Ltd. (JCHAC)</t>
  </si>
  <si>
    <t>J G Chemicals Ltd. (JGCHEM)</t>
  </si>
  <si>
    <t>Jindal Photo Ltd. (JINDALPHOT)</t>
  </si>
  <si>
    <t>Jindal Poly Films Ltd. (JINDALPOLY)</t>
  </si>
  <si>
    <t>Jindal Saw Ltd. (JINDALSAW)</t>
  </si>
  <si>
    <t>Jindal Steel &amp; Power Ltd. (JINDALSTEL)</t>
  </si>
  <si>
    <t>Jindal Drilling &amp; Industries Ltd. (JINDRILL)</t>
  </si>
  <si>
    <t>Jindal Worldwide Ltd. (JINDWORLD)</t>
  </si>
  <si>
    <t>Jio Financial Services Ltd. (JIOFIN)</t>
  </si>
  <si>
    <t>Jain Irrigation Systems Ltd. (JISLJALEQS)</t>
  </si>
  <si>
    <t>JITF Infralogistics Ltd. (JITFINFRA)</t>
  </si>
  <si>
    <t>JK Cement Ltd. (JKCEMENT)</t>
  </si>
  <si>
    <t>J Kumar Infraprojects Ltd. (JKIL)</t>
  </si>
  <si>
    <t>JK Lakshmi Cement Ltd. (JKLAKSHMI)</t>
  </si>
  <si>
    <t>JK Paper Ltd. (JKPAPER)</t>
  </si>
  <si>
    <t>Jaykay Enterprises Ltd. (JKSYNTHETC)</t>
  </si>
  <si>
    <t>JK Tyre &amp; Industries Ltd. (JKTYRE)</t>
  </si>
  <si>
    <t>Jupiter Life Line Hospitals Ltd. (JLHL)</t>
  </si>
  <si>
    <t>JM Financial Ltd. (JMFINANCIL)</t>
  </si>
  <si>
    <t>JNK India Ltd. (JNKINDIA)</t>
  </si>
  <si>
    <t>Jaiprakash Associates Ltd. (JPASSOCIAT)</t>
  </si>
  <si>
    <t>Jindal Poly Investment &amp; Finance Company Ltd. (JPOLYINVST)</t>
  </si>
  <si>
    <t>Jaiprakash Power Ventures Ltd. (JPPOWER)</t>
  </si>
  <si>
    <t>Jana Small Finance Bank Ltd. (JSFB)</t>
  </si>
  <si>
    <t>Jindal Stainless Ltd. (JSL)</t>
  </si>
  <si>
    <t>Jeena Sikho Lifecare Ltd. (JSLL)</t>
  </si>
  <si>
    <t>JSW Energy Ltd. (JSWENERGY)</t>
  </si>
  <si>
    <t>JSW Holdings Ltd. (JSWHL)</t>
  </si>
  <si>
    <t>JSW Infrastructure Ltd. (JSWINFRA)</t>
  </si>
  <si>
    <t>JSW Steel Ltd. (JSWSTEEL)</t>
  </si>
  <si>
    <t>JTEKT India Ltd. (JTEKTINDIA)</t>
  </si>
  <si>
    <t>JTL Industries Ltd. (JTLIND)</t>
  </si>
  <si>
    <t>Jubilant Foodworks Ltd. (JUBLFOOD)</t>
  </si>
  <si>
    <t>Jubilant Industries Ltd. (JUBLINDS)</t>
  </si>
  <si>
    <t>Jubilant Ingrevia Ltd. (JUBLINGREA)</t>
  </si>
  <si>
    <t>Jubilant Pharmova Ltd. (JUBLPHARMA)</t>
  </si>
  <si>
    <t>Juniper Hotels Ltd. (JUNIPER)</t>
  </si>
  <si>
    <t>Just Dial Ltd. (JUSTDIAL)</t>
  </si>
  <si>
    <t>Jupiter Wagons Ltd. (JWL)</t>
  </si>
  <si>
    <t>Jyothy Labs Ltd. (JYOTHYLAB)</t>
  </si>
  <si>
    <t>Jyoti CNC Automation Ltd. (JYOTICNC)</t>
  </si>
  <si>
    <t>Jyoti Resins &amp; Adhesives Ltd. (JYOTIRES)</t>
  </si>
  <si>
    <t>Jyoti Structures Ltd. (JYOTISTRUC)</t>
  </si>
  <si>
    <t>Kabra Extrusion Technik Ltd. (KABRAEXTRU)</t>
  </si>
  <si>
    <t>Kajaria Ceramics Ltd. (KAJARIACER)</t>
  </si>
  <si>
    <t>Sai Silks (Kalamandir) Ltd. (KALAMANDIR)</t>
  </si>
  <si>
    <t>Kalyan Jewellers India Ltd. (KALYANKJIL)</t>
  </si>
  <si>
    <t>Kama Holdings Ltd. (KAMAHOLD)</t>
  </si>
  <si>
    <t>Kamat Hotels (India) Ltd. (KAMATHOTEL)</t>
  </si>
  <si>
    <t>Kamdhenu Ltd. (KAMDHENU)</t>
  </si>
  <si>
    <t>Kamdhenu Ventures Ltd. (KAMOPAINTS)</t>
  </si>
  <si>
    <t>Kanoria Chemicals &amp; Industries Ltd. (KANORICHEM)</t>
  </si>
  <si>
    <t>Spright Agro Ltd. (KANSAFB)</t>
  </si>
  <si>
    <t>Kansai Nerolac Paints Ltd. (KANSAINER)</t>
  </si>
  <si>
    <t>Karur Vysya Bank Ltd. (KARURVYSYA)</t>
  </si>
  <si>
    <t>Kaya Ltd. (KAYA)</t>
  </si>
  <si>
    <t>Kaynes Technology India Ltd. (KAYNES)</t>
  </si>
  <si>
    <t>KCP Ltd. (KCP)</t>
  </si>
  <si>
    <t>KCP Sugar &amp; Industries Corporation Ltd. (KCPSUGIND)</t>
  </si>
  <si>
    <t>KDDL Ltd. (KDDL)</t>
  </si>
  <si>
    <t>Kore Digital Ltd. (KDL)</t>
  </si>
  <si>
    <t>KEC International Ltd. (KEC)</t>
  </si>
  <si>
    <t>Kirloskar Electric Company Ltd. (KECL)</t>
  </si>
  <si>
    <t>KEI Industries Ltd. (KEI)</t>
  </si>
  <si>
    <t>Kellton Tech Solutions Ltd. (KELLTONTEC)</t>
  </si>
  <si>
    <t>Kennametal India Ltd. (KENNAMET)</t>
  </si>
  <si>
    <t>Nitta Gelatin India Ltd. (KERALACHEM)</t>
  </si>
  <si>
    <t>Kernex Microsystems (India) Ltd. (KERNEX)</t>
  </si>
  <si>
    <t>Kesoram Industries Ltd. (KESORAMIND)</t>
  </si>
  <si>
    <t>KFIN Technologies Ltd. (KFINTECH)</t>
  </si>
  <si>
    <t>NIBE Ltd. (KFL)</t>
  </si>
  <si>
    <t>Khadim India Ltd. (KHADIM)</t>
  </si>
  <si>
    <t>Khaitan Chemicals &amp; Fertilizers Ltd. (KHAICHEM)</t>
  </si>
  <si>
    <t>Kalyani Investment Company Ltd. (KICL)</t>
  </si>
  <si>
    <t>Kilburn Engineering Ltd. (KILBUNENGG)</t>
  </si>
  <si>
    <t>Kilitch Drugs(I) Ltd. (KILITCH)</t>
  </si>
  <si>
    <t>3B BlackBio Dx Ltd. (KILPEST)</t>
  </si>
  <si>
    <t>Krishna Institute of Medical Sciences Ltd. (KIMS)</t>
  </si>
  <si>
    <t>Kingfa Science &amp; Technology (India) Ltd. (KINGFA)</t>
  </si>
  <si>
    <t>KIOCL Ltd. (KIOCL)</t>
  </si>
  <si>
    <t>Kiran Vyapar Ltd. (KIRANVYPAR)</t>
  </si>
  <si>
    <t>Kiri Industries Ltd. (KIRIINDUS)</t>
  </si>
  <si>
    <t>Kirloskar Ferrous Industries Ltd. (KIRLFER)</t>
  </si>
  <si>
    <t>Kirloskar Brothers Ltd. (KIRLOSBROS)</t>
  </si>
  <si>
    <t>Kirloskar Oil Engines Ltd. (KIRLOSENG)</t>
  </si>
  <si>
    <t>Kirloskar Industries Ltd. (KIRLOSIND)</t>
  </si>
  <si>
    <t>Kirloskar Pneumatic Company Ltd. (KIRLPNU)</t>
  </si>
  <si>
    <t>Kisan Mouldings Ltd. (KISAN)</t>
  </si>
  <si>
    <t>Kitex Garments Ltd. (KITEX)</t>
  </si>
  <si>
    <t>Kewal Kiran Clothing Ltd. (KKCL)</t>
  </si>
  <si>
    <t>KMC Speciality Hospitals (India) Ltd. (KMCSHIL)</t>
  </si>
  <si>
    <t>KN Agri Resources Ltd. (KNAGRI)</t>
  </si>
  <si>
    <t>KNR Constructions Ltd. (KNRCON)</t>
  </si>
  <si>
    <t>Kody Technolab Ltd. (KODYTECH)</t>
  </si>
  <si>
    <t>Kokuyo Camlin Ltd. (KOKUYOCMLN)</t>
  </si>
  <si>
    <t>Kolte-Patil Developers Ltd. (KOLTEPATIL)</t>
  </si>
  <si>
    <t>Kopran Ltd. (KOPRAN)</t>
  </si>
  <si>
    <t>Jay Jalaram Technologies Ltd. (KORE)</t>
  </si>
  <si>
    <t>Kotak Mahindra Bank Ltd. (KOTAKBANK)</t>
  </si>
  <si>
    <t>Kothari Petrochemicals Ltd. (KOTHARIPET)</t>
  </si>
  <si>
    <t>Kothari Products Ltd. (KOTHARIPRO)</t>
  </si>
  <si>
    <t>Kotyark Industries Ltd. (KOTYARK)</t>
  </si>
  <si>
    <t>Kovai Medical Center and Hospital Ltd. (KOVAI)</t>
  </si>
  <si>
    <t>K P Energy Ltd. (KPEL)</t>
  </si>
  <si>
    <t>KPI Green Energy Ltd. (KPIGREEN)</t>
  </si>
  <si>
    <t>Kalpataru Projects International Ltd. (KPIL)</t>
  </si>
  <si>
    <t>KPIT Technologies Ltd. (KPITTECH)</t>
  </si>
  <si>
    <t>Kwality Pharmaceuticals Ltd. (KPL)</t>
  </si>
  <si>
    <t>KPR Mill Ltd. (KPRMILL)</t>
  </si>
  <si>
    <t>KRBL Ltd. (KRBL)</t>
  </si>
  <si>
    <t>Krishana Phoschem Ltd. (KRISHANA)</t>
  </si>
  <si>
    <t>Krishna Defence and Allied Industries Ltd. (KRISHNADEF)</t>
  </si>
  <si>
    <t>Kriti Industries (India) Ltd. (KRITI)</t>
  </si>
  <si>
    <t>Kritika Wires Ltd. (KRITIKA)</t>
  </si>
  <si>
    <t>Kriti Nutrients Ltd. (KRITINUT)</t>
  </si>
  <si>
    <t>ADC India Communications Ltd. (KRONECOMM)</t>
  </si>
  <si>
    <t>Kronox Lab Sciences Ltd. (KRONOX)</t>
  </si>
  <si>
    <t>Krsnaa Diagnostics Ltd. (KRSNAA)</t>
  </si>
  <si>
    <t>Krystal Integrated Services Ltd. (KRYSTAL)</t>
  </si>
  <si>
    <t>KSB Ltd. (KSB)</t>
  </si>
  <si>
    <t>Kaveri Seed Company Ltd. (KSCL)</t>
  </si>
  <si>
    <t>KSE Ltd. (KSE)</t>
  </si>
  <si>
    <t>Kalyani Steels Ltd. (KSL)</t>
  </si>
  <si>
    <t>Ksolves India Ltd. (KSOLVES)</t>
  </si>
  <si>
    <t>Karnataka Bank Ltd. (KTKBANK)</t>
  </si>
  <si>
    <t>Kuantum Papers Ltd. (KUANTUM)</t>
  </si>
  <si>
    <t>Dr. Lal Pathlabs Ltd. (LALPATHLAB)</t>
  </si>
  <si>
    <t>Lancer Container Lines Ltd. (LANCER)</t>
  </si>
  <si>
    <t>Landmark Cars Ltd. (LANDMARK)</t>
  </si>
  <si>
    <t>La Opala RG Ltd. (LAOPALA)</t>
  </si>
  <si>
    <t>Latent View Analytics Ltd. (LATENTVIEW)</t>
  </si>
  <si>
    <t>Laurus Labs Ltd. (LAURUSLABS)</t>
  </si>
  <si>
    <t>Addictive Learning Technology Ltd. (LAWSIKHO)</t>
  </si>
  <si>
    <t>Lakshmi Machine Works Ltd. (LAXMIMACH)</t>
  </si>
  <si>
    <t>Lemon Tree Hotels Ltd. (LEMONTREE)</t>
  </si>
  <si>
    <t>LG Balakrishnan &amp; Bros Ltd. (LGBBROSLTD)</t>
  </si>
  <si>
    <t>Laxmi Goldorna House Ltd. (LGHL)</t>
  </si>
  <si>
    <t>Liberty Shoes Ltd. (LIBERTSHOE)</t>
  </si>
  <si>
    <t>LIC Housing Finance Ltd. (LICHSGFIN)</t>
  </si>
  <si>
    <t>Life Insurance Corporation of India (LICI)</t>
  </si>
  <si>
    <t>Likhitha Infrastructure Ltd. (LIKHITHA)</t>
  </si>
  <si>
    <t>Linc Ltd. (LINC)</t>
  </si>
  <si>
    <t>Lincoln Pharmaceuticals Ltd. (LINCOLN)</t>
  </si>
  <si>
    <t>Linde India Ltd. (LINDEINDIA)</t>
  </si>
  <si>
    <t>Lloyds Engineering Works Ltd. (LLOYDSENGG)</t>
  </si>
  <si>
    <t>Lloyds Metals &amp; Energy Ltd. (LLOYDSME)</t>
  </si>
  <si>
    <t>Macrotech Developers Ltd. (LODHA)</t>
  </si>
  <si>
    <t>Lokesh Machines Ltd. (LOKESHMACH)</t>
  </si>
  <si>
    <t>Lotus Chocolate Company Ltd. (LOTUSCHO)</t>
  </si>
  <si>
    <t>Larsen &amp; Toubro Ltd. (LT)</t>
  </si>
  <si>
    <t>L&amp;T Finance Ltd. (LTF)</t>
  </si>
  <si>
    <t>LT Foods Ltd. (LTFOODS)</t>
  </si>
  <si>
    <t>LTIMindtree Ltd. (LTIM)</t>
  </si>
  <si>
    <t>L&amp;T Technology Services Ltd. (LTTS)</t>
  </si>
  <si>
    <t>Lumax Industries Ltd. (LUMAXIND)</t>
  </si>
  <si>
    <t>Lumax Auto Technologies Ltd. (LUMAXTECH)</t>
  </si>
  <si>
    <t>Lupin Ltd. (LUPIN)</t>
  </si>
  <si>
    <t>Lux Industries Ltd. (LUXIND)</t>
  </si>
  <si>
    <t>Laxmi Organic Industries Ltd. (LXCHEM)</t>
  </si>
  <si>
    <t>Mahindra &amp; Mahindra Ltd. (M&amp;M)</t>
  </si>
  <si>
    <t>Mahindra &amp; Mahindra Financial Services Ltd. (M&amp;MFIN)</t>
  </si>
  <si>
    <t>Niyogin Fintech Ltd. (M3GLOBAL)</t>
  </si>
  <si>
    <t>Maan Aluminium Ltd. (MAANALU)</t>
  </si>
  <si>
    <t>Macpower CNC Machines Ltd. (MACPOWER)</t>
  </si>
  <si>
    <t>Madras Fertilizers Ltd. (MADRASFERT)</t>
  </si>
  <si>
    <t>Mafatlal Industries Ltd. (MAFATLAIND)</t>
  </si>
  <si>
    <t>Magadh Sugar &amp; Energy Ltd. (MAGADSUGAR)</t>
  </si>
  <si>
    <t>Bank of Maharashtra (MAHABANK)</t>
  </si>
  <si>
    <t>Mahindra Lifespace Developers Ltd. (MAHLIFE)</t>
  </si>
  <si>
    <t>Mahindra Logistics Ltd. (MAHLOG)</t>
  </si>
  <si>
    <t>Maharashtra Scooters Ltd. (MAHSCOOTER)</t>
  </si>
  <si>
    <t>Maharashtra Seamless Ltd. (MAHSEAMLES)</t>
  </si>
  <si>
    <t>Maithan Alloys Ltd. (MAITHANALL)</t>
  </si>
  <si>
    <t>Mallcom (India) Ltd. (MALLCOM)</t>
  </si>
  <si>
    <t>Manaksia Ltd. (MANAKSIA)</t>
  </si>
  <si>
    <t>Manali Petrochemicals Ltd. (MANALIPETC)</t>
  </si>
  <si>
    <t>Manappuram Finance Ltd. (MANAPPURAM)</t>
  </si>
  <si>
    <t>Mangalore Chemicals &amp; Fertilizers Ltd. (MANGCHEFER)</t>
  </si>
  <si>
    <t>Mangalam Cement Ltd. (MANGLMCEM)</t>
  </si>
  <si>
    <t>Man Industries (India) Ltd. (MANINDS)</t>
  </si>
  <si>
    <t>Man Infraconstruction Ltd. (MANINFRA)</t>
  </si>
  <si>
    <t>Mankind Pharma Ltd. (MANKIND)</t>
  </si>
  <si>
    <t>Manorama Industries Ltd. (MANORAMA)</t>
  </si>
  <si>
    <t>Wardwizard Innovations &amp; Mobility Ltd. (MANVIJAY)</t>
  </si>
  <si>
    <t>Vedant Fashions Ltd. (MANYAVAR)</t>
  </si>
  <si>
    <t>C.E. Info Systems Ltd. (MAPMYINDIA)</t>
  </si>
  <si>
    <t>Marathon Nextgen Realty Ltd. (MARATHON)</t>
  </si>
  <si>
    <t>Marico Ltd. (MARICO)</t>
  </si>
  <si>
    <t>Marine Electricals (India) Ltd. (MARINE)</t>
  </si>
  <si>
    <t>Marksans Pharma Ltd. (MARKSANS)</t>
  </si>
  <si>
    <t>Marsons Ltd. (MARSONS)</t>
  </si>
  <si>
    <t>Maruti Suzuki India Ltd. (MARUTI)</t>
  </si>
  <si>
    <t>Mas Financial Services Ltd. (MASFIN)</t>
  </si>
  <si>
    <t>Mastek Ltd. (MASTEK)</t>
  </si>
  <si>
    <t>Master Trust Ltd. (MASTERTR)</t>
  </si>
  <si>
    <t>Matrimony.com Ltd. (MATRIMONY)</t>
  </si>
  <si>
    <t>Max Estates Ltd. (MAXESTATES)</t>
  </si>
  <si>
    <t>Max Healthcare Institute Ltd. (MAXHEALTH)</t>
  </si>
  <si>
    <t>Max India Ltd. (MAXIND)</t>
  </si>
  <si>
    <t>Mayur Uniquoters Ltd. (MAYURUNIQ)</t>
  </si>
  <si>
    <t>Mazda Ltd. (MAZDA)</t>
  </si>
  <si>
    <t>Mazagon Dock Shipbuilders Ltd. (MAZDOCK)</t>
  </si>
  <si>
    <t>Madhya Bharat Agro Products Ltd. (MBAPL)</t>
  </si>
  <si>
    <t>MBL Infrastructure Ltd. (MBLINFRA)</t>
  </si>
  <si>
    <t>Mac Charles (India) Ltd. (MCCHRLS-B)</t>
  </si>
  <si>
    <t>Multi Commodity Exchange of India Ltd. (MCX)</t>
  </si>
  <si>
    <t>Rudra Global Infra Products Ltd. (MDINDUCTO)</t>
  </si>
  <si>
    <t>Global Health Ltd. (MEDANTA)</t>
  </si>
  <si>
    <t>Medi Assist Healthcare Services Ltd. (MEDIASSIST)</t>
  </si>
  <si>
    <t>Medicamen Biotech Ltd. (MEDICAMEQ)</t>
  </si>
  <si>
    <t>Medplus Health Services Ltd. (MEDPLUS)</t>
  </si>
  <si>
    <t>Megasoft Ltd. (MEGASOFT)</t>
  </si>
  <si>
    <t>Megatherm Induction Ltd. (MEGATHERM)</t>
  </si>
  <si>
    <t>Menon Bearings Ltd. (MENONBE)</t>
  </si>
  <si>
    <t>Mercury Ev-Tech Ltd. (MERCURY)</t>
  </si>
  <si>
    <t>Metro Brands Ltd. (METROBRAND)</t>
  </si>
  <si>
    <t>Metropolis Healthcare Ltd. (METROPOLIS)</t>
  </si>
  <si>
    <t>Max Financial Services Ltd. (MFSL)</t>
  </si>
  <si>
    <t>Mahanagar Gas Ltd. (MGL)</t>
  </si>
  <si>
    <t>Mahindra Holidays &amp; Resorts India Ltd. (MHRIL)</t>
  </si>
  <si>
    <t>MIC Electronics Ltd. (MICEL)</t>
  </si>
  <si>
    <t>Mishra Dhatu Nigam Ltd. (MIDHANI)</t>
  </si>
  <si>
    <t>Minda Corporation Ltd. (MINDACORP)</t>
  </si>
  <si>
    <t>Mindspace Business Parks REIT (MINDSPACE)</t>
  </si>
  <si>
    <t>Mindteck (India) Ltd. (MINDTECK)</t>
  </si>
  <si>
    <t>Mirza International Ltd. (MIRZAINT)</t>
  </si>
  <si>
    <t>Mishtann Foods Ltd. (MISHTANN)</t>
  </si>
  <si>
    <t>M M Forgings Ltd. (MMFL)</t>
  </si>
  <si>
    <t>MMP Industries Ltd. (MMP)</t>
  </si>
  <si>
    <t>MMTC Ltd. (MMTC)</t>
  </si>
  <si>
    <t>Media Matrix Worldwide Ltd. (MMWL)</t>
  </si>
  <si>
    <t>Modern Insulators Ltd. (MODINSULAT)</t>
  </si>
  <si>
    <t>MOIL Ltd. (MOIL)</t>
  </si>
  <si>
    <t>Meghmani Organics Ltd. (MOL)</t>
  </si>
  <si>
    <t>Mold-Tek Technologies Ltd. (MOLDTECH)</t>
  </si>
  <si>
    <t>Mold-Tek Packaging Ltd. (MOLDTKPAC)</t>
  </si>
  <si>
    <t>Monarch Networth Capital Ltd. (MONARCH)</t>
  </si>
  <si>
    <t>Monte Carlo Fashions Ltd. (MONTECARLO)</t>
  </si>
  <si>
    <t>SG Finserve Ltd. (MOONGIPASEC)</t>
  </si>
  <si>
    <t>Morepen Laboratories Ltd. (MOREPENLAB)</t>
  </si>
  <si>
    <t>Morganite Crucible (India) Ltd. (MORGANITE)</t>
  </si>
  <si>
    <t>MosChip Technologies Ltd. (MOSCHIP)</t>
  </si>
  <si>
    <t>Samvardhana Motherson International Ltd. (MOTHERSON)</t>
  </si>
  <si>
    <t>Motilal Oswal Financial Services Ltd. (MOTILALOFS)</t>
  </si>
  <si>
    <t>Motisons Jewellers Ltd. (MOTISONS)</t>
  </si>
  <si>
    <t>MphasiS Ltd. (MPHASIS)</t>
  </si>
  <si>
    <t>MPS Ltd. (MPSLTD)</t>
  </si>
  <si>
    <t>MRF Ltd. (MRF)</t>
  </si>
  <si>
    <t>Mangalore Refinery And Petrochemicals Ltd. (MRPL)</t>
  </si>
  <si>
    <t>MSP Steel &amp; Power Ltd. (MSPL)</t>
  </si>
  <si>
    <t>MSTC Ltd. (MSTCLTD)</t>
  </si>
  <si>
    <t>Motherson Sumi Wiring India Ltd. (MSUMI)</t>
  </si>
  <si>
    <t>MTAR Technologies Ltd. (MTARTECH)</t>
  </si>
  <si>
    <t>Mahanagar Telephone Nigam Ltd. (MTNL)</t>
  </si>
  <si>
    <t>Mufin Green Finance Ltd. (MUFIN)</t>
  </si>
  <si>
    <t>Credo Brands Marketing Ltd. (MUFTI)</t>
  </si>
  <si>
    <t>Mukand Ltd. (MUKANDLTD)</t>
  </si>
  <si>
    <t>Mukka Proteins Ltd. (MUKKA)</t>
  </si>
  <si>
    <t>Munjal Auto Industries Ltd. (MUNJALAU)</t>
  </si>
  <si>
    <t>Munjal Showa Ltd. (MUNJALSHOW)</t>
  </si>
  <si>
    <t>Muthoot Capital Services Ltd. (MUTHOOTCAP)</t>
  </si>
  <si>
    <t>Muthoot Finance Ltd. (MUTHOOTFIN)</t>
  </si>
  <si>
    <t>Muthoot Microfin Ltd. (MUTHOOTMF)</t>
  </si>
  <si>
    <t>Manoj Vaibhav Gems N Jewellers Ltd. (MVGJL)</t>
  </si>
  <si>
    <t>NACL Industries Ltd. (NACLIND)</t>
  </si>
  <si>
    <t>Nagarjuna Fertilizers and Chemicals Ltd. (NAGAFERT)</t>
  </si>
  <si>
    <t>Nahar Capital &amp; Financial Services Ltd. (NAHARCAP)</t>
  </si>
  <si>
    <t>Nahar Industrial Enterprises Ltd. (NAHARINDUS)</t>
  </si>
  <si>
    <t>Nahar Poly Films Ltd. (NAHARPOLY)</t>
  </si>
  <si>
    <t>Nahar Spinning Mills Ltd. (NAHARSPING)</t>
  </si>
  <si>
    <t>Nippon Life India Asset Management Ltd. (NAM-INDIA)</t>
  </si>
  <si>
    <t>Natco Pharma Ltd. (NATCOPHARM)</t>
  </si>
  <si>
    <t>National Aluminium Company Ltd. (NATIONALUM)</t>
  </si>
  <si>
    <t>Naperol Investments Ltd. (NATPEROXID)</t>
  </si>
  <si>
    <t>Info Edge (India) Ltd. (NAUKRI)</t>
  </si>
  <si>
    <t>NAVA Ltd. (NAVA)</t>
  </si>
  <si>
    <t>Navin Fluorine International Ltd. (NAVINFLUOR)</t>
  </si>
  <si>
    <t>Navkar Corporation Ltd. (NAVKARCORP)</t>
  </si>
  <si>
    <t>Navneet Education Ltd. (NAVNETEDUL)</t>
  </si>
  <si>
    <t>Nazara Technologies Ltd. (NAZARA)</t>
  </si>
  <si>
    <t>NBCC (India) Ltd. (NBCC)</t>
  </si>
  <si>
    <t>NBI Industrial Finance Company Ltd. (NBIFIN)</t>
  </si>
  <si>
    <t>NCC Ltd. (NCC)</t>
  </si>
  <si>
    <t>NCL Industries Ltd. (NCLIND)</t>
  </si>
  <si>
    <t>Nandan Denim Ltd. (NDL)</t>
  </si>
  <si>
    <t>NDR Auto Components Ltd. (NDRAUTO)</t>
  </si>
  <si>
    <t>New Delhi Television Ltd. (NDTV)</t>
  </si>
  <si>
    <t>Nectar Lifesciences Ltd. (NECLIFE)</t>
  </si>
  <si>
    <t>Nelcast Ltd. (NELCAST)</t>
  </si>
  <si>
    <t>Nelco Ltd. (NELCO)</t>
  </si>
  <si>
    <t>Neogen Chemicals Ltd. (NEOGEN)</t>
  </si>
  <si>
    <t>Nesco Ltd. (NESCO)</t>
  </si>
  <si>
    <t>Nestle India Ltd. (NESTLEIND)</t>
  </si>
  <si>
    <t>Netweb Technologies India Ltd. (NETWEB)</t>
  </si>
  <si>
    <t>Swiss Military Consumer Goods Ltd. (NETWORK)</t>
  </si>
  <si>
    <t>Network18 Media &amp; Investments Ltd. (NETWORK18)</t>
  </si>
  <si>
    <t>Neuland Laboratories Ltd. (NEULANDLAB)</t>
  </si>
  <si>
    <t>Newgen Software Technologies Ltd. (NEWGEN)</t>
  </si>
  <si>
    <t>Newtime Infrastructure Ltd. (NEWTIME)</t>
  </si>
  <si>
    <t>National Fertilizers Ltd. (NFL)</t>
  </si>
  <si>
    <t>NGL Fine - Chem Ltd. (NGLFINE)</t>
  </si>
  <si>
    <t>Narayana Hrudayalaya Ltd. (NH)</t>
  </si>
  <si>
    <t>National Highways Infra Trust (NHIT)</t>
  </si>
  <si>
    <t>NHPC Ltd. (NHPC)</t>
  </si>
  <si>
    <t>The New India Assurance Company Ltd. (NIACL)</t>
  </si>
  <si>
    <t>Nicco Parks &amp; Resorts Ltd. (NICCOPAR)</t>
  </si>
  <si>
    <t>NIIT Ltd. (NIITLTD)</t>
  </si>
  <si>
    <t>NIIT Learning Systems Ltd. (NIITMTS)</t>
  </si>
  <si>
    <t>Nikhil Adhesives Ltd. (NIKHILAD)</t>
  </si>
  <si>
    <t>Nile Ltd. (NILE)</t>
  </si>
  <si>
    <t>Nilkamal Ltd. (NILKAMAL)</t>
  </si>
  <si>
    <t>Nintec Systems Ltd. (NINSYS)</t>
  </si>
  <si>
    <t>Nirlon Ltd. (NIRLON)</t>
  </si>
  <si>
    <t>Nitco Ltd. (NITCO)</t>
  </si>
  <si>
    <t>Nitin Spinners Ltd. (NITINSPIN)</t>
  </si>
  <si>
    <t>NLC India Ltd. (NLCINDIA)</t>
  </si>
  <si>
    <t>NMDC Ltd. (NMDC)</t>
  </si>
  <si>
    <t>NOCIL Ltd. (NOCIL)</t>
  </si>
  <si>
    <t>Nova Agritech Ltd. (NOVAAGRI)</t>
  </si>
  <si>
    <t>Novartis India Ltd. (NOVARTIND)</t>
  </si>
  <si>
    <t>Network People Services Technologies Ltd. (NPST)</t>
  </si>
  <si>
    <t>N R Agarwal Industries Ltd. (NRAIL)</t>
  </si>
  <si>
    <t>NRB Bearings Ltd. (NRBBEARING)</t>
  </si>
  <si>
    <t>Nupur Recyclers Ltd. (NRL)</t>
  </si>
  <si>
    <t>Nalwa Sons Investments Ltd. (NSIL)</t>
  </si>
  <si>
    <t>NMDC Steel Ltd. (NSLNISP)</t>
  </si>
  <si>
    <t>NTPC Ltd. (NTPC)</t>
  </si>
  <si>
    <t>Nucleus Software Exports Ltd. (NUCLEUS)</t>
  </si>
  <si>
    <t>Nuvama Wealth Management Ltd. (NUVAMA)</t>
  </si>
  <si>
    <t>Nuvoco Vistas Corporation Ltd. (NUVOCO)</t>
  </si>
  <si>
    <t>Nexus Select Trust REIT (NXST)</t>
  </si>
  <si>
    <t>FSN E-Commerce Ventures Ltd. (NYKAA)</t>
  </si>
  <si>
    <t>Oriental Aromatics Ltd. (OAL)</t>
  </si>
  <si>
    <t>Oberoi Realty Ltd. (OBEROIRLTY)</t>
  </si>
  <si>
    <t>Oracle Financial Services Software Ltd. (OFSS)</t>
  </si>
  <si>
    <t>Oil India Ltd. (OIL)</t>
  </si>
  <si>
    <t>Olectra Greentech Ltd. (OLECTRA)</t>
  </si>
  <si>
    <t>Omaxe Ltd. (OMAXE)</t>
  </si>
  <si>
    <t>Om Infra Ltd. (OMINFRAL)</t>
  </si>
  <si>
    <t>One Point One Solutions Ltd. (ONEPOINT)</t>
  </si>
  <si>
    <t>Oil And Natural Gas Corporation Ltd. (ONGC)</t>
  </si>
  <si>
    <t>OnMobile Global Ltd. (ONMOBILE)</t>
  </si>
  <si>
    <t>Onward Technologies Ltd. (ONWARDTEC)</t>
  </si>
  <si>
    <t>Optiemus Infracom Ltd. (OPTIEMUS)</t>
  </si>
  <si>
    <t>Orchid Pharma Ltd. (ORCHPHARMA)</t>
  </si>
  <si>
    <t>Oriana Power Ltd. (ORIANA)</t>
  </si>
  <si>
    <t>Oricon Enterprises Ltd. (ORICONENT)</t>
  </si>
  <si>
    <t>Orient Bell Ltd. (ORIENTBELL)</t>
  </si>
  <si>
    <t>Orient Cement Ltd. (ORIENTCEM)</t>
  </si>
  <si>
    <t>Orient Ceratech Ltd. (ORIENTCER)</t>
  </si>
  <si>
    <t>Orient Electric Ltd. (ORIENTELEC)</t>
  </si>
  <si>
    <t>Oriental Hotels Ltd. (ORIENTHOT)</t>
  </si>
  <si>
    <t>Orient Paper &amp; Industries Ltd. (ORIENTPPR)</t>
  </si>
  <si>
    <t>The Orissa Minerals Development Company Ltd. (ORISSAMINE)</t>
  </si>
  <si>
    <t>Oriental Rail Infrastructure Ltd. (ORVENPR)</t>
  </si>
  <si>
    <t>Oswal Agro Mills Ltd. (OSWALAGRO)</t>
  </si>
  <si>
    <t>Oswal Green Tech Ltd. (OSWALGREEN)</t>
  </si>
  <si>
    <t>Owais Metal and Mineral Processing Ltd. (OWAIS)</t>
  </si>
  <si>
    <t>Page Industries Ltd. (PAGEIND)</t>
  </si>
  <si>
    <t>Paisalo Digital Ltd. (PAISALO)</t>
  </si>
  <si>
    <t>Pakka Ltd. (PAKKA)</t>
  </si>
  <si>
    <t>Panacea Biotec Ltd. (PANACEABIO)</t>
  </si>
  <si>
    <t>Panama Petrochem Ltd. (PANAMAPET)</t>
  </si>
  <si>
    <t>Paramount Communications Ltd. (PARACABLES)</t>
  </si>
  <si>
    <t>Paradeep Phosphates Ltd. (PARADEEP)</t>
  </si>
  <si>
    <t>Parag Milk Foods Ltd. (PARAGMILK)</t>
  </si>
  <si>
    <t>Paras Defence and Space Technologies Ltd. (PARAS)</t>
  </si>
  <si>
    <t>Apeejay Surrendra Park Hotels Ltd. (PARKHOTELS)</t>
  </si>
  <si>
    <t>Parsvnath Developers Ltd. (PARSVNATH)</t>
  </si>
  <si>
    <t>Pashupati Cotspin Ltd. (PASHUPATI)</t>
  </si>
  <si>
    <t>Patanjali Foods Ltd. (PATANJALI)</t>
  </si>
  <si>
    <t>Patel Engineering Ltd. (PATELENG)</t>
  </si>
  <si>
    <t>Paushak Ltd. (PAUSHAKLTD)</t>
  </si>
  <si>
    <t>Pavna Industries Ltd. (PAVNAIND)</t>
  </si>
  <si>
    <t>One97 Communications Ltd. (PAYTM)</t>
  </si>
  <si>
    <t>PCBL Ltd. (PCBL)</t>
  </si>
  <si>
    <t>Petro Carbon and Chemicals Ltd. (PCCL)</t>
  </si>
  <si>
    <t>PC Jeweller Ltd. (PCJEWELLER)</t>
  </si>
  <si>
    <t>Pudumjee Paper Products Ltd. (PDMJEPAPER)</t>
  </si>
  <si>
    <t>PDS Ltd. (PDSL)</t>
  </si>
  <si>
    <t>Piramal Enterprises Ltd. (PEL)</t>
  </si>
  <si>
    <t>Pennar Industries Ltd. (PENIND)</t>
  </si>
  <si>
    <t>Peninsula Land Ltd. (PENINLAND)</t>
  </si>
  <si>
    <t>Permanent Magnets Ltd. (PERMAGNET)</t>
  </si>
  <si>
    <t>Persistent Systems Ltd. (PERSISTENT)</t>
  </si>
  <si>
    <t>Petronet LNG Ltd. (PETRONET)</t>
  </si>
  <si>
    <t>Power Finance Corporation Ltd. (PFC)</t>
  </si>
  <si>
    <t>Pfizer Ltd. (PFIZER)</t>
  </si>
  <si>
    <t>Prime Focus Ltd. (PFOCUS)</t>
  </si>
  <si>
    <t>PTC India Financial Services Ltd. (PFS)</t>
  </si>
  <si>
    <t>PG Electroplast Ltd. (PGEL)</t>
  </si>
  <si>
    <t>Procter &amp; Gamble Hygiene &amp; Healthcare Ltd. (PGHH)</t>
  </si>
  <si>
    <t>Procter &amp; Gamble Health Ltd. (PGHL)</t>
  </si>
  <si>
    <t>Pearl Global Industries Ltd. (PGIL)</t>
  </si>
  <si>
    <t>PowerGrid Infrastructure Investment Trust (PGINVIT)</t>
  </si>
  <si>
    <t>Phantom Digital Effects Ltd. (PHANTOMFX)</t>
  </si>
  <si>
    <t>Phoenix Mills Ltd. (PHOENIXLTD)</t>
  </si>
  <si>
    <t>Piccadily Agro Industries Ltd. (PICCADIL)</t>
  </si>
  <si>
    <t>Pidilite Industries Ltd. (PIDILITIND)</t>
  </si>
  <si>
    <t>PI Industries Ltd. (PIIND)</t>
  </si>
  <si>
    <t>Pilani Investment and Industries Corporation Ltd. (PILANIINVS)</t>
  </si>
  <si>
    <t>Pitti Engineering Ltd. (PITTIENG)</t>
  </si>
  <si>
    <t>Pix Transmissions Ltd. (PIXTRANS)</t>
  </si>
  <si>
    <t>Plastiblends India Ltd. (PLASTIBLEN)</t>
  </si>
  <si>
    <t>Platinum Industries Ltd. (PLATIND)</t>
  </si>
  <si>
    <t>Punjab National Bank (PNB)</t>
  </si>
  <si>
    <t>PNB Gilts Ltd. (PNBGILTS)</t>
  </si>
  <si>
    <t>PNB Housing Finance Ltd. (PNBHOUSING)</t>
  </si>
  <si>
    <t>PNC Infratech Ltd. (PNCINFRA)</t>
  </si>
  <si>
    <t>Pondy Oxides &amp; Chemicals Ltd. (POCL)</t>
  </si>
  <si>
    <t>Pokarna Ltd. (POKARNA)</t>
  </si>
  <si>
    <t>PB Fintech Ltd. (POLICYBZR)</t>
  </si>
  <si>
    <t>Polycab India Ltd. (POLYCAB)</t>
  </si>
  <si>
    <t>Poly Medicure Ltd. (POLYMED)</t>
  </si>
  <si>
    <t>Polyplex Corporation Ltd. (POLYPLEX)</t>
  </si>
  <si>
    <t>Vashu Bhagnani Industries Ltd. (POOJAENT)</t>
  </si>
  <si>
    <t>Poonawalla Fincorp Ltd. (POONAWALLA)</t>
  </si>
  <si>
    <t>Voith Paper Fabrics India Ltd. (PORRITSPEN)</t>
  </si>
  <si>
    <t>Power Grid Corporation of India Ltd. (POWERGRID)</t>
  </si>
  <si>
    <t>Hitachi Energy India Ltd. (POWERINDIA)</t>
  </si>
  <si>
    <t>Power Mech Projects Ltd. (POWERMECH)</t>
  </si>
  <si>
    <t>Prakash Pipes Ltd. (PPL)</t>
  </si>
  <si>
    <t>Piramal Pharma Ltd. (PPLPHARMA)</t>
  </si>
  <si>
    <t>Polo Queen Industrial and Fintech Ltd. (PQIF)</t>
  </si>
  <si>
    <t>Praj Industries Ltd. (PRAJIND)</t>
  </si>
  <si>
    <t>Prakash Industries Ltd. (PRAKASH)</t>
  </si>
  <si>
    <t>Pratham EPC Projects Ltd. (PRATHAM)</t>
  </si>
  <si>
    <t>Precision Camshafts Ltd. (PRECAM)</t>
  </si>
  <si>
    <t>Precot Ltd. (PRECOT)</t>
  </si>
  <si>
    <t>Precision Wires India Ltd. (PRECWIRE)</t>
  </si>
  <si>
    <t>Premier Explosives Ltd. (PREMEXPLN)</t>
  </si>
  <si>
    <t>Prestige Estates Projects Ltd. (PRESTIGE)</t>
  </si>
  <si>
    <t>Pricol Ltd. (PRICOLLTD)</t>
  </si>
  <si>
    <t>Prime Securities Ltd. (PRIMESECU)</t>
  </si>
  <si>
    <t>Prince Pipes &amp; Fittings Ltd. (PRINCEPIPE)</t>
  </si>
  <si>
    <t>Privi Speciality Chemicals Ltd. (PRIVISCL)</t>
  </si>
  <si>
    <t>Protean eGov Technologies Ltd. (PROTEAN)</t>
  </si>
  <si>
    <t>Prism Johnson Ltd. (PRSMJOHNSN)</t>
  </si>
  <si>
    <t>Prudent Corporate Advisory Services Ltd. (PRUDENT)</t>
  </si>
  <si>
    <t>Punjab &amp; Sind Bank (PSB)</t>
  </si>
  <si>
    <t>PSP Projects Ltd. (PSPPROJECT)</t>
  </si>
  <si>
    <t>PTC India Ltd. (PTC)</t>
  </si>
  <si>
    <t>PTC Industries Ltd. (PTCIL)</t>
  </si>
  <si>
    <t>PTL Enterprises Ltd. (PTL)</t>
  </si>
  <si>
    <t>Primo Chemicals Ltd. (PUNALKALI)</t>
  </si>
  <si>
    <t>Punjab Chemicals and Crop Protection Ltd. (PUNJABCHEM)</t>
  </si>
  <si>
    <t>Puravankara Ltd. (PURVA)</t>
  </si>
  <si>
    <t>PVP Ventures Ltd. (PVP)</t>
  </si>
  <si>
    <t>PVR INOX Ltd. (PVRINOX)</t>
  </si>
  <si>
    <t>Popular Vehicles and Services Ltd. (PVSL)</t>
  </si>
  <si>
    <t>Pyramid Technoplast Ltd. (PYRAMID)</t>
  </si>
  <si>
    <t>Quess Corp Ltd. (QUESS)</t>
  </si>
  <si>
    <t>Quick Heal Technologies Ltd. (QUICKHEAL)</t>
  </si>
  <si>
    <t>Race Eco Chain Ltd. (RACE)</t>
  </si>
  <si>
    <t>Racl Geartech Ltd. (RACLGEAR)</t>
  </si>
  <si>
    <t>Radhika Jeweltech Ltd. (RADHIKAJWE)</t>
  </si>
  <si>
    <t>Radiant Cash Management Services Ltd. (RADIANTCMS)</t>
  </si>
  <si>
    <t>Radico Khaitan Ltd. (RADICO)</t>
  </si>
  <si>
    <t>Music Broadcast Ltd. (RADIOCITY)</t>
  </si>
  <si>
    <t>RailTel Corporation of India Ltd. (RAILTEL)</t>
  </si>
  <si>
    <t>Rain Industries Ltd. (RAIN)</t>
  </si>
  <si>
    <t>Rainbow Childrens Medicare Ltd. (RAINBOW)</t>
  </si>
  <si>
    <t>Rajesh Exports Ltd. (RAJESHEXPO)</t>
  </si>
  <si>
    <t>Rajoo Engineers Ltd. (RAJOOENG)</t>
  </si>
  <si>
    <t>Rajapalayam Mills Ltd. (RAJPALAYAM)</t>
  </si>
  <si>
    <t>Rajratan Global Wire Ltd. (RAJRATAN)</t>
  </si>
  <si>
    <t>Raj Rayon Industries Ltd. (RAJRILTD)</t>
  </si>
  <si>
    <t>Raj Television Network Ltd. (RAJTV)</t>
  </si>
  <si>
    <t>Rallis India Ltd. (RALLIS)</t>
  </si>
  <si>
    <t>Rama Steel Tubes Ltd. (RAMASTEEL)</t>
  </si>
  <si>
    <t>The Ramco Cements Ltd. (RAMCOCEM)</t>
  </si>
  <si>
    <t>Ramco Industries Ltd. (RAMCOIND)</t>
  </si>
  <si>
    <t>Ramco Systems Ltd. (RAMCOSYS)</t>
  </si>
  <si>
    <t>Ramky Infrastructure Ltd. (RAMKY)</t>
  </si>
  <si>
    <t>Ram Ratna Wires Ltd. (RAMRAT)</t>
  </si>
  <si>
    <t>Rane Holdings Ltd. (RANEHOLDIN)</t>
  </si>
  <si>
    <t>RateGain Travel Technologies Ltd. (RATEGAIN)</t>
  </si>
  <si>
    <t>Ratnamani Metals &amp; Tubes Ltd. (RATNAMANI)</t>
  </si>
  <si>
    <t>Ratnaveer Precision Engineering Ltd. (RATNAVEER)</t>
  </si>
  <si>
    <t>Ravindra Energy Ltd. (RAVINDT)</t>
  </si>
  <si>
    <t>Raymond Ltd. (RAYMOND)</t>
  </si>
  <si>
    <t>Restaurant Brands Asia Ltd. (RBA)</t>
  </si>
  <si>
    <t>Rane Brake Lining Ltd. (RBL)</t>
  </si>
  <si>
    <t>RBL Bank Ltd. (RBLBANK)</t>
  </si>
  <si>
    <t>RBM Infracon Ltd. (RBMINFRA)</t>
  </si>
  <si>
    <t>RBZ Jewellers Ltd. (RBZJEWEL)</t>
  </si>
  <si>
    <t>Rashtriya Chemicals &amp; Fertilizers Ltd. (RCF)</t>
  </si>
  <si>
    <t>Reliance Communications Ltd. (RCOM)</t>
  </si>
  <si>
    <t>REC Ltd. (RECLTD)</t>
  </si>
  <si>
    <t>Redington Ltd. (REDINGTON)</t>
  </si>
  <si>
    <t>Redtape Ltd. (REDTAPE)</t>
  </si>
  <si>
    <t>Refex Industries Ltd. (REFEX)</t>
  </si>
  <si>
    <t>Refractory Shapes Ltd. (REFRACTORY)</t>
  </si>
  <si>
    <t>Relaxo Footwears Ltd. (RELAXO)</t>
  </si>
  <si>
    <t>Reliance Industries Ltd. (RELIANCE)</t>
  </si>
  <si>
    <t>Religare Enterprises Ltd. (RELIGARE)</t>
  </si>
  <si>
    <t>Reliance Infrastructure Ltd. (RELINFRA)</t>
  </si>
  <si>
    <t>Welspun Specialty Solutions Ltd. (REMIMETAL)</t>
  </si>
  <si>
    <t>Remus Pharmaceuticals Ltd. (REMUS)</t>
  </si>
  <si>
    <t>Shree Renuka Sugars Ltd. (RENUKA)</t>
  </si>
  <si>
    <t>Repco Home Finance Ltd. (REPCOHOME)</t>
  </si>
  <si>
    <t>Repro India Ltd. (REPRO)</t>
  </si>
  <si>
    <t>Responsive Industries Ltd. (RESPONIND)</t>
  </si>
  <si>
    <t>Renaissance Global Ltd. (RGL)</t>
  </si>
  <si>
    <t>RHI Magnesita India Ltd. (RHIM)</t>
  </si>
  <si>
    <t>Rico Auto Industries Ltd. (RICOAUTO)</t>
  </si>
  <si>
    <t>Reliance Industrial InfraStructure Ltd. (RIIL)</t>
  </si>
  <si>
    <t>RIR Power Electronics Ltd. (RIR)</t>
  </si>
  <si>
    <t>Rishabh Instruments Ltd. (RISHABH)</t>
  </si>
  <si>
    <t>Ritco Logistics Ltd. (RITCO)</t>
  </si>
  <si>
    <t>Rites Ltd. (RITES)</t>
  </si>
  <si>
    <t>Ramkrishna Forgings Ltd. (RKFORGE)</t>
  </si>
  <si>
    <t>R K Swamy Ltd. (RKSWAMY)</t>
  </si>
  <si>
    <t>RMC Switchgears Ltd. (RMC)</t>
  </si>
  <si>
    <t>Rane (Madras) Ltd. (RML)</t>
  </si>
  <si>
    <t>R&amp;B Denims Ltd. (RNBDENIMS)</t>
  </si>
  <si>
    <t>Royal Orchid Hotels Ltd. (ROHLTD)</t>
  </si>
  <si>
    <t>Rolex Rings Ltd. (ROLEXRINGS)</t>
  </si>
  <si>
    <t>Rossari Biotech Ltd. (ROSSARI)</t>
  </si>
  <si>
    <t>Rossell India Ltd. (ROSSELLIND)</t>
  </si>
  <si>
    <t>Roto Pumps Ltd. (ROTO)</t>
  </si>
  <si>
    <t>Route Mobile Ltd. (ROUTE)</t>
  </si>
  <si>
    <t>RPG Life Sciences Ltd. (RPGLIFE)</t>
  </si>
  <si>
    <t>Hampton Sky Realty Ltd. (RPIL)</t>
  </si>
  <si>
    <t>Reliance Power Ltd. (RPOWER)</t>
  </si>
  <si>
    <t>RPP Infra Projects Ltd. (RPPINFRA)</t>
  </si>
  <si>
    <t>RPSG Ventures Ltd. (RPSGVENT)</t>
  </si>
  <si>
    <t>Rashi Peripherals Ltd. (RPTECH)</t>
  </si>
  <si>
    <t>R R Kabel Ltd. (RRKABEL)</t>
  </si>
  <si>
    <t>Raghav Productivity Enhancers Ltd. (RRML)</t>
  </si>
  <si>
    <t>RS Software (India) Ltd. (RSSOFTWARE)</t>
  </si>
  <si>
    <t>RSWM Ltd. (RSWM)</t>
  </si>
  <si>
    <t>R Systems International Ltd. (RSYSTEMS)</t>
  </si>
  <si>
    <t>RattanIndia Enterprises Ltd. (RTNINDIA)</t>
  </si>
  <si>
    <t>RattanIndia Power Ltd. (RTNPOWER)</t>
  </si>
  <si>
    <t>Ruby Mills Ltd. (RUBYMILLS)</t>
  </si>
  <si>
    <t>Rupa &amp; Company Ltd. (RUPA)</t>
  </si>
  <si>
    <t>Rushil Decor Ltd. (RUSHIL)</t>
  </si>
  <si>
    <t>Keystone Realtors Ltd. (RUSTOMJEE)</t>
  </si>
  <si>
    <t>Rail Vikas Nigam Ltd. (RVNL)</t>
  </si>
  <si>
    <t>Saakshi Medtech &amp; Panels Ltd. (SAAKSHI)</t>
  </si>
  <si>
    <t>Sadbhav Engineering Ltd. (SADBHAV)</t>
  </si>
  <si>
    <t>Sadhana Nitro Chem Ltd. (SADHNANIQ)</t>
  </si>
  <si>
    <t>Safari Industries (India) Ltd. (SAFARI)</t>
  </si>
  <si>
    <t>Sagar Cements Ltd. (SAGCEM)</t>
  </si>
  <si>
    <t>Sahana System Ltd. (SAHANA)</t>
  </si>
  <si>
    <t>Steel Authority of India (SAIL) Ltd. (SAIL)</t>
  </si>
  <si>
    <t>Saint-Gobain Sekurit India Ltd. (SAINTGOBAIN)</t>
  </si>
  <si>
    <t>Sakar Healthcare Ltd. (SAKAR)</t>
  </si>
  <si>
    <t>Saksoft Ltd. (SAKSOFT)</t>
  </si>
  <si>
    <t>Sakuma Exports Ltd. (SAKUMA)</t>
  </si>
  <si>
    <t>Waaree Renewable Technologies Ltd. (SAL)</t>
  </si>
  <si>
    <t>Salasar Techno Engineering Ltd. (SALASAR)</t>
  </si>
  <si>
    <t>Salzer Electronics Ltd. (SALZERELEC)</t>
  </si>
  <si>
    <t>Samhi Hotels Ltd. (SAMHI)</t>
  </si>
  <si>
    <t>Sandesh Ltd. (SANDESH)</t>
  </si>
  <si>
    <t>Sandhar Technologies Ltd. (SANDHAR)</t>
  </si>
  <si>
    <t>Sandur Manganese &amp; Iron Ores Ltd. (SANDUMA)</t>
  </si>
  <si>
    <t>Sangam (India) Ltd. (SANGAMIND)</t>
  </si>
  <si>
    <t>Sanghi Industries Ltd. (SANGHIIND)</t>
  </si>
  <si>
    <t>Sanghvi Movers Ltd. (SANGHVIMOV)</t>
  </si>
  <si>
    <t>Sanofi India Ltd. (SANOFI)</t>
  </si>
  <si>
    <t>Sansera Engineering Ltd. (SANSERA)</t>
  </si>
  <si>
    <t>SAR Auto Products Ltd. (SAPL)</t>
  </si>
  <si>
    <t>Sapphire Foods India Ltd. (SAPPHIRE)</t>
  </si>
  <si>
    <t>Sarda Energy &amp; Minerals Ltd. (SARDAEN)</t>
  </si>
  <si>
    <t>Saregama India Ltd. (SAREGAMA)</t>
  </si>
  <si>
    <t>Sarla Performance Fibers Ltd. (SARLAPOLY)</t>
  </si>
  <si>
    <t>Sarveshwar Foods Ltd. (SARVESHWAR)</t>
  </si>
  <si>
    <t>Sasken Technologies Ltd. (SASKEN)</t>
  </si>
  <si>
    <t>Sastasundar Ventures Ltd. (SASTASUNDR)</t>
  </si>
  <si>
    <t>Satia Industries Ltd. (SATIA)</t>
  </si>
  <si>
    <t>Satin Creditcare Network Ltd. (SATIN)</t>
  </si>
  <si>
    <t>Sat Industries Ltd. (SATINDLTD)</t>
  </si>
  <si>
    <t>Saurashtra Cements Ltd. (SAURASHCEM)</t>
  </si>
  <si>
    <t>Sayaji Hotels Ltd. (SAYAJIHOTL)</t>
  </si>
  <si>
    <t>SBC Exports Ltd. (SBC)</t>
  </si>
  <si>
    <t>Shivalik Bimetal Controls Ltd. (SBCL)</t>
  </si>
  <si>
    <t>SBFC Finance Ltd. (SBFC)</t>
  </si>
  <si>
    <t>Suratwwala Business Group Ltd. (SBGLP)</t>
  </si>
  <si>
    <t>SBI Cards and Payment Services Ltd. (SBICARD)</t>
  </si>
  <si>
    <t>SBI Life Insurance Company Ltd. (SBILIFE)</t>
  </si>
  <si>
    <t>State Bank of India (SBIN)</t>
  </si>
  <si>
    <t>Schaeffler India Ltd. (SCHAEFFLER)</t>
  </si>
  <si>
    <t>S Chand &amp; Company Ltd. (SCHAND)</t>
  </si>
  <si>
    <t>Schneider Electric Infrastructure Ltd. (SCHNEIDER)</t>
  </si>
  <si>
    <t>Shipping Corporation of India Ltd. (SCI)</t>
  </si>
  <si>
    <t>Shipping Corporation of India Land And Assets Ltd. (SCILAL)</t>
  </si>
  <si>
    <t>Scooters India Ltd. (SCOOTER)</t>
  </si>
  <si>
    <t>Sheetal Cool Products Ltd. (SCPL)</t>
  </si>
  <si>
    <t>Som Distilleries &amp; Breweries Ltd. (SDBL)</t>
  </si>
  <si>
    <t>Seamec Ltd. (SEAMECLTD)</t>
  </si>
  <si>
    <t>Shanti Educational Initiatives Ltd. (SEIL)</t>
  </si>
  <si>
    <t>Selan Exploration Technology Ltd. (SELAN)</t>
  </si>
  <si>
    <t>Senco Gold Ltd. (SENCO)</t>
  </si>
  <si>
    <t>SEPC Ltd. (SEPC)</t>
  </si>
  <si>
    <t>Kkrrafton Developers Ltd. (SEQUELE)</t>
  </si>
  <si>
    <t>Sequent Scientific Ltd. (SEQUENT)</t>
  </si>
  <si>
    <t>Servotech Power Systems Ltd. (SERVOTECH)</t>
  </si>
  <si>
    <t>Seshasayee Paper &amp; Boards Ltd. (SESHAPAPER)</t>
  </si>
  <si>
    <t>Sheela Foam Ltd. (SFL)</t>
  </si>
  <si>
    <t>Synergy Green Industries Ltd. (SGIL)</t>
  </si>
  <si>
    <t>Shree Ganesh Remedies Ltd. (SGRL)</t>
  </si>
  <si>
    <t>Shaily Engineering Plastics Ltd. (SHAILY)</t>
  </si>
  <si>
    <t>Shakti Pumps (India) Ltd. (SHAKTIPUMP)</t>
  </si>
  <si>
    <t>Shalby Ltd. (SHALBY)</t>
  </si>
  <si>
    <t>Shalimar Paints Ltd. (SHALPAINTS)</t>
  </si>
  <si>
    <t>Shankara Building Products Ltd. (SHANKARA)</t>
  </si>
  <si>
    <t>Shanthi Gears Ltd. (SHANTIGEAR)</t>
  </si>
  <si>
    <t>Sharda Cropchem Ltd. (SHARDACROP)</t>
  </si>
  <si>
    <t>Sharda Motor Industries Ltd. (SHARDAMOTR)</t>
  </si>
  <si>
    <t>Share India Securities Ltd. (SHAREINDIA)</t>
  </si>
  <si>
    <t>Shilchar Technologies Ltd. (SHILCTECH)</t>
  </si>
  <si>
    <t>Shilpa Medicare Ltd. (SHILPAMED)</t>
  </si>
  <si>
    <t>Shiva Cement Ltd. (SHIVACEM)</t>
  </si>
  <si>
    <t>Shivalik Rasayan Ltd. (SHIVALIK)</t>
  </si>
  <si>
    <t>Shivam Autotech Ltd. (SHIVAMAUTO)</t>
  </si>
  <si>
    <t>S H Kelkar &amp; Company Ltd. (SHK)</t>
  </si>
  <si>
    <t>Shoppers Stop Ltd. (SHOPERSTOP)</t>
  </si>
  <si>
    <t>Shree Digvijay Cement Company Ltd. (SHREDIGCEM)</t>
  </si>
  <si>
    <t>Shree Cements Ltd. (SHREECEM)</t>
  </si>
  <si>
    <t>Shree Pushkar Chemicals &amp; Fertilisers Ltd. (SHREEPUSHK)</t>
  </si>
  <si>
    <t>Shreyas Shipping &amp; Logistics Ltd. (SHREYAS)</t>
  </si>
  <si>
    <t>Lloyds Enterprises Ltd. (SHRGLTR)</t>
  </si>
  <si>
    <t>Shriram Pistons &amp; Rings Ltd. (SHRIPISTON)</t>
  </si>
  <si>
    <t>Shriram Finance Ltd. (SHRIRAMFIN)</t>
  </si>
  <si>
    <t>Shriram Properties Ltd. (SHRIRAMPPS)</t>
  </si>
  <si>
    <t>Shri Jagdamba Polymers Ltd. (SHRJAGP)</t>
  </si>
  <si>
    <t>Shyam Metalics and Energy Ltd. (SHYAMMETL)</t>
  </si>
  <si>
    <t>Sical Logistics Ltd. (SICALLOG)</t>
  </si>
  <si>
    <t>Siemens Ltd. (SIEMENS)</t>
  </si>
  <si>
    <t>Sigachi Industries Ltd. (SIGACHI)</t>
  </si>
  <si>
    <t>Signatureglobal (India) Ltd. (SIGNATURE)</t>
  </si>
  <si>
    <t>Signpost India Ltd. (SIGNPOST)</t>
  </si>
  <si>
    <t>Sika Interplant Systems Ltd. (SIKA)</t>
  </si>
  <si>
    <t>SIL Investments Ltd. (SILINV)</t>
  </si>
  <si>
    <t>Silver Touch Technologies Ltd. (SILVERTUC)</t>
  </si>
  <si>
    <t>Simplex Infrastructures Ltd. (SIMPLEXINF)</t>
  </si>
  <si>
    <t>Sinclairs Hotels Ltd. (SINCLAIR)</t>
  </si>
  <si>
    <t>Sindhu Trade Links Ltd. (SINDHUTRAD)</t>
  </si>
  <si>
    <t>Singer India Ltd. (SINGER)</t>
  </si>
  <si>
    <t>Magellanic Cloud Ltd. (SIPROJECTS)</t>
  </si>
  <si>
    <t>Sirca Paints India Ltd. (SIRCA)</t>
  </si>
  <si>
    <t>SIS Ltd. (SIS)</t>
  </si>
  <si>
    <t>Siyaram Silk Mills Ltd. (SIYSIL)</t>
  </si>
  <si>
    <t>S J Logistics (India) Ltd. (SJLOGISTIC)</t>
  </si>
  <si>
    <t>SJS Enterprises Ltd. (SJS)</t>
  </si>
  <si>
    <t>SJVN Ltd. (SJVN)</t>
  </si>
  <si>
    <t>SKF India Ltd. (SKFINDIA)</t>
  </si>
  <si>
    <t>Skipper Ltd. (SKIPPER)</t>
  </si>
  <si>
    <t>SKM Egg Products Export (India) Ltd. (SKMEGGPROD)</t>
  </si>
  <si>
    <t>Sky Gold Ltd. (SKYGOLD)</t>
  </si>
  <si>
    <t>SMC Global Securities Ltd. (SMCGLOBAL)</t>
  </si>
  <si>
    <t>SML Isuzu Ltd. (SMLISUZU)</t>
  </si>
  <si>
    <t>SMS Pharmaceuticals Ltd. (SMSPHARMA)</t>
  </si>
  <si>
    <t>Snowman Logistics Ltd. (SNOWMAN)</t>
  </si>
  <si>
    <t>Sobha Ltd. (SOBHA)</t>
  </si>
  <si>
    <t>Solara Active Pharma Sciences Ltd. (SOLARA)</t>
  </si>
  <si>
    <t>Solar Industries India Ltd. (SOLARINDS)</t>
  </si>
  <si>
    <t>Solex Energy Ltd. (SOLEX)</t>
  </si>
  <si>
    <t>Somany Ceramics Ltd. (SOMANYCERA)</t>
  </si>
  <si>
    <t>Sona BLW Precision Forgings Ltd. (SONACOMS)</t>
  </si>
  <si>
    <t>Sonata Software Ltd. (SONATSOFTW)</t>
  </si>
  <si>
    <t>Savita Oil Technologies Ltd. (SOTL)</t>
  </si>
  <si>
    <t>South Indian Bank Ltd. (SOUTHBANK)</t>
  </si>
  <si>
    <t>Vintage Coffee And Beverages Ltd. (SPACEAGE)</t>
  </si>
  <si>
    <t>S P Apparels Ltd. (SPAL)</t>
  </si>
  <si>
    <t>Spandana Sphoorty Financial Ltd. (SPANDANA)</t>
  </si>
  <si>
    <t>Sun Pharma Advanced Research Company Ltd. (SPARC)</t>
  </si>
  <si>
    <t>Spacenet Enterprises India Ltd. (SPCENET)</t>
  </si>
  <si>
    <t>Shivalic Power Control Ltd. (SPCL)</t>
  </si>
  <si>
    <t>Speciality Restaurants Ltd. (SPECIALITY)</t>
  </si>
  <si>
    <t>Spectrum Electrical Industries Ltd. (SPECTRUM)</t>
  </si>
  <si>
    <t>Spencers Retail Ltd. (SPENCERS)</t>
  </si>
  <si>
    <t>Southern Petrochemicals Industries Corporation Ltd. (SPIC)</t>
  </si>
  <si>
    <t>Spicejet Ltd. (SPICEJET)</t>
  </si>
  <si>
    <t>SPEL Semiconductor Ltd. (SPICELEC)</t>
  </si>
  <si>
    <t>Supreme Petrochem Ltd. (SPLPETRO)</t>
  </si>
  <si>
    <t>SPML Infra Ltd. (SPMLINFRA)</t>
  </si>
  <si>
    <t>Sportking India Ltd. (SPORTKING)</t>
  </si>
  <si>
    <t>Shriram Asset Management Company Ltd. (SRAMSET)</t>
  </si>
  <si>
    <t>Sreeleathers Ltd. (SREEL)</t>
  </si>
  <si>
    <t>TGV SRAAC Ltd. (SREERAYALK)</t>
  </si>
  <si>
    <t>SRF Ltd. (SRF)</t>
  </si>
  <si>
    <t>SRG Housing Finance Ltd. (SRGHFL)</t>
  </si>
  <si>
    <t>Sree Rayalaseema Hi-Strength Hypo Ltd. (SRHHYPOLTD)</t>
  </si>
  <si>
    <t>Steel Strips Wheels Ltd. (SSWL)</t>
  </si>
  <si>
    <t>Stanley Lifestyles Ltd. (STANLEY)</t>
  </si>
  <si>
    <t>Strides Pharma Science Ltd. (STAR)</t>
  </si>
  <si>
    <t>Star Cement Ltd. (STARCEMENT)</t>
  </si>
  <si>
    <t>Star Health and Allied Insurance Company Ltd. (STARHEALTH)</t>
  </si>
  <si>
    <t>State Trading Corporation Of India Ltd. (STCINDIA)</t>
  </si>
  <si>
    <t>Steel Cast Ltd. (STEELCAS)</t>
  </si>
  <si>
    <t>Steel Exchange India Ltd. (STEELXIND)</t>
  </si>
  <si>
    <t>STEL Holdings Ltd. (STEL)</t>
  </si>
  <si>
    <t>Sterling Tools Ltd. (STERTOOLS)</t>
  </si>
  <si>
    <t>Sterlite Technologies Ltd. (STLTECH)</t>
  </si>
  <si>
    <t>Stovec Industries Ltd. (STOVACQ)</t>
  </si>
  <si>
    <t>Stove Kraft Ltd. (STOVEKRAFT)</t>
  </si>
  <si>
    <t>Stylam Industries Ltd. (STYLAMIND)</t>
  </si>
  <si>
    <t>Styrenix Performance Materials Ltd. (STYRENIX)</t>
  </si>
  <si>
    <t>Subex Ltd. (SUBEXLTD)</t>
  </si>
  <si>
    <t>Subros Ltd. (SUBROS)</t>
  </si>
  <si>
    <t>Sudarshan Chemical Industries Ltd. (SUDARSCHEM)</t>
  </si>
  <si>
    <t>Sukhjit Starch &amp; Chemicals Ltd. (SUKHJITS)</t>
  </si>
  <si>
    <t>Sula Vineyards Ltd. (SULA)</t>
  </si>
  <si>
    <t>Sumitomo Chemical India Ltd. (SUMICHEM)</t>
  </si>
  <si>
    <t>Summit Securities Ltd. (SUMMITSEC)</t>
  </si>
  <si>
    <t>Sundaram-Clayton Ltd. (SUNCLAY)</t>
  </si>
  <si>
    <t>Sundaram Finance Ltd. (SUNDARMFIN)</t>
  </si>
  <si>
    <t>Sundaram Finance Holdings Ltd. (SUNDARMHLD)</t>
  </si>
  <si>
    <t>Sundram Fasteners Ltd. (SUNDRMFAST)</t>
  </si>
  <si>
    <t>Sunflag Iron &amp; Steel Company Ltd. (SUNFLAG)</t>
  </si>
  <si>
    <t>Sun Pharmaceutical Industries Ltd. (SUNPHARMA)</t>
  </si>
  <si>
    <t>Sunshield Chemicals Ltd. (SUNSHIEL)</t>
  </si>
  <si>
    <t>Sunteck Realty Ltd. (SUNTECK)</t>
  </si>
  <si>
    <t>Sun TV Network Ltd. (SUNTV)</t>
  </si>
  <si>
    <t>Super Sales India Ltd. (SUPER)</t>
  </si>
  <si>
    <t>Suprajit Engineering Ltd. (SUPRAJIT)</t>
  </si>
  <si>
    <t>Supreme Industries Ltd. (SUPREMEIND)</t>
  </si>
  <si>
    <t>Supreme Power Equipment Ltd. (SUPREMEPWR)</t>
  </si>
  <si>
    <t>Supriya Lifescience Ltd. (SUPRIYA)</t>
  </si>
  <si>
    <t>Suraj Products Ltd. (SURAJ)</t>
  </si>
  <si>
    <t>Suraj Estate Developers Ltd. (SURAJEST)</t>
  </si>
  <si>
    <t>Surya Roshni Ltd. (SURYAROSNI)</t>
  </si>
  <si>
    <t>Suryoday Small Finance Bank Ltd. (SURYODAY)</t>
  </si>
  <si>
    <t>Sutlej Textiles &amp; Industries Ltd. (SUTLEJTEX)</t>
  </si>
  <si>
    <t>Suven Life Sciences Ltd. (SUVEN)</t>
  </si>
  <si>
    <t>Suven Pharmaceuticals Ltd. (SUVENPHAR)</t>
  </si>
  <si>
    <t>Suyog Telematics Ltd. (SUYOG)</t>
  </si>
  <si>
    <t>Suzlon Energy Ltd. (SUZLON)</t>
  </si>
  <si>
    <t>Swadeshi Polytex Ltd. (SWADPOL)</t>
  </si>
  <si>
    <t>Swan Energy Ltd. (SWANENERGY)</t>
  </si>
  <si>
    <t>Swaraj Suiting Ltd. (SWARAJ)</t>
  </si>
  <si>
    <t>Swaraj Engines Ltd. (SWARAJENG)</t>
  </si>
  <si>
    <t>Swelect Energy Systems Ltd. (SWELECTES)</t>
  </si>
  <si>
    <t>Praveg Ltd. (SWORDNSH)</t>
  </si>
  <si>
    <t>Sterling and Wilson Renewable Energy Ltd. (SWSOLAR)</t>
  </si>
  <si>
    <t>Symphony Ltd. (SYMPHONY)</t>
  </si>
  <si>
    <t>Syncom Formulation (India) Ltd. (SYNCOMF)</t>
  </si>
  <si>
    <t>Syngene International Ltd. (SYNGENE)</t>
  </si>
  <si>
    <t>Syrma SGS Technology Ltd. (SYRMA)</t>
  </si>
  <si>
    <t>Systematix Corporate Services Ltd. (SYSTMTXC)</t>
  </si>
  <si>
    <t>TAAL Enterprises Ltd. (TAALENT)</t>
  </si>
  <si>
    <t>Taj GVK Hotels &amp; Resorts Ltd. (TAJGVK)</t>
  </si>
  <si>
    <t>Talbros Automotive Components Ltd. (TALBROAUTO)</t>
  </si>
  <si>
    <t>Taneja Aerospace &amp; Aviation Ltd. (TANEJAERO)</t>
  </si>
  <si>
    <t>Tanfac Industries Ltd. (TANFACIND)</t>
  </si>
  <si>
    <t>Tanla Platforms Ltd. (TANLA)</t>
  </si>
  <si>
    <t>Tara Chand InfraLogistic Solutions Ltd. (TARACHAND)</t>
  </si>
  <si>
    <t>TARC Ltd. (TARC)</t>
  </si>
  <si>
    <t>Tarsons Products Ltd. (TARSONS)</t>
  </si>
  <si>
    <t>Tasty Bite Eatables Ltd. (TASTYBITE)</t>
  </si>
  <si>
    <t>Tata Chemicals Ltd. (TATACHEM)</t>
  </si>
  <si>
    <t>Tata Communications Ltd. (TATACOMM)</t>
  </si>
  <si>
    <t>Tata Consumer Products Ltd. (TATACONSUM)</t>
  </si>
  <si>
    <t>Tata Elxsi Ltd. (TATAELXSI)</t>
  </si>
  <si>
    <t>Tata Investment Corporation Ltd. (TATAINVEST)</t>
  </si>
  <si>
    <t>Tata Motors Ltd. (TATAMOTORS)</t>
  </si>
  <si>
    <t>Tata Power Company Ltd. (TATAPOWER)</t>
  </si>
  <si>
    <t>Tata Steel Ltd. (TATASTEEL)</t>
  </si>
  <si>
    <t>Tata Technologies Ltd. (TATATECH)</t>
  </si>
  <si>
    <t>Tatva Chintan Pharma Chem Ltd. (TATVA)</t>
  </si>
  <si>
    <t>TBI Corn Ltd. (TBI)</t>
  </si>
  <si>
    <t>TBO Tek Ltd. (TBOTEK)</t>
  </si>
  <si>
    <t>Tribhovandas Bhimji Zaveri Ltd. (TBZ)</t>
  </si>
  <si>
    <t>Transport Corporation of India Ltd. (TCI)</t>
  </si>
  <si>
    <t>TCI Express Ltd. (TCIEXP)</t>
  </si>
  <si>
    <t>Thaai Casting Ltd. (TCL)</t>
  </si>
  <si>
    <t>Tantia Constructions Ltd. (TCLCONS)</t>
  </si>
  <si>
    <t>TCNS Clothing Co. Ltd. (TCNSBRANDS)</t>
  </si>
  <si>
    <t>TCPL Packaging Ltd. (TCPLPACK)</t>
  </si>
  <si>
    <t>Tata Consultancy Services Ltd. (TCS)</t>
  </si>
  <si>
    <t>TD Power Systems Ltd. (TDPOWERSYS)</t>
  </si>
  <si>
    <t>TeamLease Services Ltd. (TEAMLEASE)</t>
  </si>
  <si>
    <t>Trident Techlabs Ltd. (TECHLABS)</t>
  </si>
  <si>
    <t>Tech Mahindra Ltd. (TECHM)</t>
  </si>
  <si>
    <t>Techno Electric &amp; Engineering Company Ltd. (TECHNOE)</t>
  </si>
  <si>
    <t>TechNVision Ventures Ltd. (TECHNVISN)</t>
  </si>
  <si>
    <t>Tega Industries Ltd. (TEGA)</t>
  </si>
  <si>
    <t>Tejas Networks Ltd. (TEJASNET)</t>
  </si>
  <si>
    <t>Texmaco Infrastructure &amp; Holdings Ltd. (TEXINFRA)</t>
  </si>
  <si>
    <t>Texmaco Rail &amp; Engineering Ltd. (TEXRAIL)</t>
  </si>
  <si>
    <t>Tourism Finance Corporation of India Ltd. (TFCILTD)</t>
  </si>
  <si>
    <t>Teerth Gopicon Ltd. (TGL)</t>
  </si>
  <si>
    <t>Thangamayil Jewellery Ltd. (THANGAMAYL)</t>
  </si>
  <si>
    <t>The Investment Trust of India Ltd. (THEINVEST)</t>
  </si>
  <si>
    <t>Thejo Engineering Ltd. (THEJO)</t>
  </si>
  <si>
    <t>Themis Medicare Ltd. (THEMISMED)</t>
  </si>
  <si>
    <t>Thermax Ltd. (THERMAX)</t>
  </si>
  <si>
    <t>Thomas Cook (India) Ltd. (THOMASCOOK)</t>
  </si>
  <si>
    <t>Thyrocare Technologies Ltd. (THYROCARE)</t>
  </si>
  <si>
    <t>Tilaknagar Industries Ltd. (TI)</t>
  </si>
  <si>
    <t>Tide Water Oil Company India Ltd. (TIDEWATER)</t>
  </si>
  <si>
    <t>Technocraft Industries (India) Ltd. (TIIL)</t>
  </si>
  <si>
    <t>Tube Investments of India Ltd. (TIINDIA)</t>
  </si>
  <si>
    <t>TIL Ltd. (TIL)</t>
  </si>
  <si>
    <t>Time Technoplast Ltd. (TIMETECHNO)</t>
  </si>
  <si>
    <t>Timex Group India Ltd. (TIMEXWATCH)</t>
  </si>
  <si>
    <t>Timken India Ltd. (TIMKEN)</t>
  </si>
  <si>
    <t>Tinna Rubber and Infrastructure Ltd. (TINNARUBR)</t>
  </si>
  <si>
    <t>Tips Industries Ltd. (TIPSINDLTD)</t>
  </si>
  <si>
    <t>Thirumalai Chemicals Ltd. (TIRUMALCHM)</t>
  </si>
  <si>
    <t>Shree Tirupati Balajee FIBC Ltd. (TIRUPATI)</t>
  </si>
  <si>
    <t>Titagarh Rail Systems Ltd. (TITAGARH)</t>
  </si>
  <si>
    <t>Titan Company Ltd. (TITAN)</t>
  </si>
  <si>
    <t>Tamilnad Mercantile Bank Ltd. (TMB)</t>
  </si>
  <si>
    <t>Tamilnadu Petroproducts Ltd. (TNPETRO)</t>
  </si>
  <si>
    <t>Tamil Nadu Newsprint And Papers Ltd. (TNPL)</t>
  </si>
  <si>
    <t>Eraaya Lifespaces Ltd. (TOBUENT)</t>
  </si>
  <si>
    <t>Torrent Pharmaceuticals Ltd. (TORNTPHARM)</t>
  </si>
  <si>
    <t>Torrent Power Ltd. (TORNTPOWER)</t>
  </si>
  <si>
    <t>TPL Plastech Ltd. (TPLPLASTEH)</t>
  </si>
  <si>
    <t>Tracxn Technologies Ltd. (TRACXN)</t>
  </si>
  <si>
    <t>Last Mile Enterprises Ltd. (TRANSFIN)</t>
  </si>
  <si>
    <t>Transpek Industry Ltd. (TRANSPEK)</t>
  </si>
  <si>
    <t>Transindia Real Estate Ltd. (TREL)</t>
  </si>
  <si>
    <t>Trent Ltd. (TRENT)</t>
  </si>
  <si>
    <t>TRF Ltd. (TRF)</t>
  </si>
  <si>
    <t>Trident Ltd. (TRIDENT)</t>
  </si>
  <si>
    <t>Transformers &amp; Rectifiers (India) Ltd. (TRIL)</t>
  </si>
  <si>
    <t>Triveni Turbine Ltd. (TRITURBINE)</t>
  </si>
  <si>
    <t>Triveni Engineering &amp; Industries Ltd. (TRIVENI)</t>
  </si>
  <si>
    <t>TruCap Finance Ltd. (TRU)</t>
  </si>
  <si>
    <t>Trust Fintech Ltd. (TRUST)</t>
  </si>
  <si>
    <t>TTK Healthcare Ltd. (TTKHLTCARE)</t>
  </si>
  <si>
    <t>TTK Prestige Ltd. (TTKPRESTIG)</t>
  </si>
  <si>
    <t>Tata Teleservices (Maharashtra) Ltd. (TTML)</t>
  </si>
  <si>
    <t>Tuticorin Alkali Chemicals &amp; Fertilizers Ltd. (TUTICORALK)</t>
  </si>
  <si>
    <t>TV18 Broadcast Ltd. (TV18BRDCST)</t>
  </si>
  <si>
    <t>TVS Electronics Ltd. (TVSELECT)</t>
  </si>
  <si>
    <t>TVS Holdings Ltd. (TVSHLTD)</t>
  </si>
  <si>
    <t>TVS Motor Company Ltd. (TVSMOTOR)</t>
  </si>
  <si>
    <t>TVS Supply Chain Solutions Ltd. (TVSSCS)</t>
  </si>
  <si>
    <t>TVS Srichakra Ltd. (TVSSRICHAK)</t>
  </si>
  <si>
    <t>TV Today Network Ltd. (TVTODAY)</t>
  </si>
  <si>
    <t>United Breweries Ltd. (UBL)</t>
  </si>
  <si>
    <t>UCO Bank (UCOBANK)</t>
  </si>
  <si>
    <t>Udaipur Cement Works Ltd. (UDAICEMENT)</t>
  </si>
  <si>
    <t>Updater Services Ltd. (UDS)</t>
  </si>
  <si>
    <t>Ujaas Energy Ltd. (UEL)</t>
  </si>
  <si>
    <t>Uflex Ltd. (UFLEX)</t>
  </si>
  <si>
    <t>UFO Moviez India Ltd. (UFO)</t>
  </si>
  <si>
    <t>Ugar Sugar Works Ltd. (UGARSUGAR)</t>
  </si>
  <si>
    <t>Ugro Capital Ltd. (UGROCAP)</t>
  </si>
  <si>
    <t>Ujjivan Small Finance Bank Ltd. (UJJIVANSFB)</t>
  </si>
  <si>
    <t>UltraTech Cement Ltd. (ULTRACEMCO)</t>
  </si>
  <si>
    <t>Ultramarine &amp; Pigments Ltd. (ULTRMARINE)</t>
  </si>
  <si>
    <t>Uni Abex Alloy Products Ltd. (UNIABEXAL)</t>
  </si>
  <si>
    <t>Unichem Laboratories Ltd. (UNICHEMLAB)</t>
  </si>
  <si>
    <t>Uniphos Enterprises Ltd. (UNIENTER)</t>
  </si>
  <si>
    <t>Union Bank of India (UNIONBANK)</t>
  </si>
  <si>
    <t>Uniparts India Ltd. (UNIPARTS)</t>
  </si>
  <si>
    <t>United Spirits Ltd. (UNITDSPR)</t>
  </si>
  <si>
    <t>Unitech Ltd. (UNITECH)</t>
  </si>
  <si>
    <t>Universal Cables Ltd. (UNIVCABLES)</t>
  </si>
  <si>
    <t>UNO Minda Ltd. (UNOMINDA)</t>
  </si>
  <si>
    <t>UPL Ltd. (UPL)</t>
  </si>
  <si>
    <t>Uravi T &amp; Wedge Lamps Ltd. (URAVI)</t>
  </si>
  <si>
    <t>Urja Global Ltd. (URJA)</t>
  </si>
  <si>
    <t>Usha Martin Ltd. (USHAMART)</t>
  </si>
  <si>
    <t>UTI Asset Management Company Ltd. (UTIAMC)</t>
  </si>
  <si>
    <t>Utkarsh Small Finance Bank Ltd. (UTKARSHBNK)</t>
  </si>
  <si>
    <t>Uttam Sugar Mills Ltd. (UTTAMSUGAR)</t>
  </si>
  <si>
    <t>V2 Retail Ltd. (V2RETAIL)</t>
  </si>
  <si>
    <t>Vadilal Industries Ltd. (VADILALIND)</t>
  </si>
  <si>
    <t>Vaibhav Global Ltd. (VAIBHAVGBL)</t>
  </si>
  <si>
    <t>Vakrangee Ltd. (VAKRANGEE)</t>
  </si>
  <si>
    <t>Valiant Communications Ltd. (VALIANT)</t>
  </si>
  <si>
    <t>Valiant Laboratories Ltd. (VALIANTLAB)</t>
  </si>
  <si>
    <t>Valiant Organics Ltd. (VALIANTORG)</t>
  </si>
  <si>
    <t>Varroc Engineering Ltd. (VARROC)</t>
  </si>
  <si>
    <t>Vascon Engineers Ltd. (VASCONEQ)</t>
  </si>
  <si>
    <t>Varun Beverages Ltd. (VBL)</t>
  </si>
  <si>
    <t>Vedanta Ltd. (VEDL)</t>
  </si>
  <si>
    <t>Veljan Denison Ltd. (VELJAN)</t>
  </si>
  <si>
    <t>Venky's (India) Ltd. (VENKEYS)</t>
  </si>
  <si>
    <t>Venus Pipes &amp; Tubes Ltd. (VENUSPIPES)</t>
  </si>
  <si>
    <t>Venus Remedies Ltd. (VENUSREM)</t>
  </si>
  <si>
    <t>Veranda Learning Solutions Ltd. (VERANDA)</t>
  </si>
  <si>
    <t>Veritas (India) Ltd. (VERITAS)</t>
  </si>
  <si>
    <t>Vesuvius India Ltd. (VESUVIUS)</t>
  </si>
  <si>
    <t>V-Guard Industries Ltd. (VGUARD)</t>
  </si>
  <si>
    <t>Vardhman Holdings Ltd. (VHL)</t>
  </si>
  <si>
    <t>Viceroy Hotels Ltd. (VHLTD)</t>
  </si>
  <si>
    <t>Vidhi Specialty Food Ingredients Ltd. (VIDHIING)</t>
  </si>
  <si>
    <t>Vijaya Diagnostic Centre Ltd. (VIJAYA)</t>
  </si>
  <si>
    <t>Vikas Ecotech Ltd. (VIKASECO)</t>
  </si>
  <si>
    <t>Vikas Lifecare Ltd. (VIKASLIFE)</t>
  </si>
  <si>
    <t>Vikram Thermo (India) Ltd. (VIKRAMTH)</t>
  </si>
  <si>
    <t>Vilas Transcore Ltd. (VILAS)</t>
  </si>
  <si>
    <t>Vimta Labs Ltd. (VIMTALABS)</t>
  </si>
  <si>
    <t>Vinati Organics Ltd. (VINATIORGA)</t>
  </si>
  <si>
    <t>Vindhya Telelinks Ltd. (VINDHYATEL)</t>
  </si>
  <si>
    <t>Vinsys IT Services India Ltd. (VINSYS)</t>
  </si>
  <si>
    <t>Vinyas Innovative Technologies Ltd. (VINYAS)</t>
  </si>
  <si>
    <t>Vinyl Chemicals (I) Ltd. (VINYLINDIA)</t>
  </si>
  <si>
    <t>VIP Industries Ltd. (VIPIND)</t>
  </si>
  <si>
    <t>Vipul Ltd. (VIPULLTD)</t>
  </si>
  <si>
    <t>Visaka Industries Ltd. (VISAKAIND)</t>
  </si>
  <si>
    <t>Vishnu Chemicals Ltd. (VISHNU)</t>
  </si>
  <si>
    <t>Vishnusurya Projects And Infra Ltd. (VISHNUINFR)</t>
  </si>
  <si>
    <t>Viviana Power Tech Ltd. (VIVIANA)</t>
  </si>
  <si>
    <t>VL E-Governance &amp; IT Solutions Ltd. (VLEGOV)</t>
  </si>
  <si>
    <t>VLS Finance Ltd. (VLSFINANCE)</t>
  </si>
  <si>
    <t>V-Mart Retail Ltd. (VMART)</t>
  </si>
  <si>
    <t>Voltamp Transformers Ltd. (VOLTAMP)</t>
  </si>
  <si>
    <t>Voltas Ltd. (VOLTAS)</t>
  </si>
  <si>
    <t>Vishnu Prakash R Punglia Ltd. (VPRPL)</t>
  </si>
  <si>
    <t>Vraj Iron &amp; Steel Ltd. (VRAJ)</t>
  </si>
  <si>
    <t>VRL Logistics Ltd. (VRLLOG)</t>
  </si>
  <si>
    <t>Vardhman Special Steels Ltd. (VSSL)</t>
  </si>
  <si>
    <t>VST Industries Ltd. (VSTIND)</t>
  </si>
  <si>
    <t>VST Tillers Tractors Ltd. (VSTTILLERS)</t>
  </si>
  <si>
    <t>Vardhman Textiles Ltd. (VTL)</t>
  </si>
  <si>
    <t>Va Tech Wabag Ltd. (WABAG)</t>
  </si>
  <si>
    <t>Walchandnagar Industries Ltd. (WALCHANNAG)</t>
  </si>
  <si>
    <t>Wanbury Ltd. (WANBURY)</t>
  </si>
  <si>
    <t>Wealth First Portfolio Managers Ltd. (WEALTH)</t>
  </si>
  <si>
    <t>Websol Energy Systems Ltd. (WEBELSOLAR)</t>
  </si>
  <si>
    <t>Wonder Electricals Ltd. (WEL)</t>
  </si>
  <si>
    <t>Welspun Corp Ltd. (WELCORP)</t>
  </si>
  <si>
    <t>Welspun Enterprises Ltd. (WELENT)</t>
  </si>
  <si>
    <t>Welspun Living Ltd. (WELSPUNLIV)</t>
  </si>
  <si>
    <t>Wendt (India) Ltd. (WENDT)</t>
  </si>
  <si>
    <t>Westlife Foodworld Ltd. (WESTLIFE)</t>
  </si>
  <si>
    <t>Wheels India Ltd. (WHEELS)</t>
  </si>
  <si>
    <t>Whirlpool of India Ltd. (WHIRLPOOL)</t>
  </si>
  <si>
    <t>Wim Plast Ltd. (WIMPLAST)</t>
  </si>
  <si>
    <t>Windlas Biotech Ltd. (WINDLAS)</t>
  </si>
  <si>
    <t>Windsor Machines Ltd. (WINDMACHIN)</t>
  </si>
  <si>
    <t>Winsol Engineers Ltd. (WINSOL)</t>
  </si>
  <si>
    <t>Wipro Ltd. (WIPRO)</t>
  </si>
  <si>
    <t>Wockhardt Ltd. (WOCKPHARMA)</t>
  </si>
  <si>
    <t>Wonderla Holidays Ltd. (WONDERLA)</t>
  </si>
  <si>
    <t>WPIL Ltd. (WPIL)</t>
  </si>
  <si>
    <t>W S Industries (India) Ltd. (WSI)</t>
  </si>
  <si>
    <t>West Coast Paper Mills Ltd. (WSTCSTPAPR)</t>
  </si>
  <si>
    <t>Wise Travel India Ltd. (WTICAB)</t>
  </si>
  <si>
    <t>Xchanging Solutions Ltd. (XCHANGING)</t>
  </si>
  <si>
    <t>Xpro India Ltd. (XPROINDIA)</t>
  </si>
  <si>
    <t>The Yamuna Syndicate Ltd. (YAMUNA)</t>
  </si>
  <si>
    <t>Yasho Industries Ltd. (YASHO)</t>
  </si>
  <si>
    <t>Yatharth Hospital &amp; Trauma Care Services Ltd. (YATHARTH)</t>
  </si>
  <si>
    <t>Yatra Online Ltd. (YATRA)</t>
  </si>
  <si>
    <t>YES Bank Ltd. (YESBANK)</t>
  </si>
  <si>
    <t>Yuken India Ltd. (YUKEN)</t>
  </si>
  <si>
    <t>Zaggle Prepaid Ocean Services Ltd. (ZAGGLE)</t>
  </si>
  <si>
    <t>Zee Entertainment Enterprises Ltd. (ZEEL)</t>
  </si>
  <si>
    <t>Zee Media Corporation Ltd. (ZEEMEDIA)</t>
  </si>
  <si>
    <t>Zensar Technologies Ltd. (ZENSARTECH)</t>
  </si>
  <si>
    <t>Zen Technologies Ltd. (ZENTEC)</t>
  </si>
  <si>
    <t>ZF Commercial Vehicle Control Systems India Ltd. (ZFCVINDIA)</t>
  </si>
  <si>
    <t>ZF Steering Gear (India) Ltd. (ZFSTEERING)</t>
  </si>
  <si>
    <t>Zim Laboratories Ltd. (ZIMLAB)</t>
  </si>
  <si>
    <t>Zodiac Energy Ltd. (ZODIAC)</t>
  </si>
  <si>
    <t>Zomato Ltd. (ZOMATO)</t>
  </si>
  <si>
    <t>Zota Healthcare Ltd. (ZOTA)</t>
  </si>
  <si>
    <t>Cropster Agro Ltd. (ZPPOLYSA)</t>
  </si>
  <si>
    <t>Saraswati Commercial (India) Ltd. (ZSARACOM)</t>
  </si>
  <si>
    <t>Zuari Agro Chemicals Ltd. (ZUARI)</t>
  </si>
  <si>
    <t>Zuari Industries Ltd. (ZUARIIND)</t>
  </si>
  <si>
    <t>Zydus Lifesciences Ltd. (ZYDUSLIFE)</t>
  </si>
  <si>
    <t>Zydus Wellness Ltd. (ZYDUSWELL)</t>
  </si>
  <si>
    <t>Sl. No.</t>
  </si>
  <si>
    <t>Qty. holding</t>
  </si>
  <si>
    <t>LTP / CMP</t>
  </si>
  <si>
    <t>Order</t>
  </si>
  <si>
    <t>Order type</t>
  </si>
  <si>
    <t>Single type of BUY Order</t>
  </si>
  <si>
    <t>OCO type of SELL Order (Stop Loss)</t>
  </si>
  <si>
    <t>OCO type of SELL Order (Target)</t>
  </si>
  <si>
    <t>Single type of SELL Order</t>
  </si>
  <si>
    <t>Stock / Scrip Code</t>
  </si>
  <si>
    <t>BUY /
SELL</t>
  </si>
  <si>
    <t>BUY (Single) / SELL (OCO)</t>
  </si>
  <si>
    <t>BUY 
Trigger Price</t>
  </si>
  <si>
    <t>Qty. to BUY</t>
  </si>
  <si>
    <t>Actual Buying Price</t>
  </si>
  <si>
    <t>Stop Loss
Trigger Price</t>
  </si>
  <si>
    <t>Qty. to SELL</t>
  </si>
  <si>
    <t>Actual Selling Price</t>
  </si>
  <si>
    <t>Target
Trigger Price</t>
  </si>
  <si>
    <t>Stop Loss / Target
Trigger Price</t>
  </si>
  <si>
    <t>STALLION</t>
  </si>
  <si>
    <t>BUY</t>
  </si>
  <si>
    <t>SINGLE</t>
  </si>
  <si>
    <t>SELL</t>
  </si>
  <si>
    <t>OCO</t>
  </si>
  <si>
    <t>stop_loss_percent</t>
  </si>
  <si>
    <t>target_percent</t>
  </si>
  <si>
    <t>QPOWER</t>
  </si>
  <si>
    <t>GARUDA</t>
  </si>
  <si>
    <t>SRM</t>
  </si>
  <si>
    <t>EIEL</t>
  </si>
  <si>
    <t>INDOUS</t>
  </si>
  <si>
    <t>ITCHOTELS</t>
  </si>
  <si>
    <t>stoploss_price</t>
  </si>
  <si>
    <t>target_price</t>
  </si>
  <si>
    <t>HYUNDAI</t>
  </si>
  <si>
    <t>VINCOFE</t>
  </si>
  <si>
    <t>STYLEBAAZA</t>
  </si>
  <si>
    <t>SYMBOL</t>
  </si>
  <si>
    <t>NAME OF COMPANY</t>
  </si>
  <si>
    <t xml:space="preserve"> SERIES</t>
  </si>
  <si>
    <t xml:space="preserve"> DATE OF LISTING</t>
  </si>
  <si>
    <t xml:space="preserve"> PAID UP VALUE</t>
  </si>
  <si>
    <t xml:space="preserve"> MARKET LOT</t>
  </si>
  <si>
    <t xml:space="preserve"> ISIN NUMBER</t>
  </si>
  <si>
    <t xml:space="preserve"> FACE VALUE</t>
  </si>
  <si>
    <t>20 Microns Limited</t>
  </si>
  <si>
    <t>EQ</t>
  </si>
  <si>
    <t>INE144J01027</t>
  </si>
  <si>
    <t>21STCENMGM</t>
  </si>
  <si>
    <t>21st Century Management Services Limited</t>
  </si>
  <si>
    <t>INE253B01015</t>
  </si>
  <si>
    <t>360 ONE WAM LIMITED</t>
  </si>
  <si>
    <t>INE466L01038</t>
  </si>
  <si>
    <t>3i Infotech Limited</t>
  </si>
  <si>
    <t>INE748C01038</t>
  </si>
  <si>
    <t>3M India Limited</t>
  </si>
  <si>
    <t>INE470A01017</t>
  </si>
  <si>
    <t>3PLAND</t>
  </si>
  <si>
    <t>3P Land Holdings Limited</t>
  </si>
  <si>
    <t>INE105C01023</t>
  </si>
  <si>
    <t>5Paisa Capital Limited</t>
  </si>
  <si>
    <t>INE618L01018</t>
  </si>
  <si>
    <t>63 moons technologies limited</t>
  </si>
  <si>
    <t>INE111B01023</t>
  </si>
  <si>
    <t>A2ZINFRA</t>
  </si>
  <si>
    <t>A2Z Infra Engineering Limited</t>
  </si>
  <si>
    <t>BE</t>
  </si>
  <si>
    <t>INE619I01012</t>
  </si>
  <si>
    <t>AAATECH</t>
  </si>
  <si>
    <t>AAA Technologies Limited</t>
  </si>
  <si>
    <t>INE0D0U01013</t>
  </si>
  <si>
    <t>Aadhar Housing Finance Limited</t>
  </si>
  <si>
    <t>INE883F01010</t>
  </si>
  <si>
    <t>AAKASH</t>
  </si>
  <si>
    <t>Aakash Exploration Services Limited</t>
  </si>
  <si>
    <t>INE087Z01024</t>
  </si>
  <si>
    <t>AAREYDRUGS</t>
  </si>
  <si>
    <t>Aarey Drugs &amp; Pharmaceuticals Limited</t>
  </si>
  <si>
    <t>INE198H01019</t>
  </si>
  <si>
    <t>AARON</t>
  </si>
  <si>
    <t>Aaron Industries Limited</t>
  </si>
  <si>
    <t>INE721Z01010</t>
  </si>
  <si>
    <t>AARTECH</t>
  </si>
  <si>
    <t>Aartech Solonics Limited</t>
  </si>
  <si>
    <t>INE01C001026</t>
  </si>
  <si>
    <t>Aarti Drugs Limited</t>
  </si>
  <si>
    <t>INE767A01016</t>
  </si>
  <si>
    <t>Aarti Industries Limited</t>
  </si>
  <si>
    <t>INE769A01020</t>
  </si>
  <si>
    <t>Aarti Pharmalabs Limited</t>
  </si>
  <si>
    <t>INE0LRU01027</t>
  </si>
  <si>
    <t>Aarti Surfactants Limited</t>
  </si>
  <si>
    <t>INE09EO01013</t>
  </si>
  <si>
    <t>AARVEEDEN</t>
  </si>
  <si>
    <t>Aarvee Denims &amp; Exports Limited</t>
  </si>
  <si>
    <t>INE273D01019</t>
  </si>
  <si>
    <t>AARVI</t>
  </si>
  <si>
    <t>Aarvi Encon Limited</t>
  </si>
  <si>
    <t>INE754X01016</t>
  </si>
  <si>
    <t>Aavas Financiers Limited</t>
  </si>
  <si>
    <t>INE216P01012</t>
  </si>
  <si>
    <t>ABAN</t>
  </si>
  <si>
    <t>Aban Offshore Limited</t>
  </si>
  <si>
    <t>INE421A01028</t>
  </si>
  <si>
    <t>ABB India Limited</t>
  </si>
  <si>
    <t>INE117A01022</t>
  </si>
  <si>
    <t>Abbott India Limited</t>
  </si>
  <si>
    <t>INE358A01014</t>
  </si>
  <si>
    <t>Aditya Birla Capital Limited</t>
  </si>
  <si>
    <t>INE674K01013</t>
  </si>
  <si>
    <t>Allied Blenders and Distillers Limited</t>
  </si>
  <si>
    <t>INE552Z01027</t>
  </si>
  <si>
    <t>Aditya Birla Fashion and Retail Limited</t>
  </si>
  <si>
    <t>INE647O01011</t>
  </si>
  <si>
    <t>ABINFRA</t>
  </si>
  <si>
    <t>A B Infrabuild Limited</t>
  </si>
  <si>
    <t>INE00YB01017</t>
  </si>
  <si>
    <t>ABLBL</t>
  </si>
  <si>
    <t>Aditya Birla Lifestyle Brands Limited</t>
  </si>
  <si>
    <t>INE14LE01019</t>
  </si>
  <si>
    <t>ABMINTLLTD</t>
  </si>
  <si>
    <t>ABM International Limited</t>
  </si>
  <si>
    <t>INE251C01025</t>
  </si>
  <si>
    <t>ABREL</t>
  </si>
  <si>
    <t>Aditya Birla Real Estate Limited</t>
  </si>
  <si>
    <t>INE055A01016</t>
  </si>
  <si>
    <t>Aditya Birla Sun Life AMC Limited</t>
  </si>
  <si>
    <t>INE404A01024</t>
  </si>
  <si>
    <t>ACC Limited</t>
  </si>
  <si>
    <t>INE012A01025</t>
  </si>
  <si>
    <t>Accelya Solutions India Limited</t>
  </si>
  <si>
    <t>INE793A01012</t>
  </si>
  <si>
    <t>ACCURACY</t>
  </si>
  <si>
    <t>Accuracy Shipping Limited</t>
  </si>
  <si>
    <t>INE648Z01023</t>
  </si>
  <si>
    <t>Action Construction Equipment Limited</t>
  </si>
  <si>
    <t>INE731H01025</t>
  </si>
  <si>
    <t>ACEINTEG</t>
  </si>
  <si>
    <t>Ace Integrated Solutions Limited</t>
  </si>
  <si>
    <t>INE543V01017</t>
  </si>
  <si>
    <t>Archean Chemical Industries Limited</t>
  </si>
  <si>
    <t>INE128X01021</t>
  </si>
  <si>
    <t>Andhra Cements Limited</t>
  </si>
  <si>
    <t>INE666E01020</t>
  </si>
  <si>
    <t>Allcargo Gati Limited</t>
  </si>
  <si>
    <t>INE152B01027</t>
  </si>
  <si>
    <t>ACMESOLAR</t>
  </si>
  <si>
    <t>Acme Solar Holdings Limited</t>
  </si>
  <si>
    <t>INE622W01025</t>
  </si>
  <si>
    <t>ACUTAAS</t>
  </si>
  <si>
    <t>Acutaas Chemicals Limited</t>
  </si>
  <si>
    <t>INE00FF01025</t>
  </si>
  <si>
    <t>Adani Energy Solutions Limited</t>
  </si>
  <si>
    <t>INE931S01010</t>
  </si>
  <si>
    <t>Adani Enterprises Limited</t>
  </si>
  <si>
    <t>INE423A01024</t>
  </si>
  <si>
    <t>Adani Green Energy Limited</t>
  </si>
  <si>
    <t>INE364U01010</t>
  </si>
  <si>
    <t>Adani Ports and Special Economic Zone Limited</t>
  </si>
  <si>
    <t>INE742F01042</t>
  </si>
  <si>
    <t>Adani Power Limited</t>
  </si>
  <si>
    <t>INE814H01011</t>
  </si>
  <si>
    <t>ADF Foods Limited</t>
  </si>
  <si>
    <t>INE982B01027</t>
  </si>
  <si>
    <t>ADL</t>
  </si>
  <si>
    <t>Archidply Decor Limited</t>
  </si>
  <si>
    <t>INE0CHO01012</t>
  </si>
  <si>
    <t>ADOR</t>
  </si>
  <si>
    <t>Ador Welding Limited</t>
  </si>
  <si>
    <t>INE045A01017</t>
  </si>
  <si>
    <t>ADROITINFO</t>
  </si>
  <si>
    <t>Adroit Infotech Limited</t>
  </si>
  <si>
    <t>INE737B01033</t>
  </si>
  <si>
    <t>Allied Digital Services Limited</t>
  </si>
  <si>
    <t>INE102I01027</t>
  </si>
  <si>
    <t>Advani Hotels &amp; Resorts (India) Limited</t>
  </si>
  <si>
    <t>INE199C01026</t>
  </si>
  <si>
    <t>Advanced Enzyme Technologies Limited</t>
  </si>
  <si>
    <t>INE837H01020</t>
  </si>
  <si>
    <t>Aegis Logistics Limited</t>
  </si>
  <si>
    <t>INE208C01025</t>
  </si>
  <si>
    <t>AEGISVOPAK</t>
  </si>
  <si>
    <t>Aegis Vopak Terminals Limited</t>
  </si>
  <si>
    <t>INE0INX01018</t>
  </si>
  <si>
    <t>AEROENTER</t>
  </si>
  <si>
    <t>Aeroflex Enterprises Limited</t>
  </si>
  <si>
    <t>INE065D01027</t>
  </si>
  <si>
    <t>Aeroflex Industries Limited</t>
  </si>
  <si>
    <t>INE024001021</t>
  </si>
  <si>
    <t>AERONEU</t>
  </si>
  <si>
    <t>Aeroflex Neu Limited</t>
  </si>
  <si>
    <t>INE035801013</t>
  </si>
  <si>
    <t>Aether Industries Limited</t>
  </si>
  <si>
    <t>INE0BWX01014</t>
  </si>
  <si>
    <t>AFCONS</t>
  </si>
  <si>
    <t>Afcons Infrastructure Limited</t>
  </si>
  <si>
    <t>INE101I01011</t>
  </si>
  <si>
    <t>Affle 3i Limited</t>
  </si>
  <si>
    <t>INE00WC01027</t>
  </si>
  <si>
    <t>AFFORDABLE</t>
  </si>
  <si>
    <t>Affordable Robotic &amp; Automation Limited</t>
  </si>
  <si>
    <t>INE692Z01013</t>
  </si>
  <si>
    <t>AFIL</t>
  </si>
  <si>
    <t>Akme Fintrade (India) Limited</t>
  </si>
  <si>
    <t>INE916Y01027</t>
  </si>
  <si>
    <t>AFSL</t>
  </si>
  <si>
    <t>Abans Financial Services Limited</t>
  </si>
  <si>
    <t>INE00ZE01026</t>
  </si>
  <si>
    <t>Agarwal Industrial Corporation Limited</t>
  </si>
  <si>
    <t>INE204E01012</t>
  </si>
  <si>
    <t>AGARWALEYE</t>
  </si>
  <si>
    <t>Dr. Agarwal's Health Care Limited</t>
  </si>
  <si>
    <t>INE943P01029</t>
  </si>
  <si>
    <t>AGI Greenpac Limited</t>
  </si>
  <si>
    <t>INE415A01038</t>
  </si>
  <si>
    <t>Agi Infra Limited</t>
  </si>
  <si>
    <t>INE976R01025</t>
  </si>
  <si>
    <t>AGRITECH</t>
  </si>
  <si>
    <t>Agri-Tech (India) Limited</t>
  </si>
  <si>
    <t>INE449G01018</t>
  </si>
  <si>
    <t>AGROPHOS</t>
  </si>
  <si>
    <t>Agro Phos India Limited</t>
  </si>
  <si>
    <t>INE740V01019</t>
  </si>
  <si>
    <t>AGS Transact Technologies Limited</t>
  </si>
  <si>
    <t>INE583L01014</t>
  </si>
  <si>
    <t>AHCL</t>
  </si>
  <si>
    <t>Anlon Healthcare Limited</t>
  </si>
  <si>
    <t>INE0Y8W01017</t>
  </si>
  <si>
    <t>AHLADA</t>
  </si>
  <si>
    <t>Ahlada Engineers Limited</t>
  </si>
  <si>
    <t>INE00PV01013</t>
  </si>
  <si>
    <t>AHLEAST</t>
  </si>
  <si>
    <t>Asian Hotels (East) Limited</t>
  </si>
  <si>
    <t>INE926K01017</t>
  </si>
  <si>
    <t>Ahluwalia Contracts (India) Limited</t>
  </si>
  <si>
    <t>INE758C01029</t>
  </si>
  <si>
    <t>AIA Engineering Limited</t>
  </si>
  <si>
    <t>INE212H01026</t>
  </si>
  <si>
    <t>Authum Investment &amp; Infrastructure Limited</t>
  </si>
  <si>
    <t>INE206F01022</t>
  </si>
  <si>
    <t>AIRAN</t>
  </si>
  <si>
    <t>Airan Limited</t>
  </si>
  <si>
    <t>INE645W01026</t>
  </si>
  <si>
    <t>AIROLAM</t>
  </si>
  <si>
    <t>Airo Lam limited</t>
  </si>
  <si>
    <t>INE801L01010</t>
  </si>
  <si>
    <t>Ajanta Pharma Limited</t>
  </si>
  <si>
    <t>INE031B01049</t>
  </si>
  <si>
    <t>AJAXENGG</t>
  </si>
  <si>
    <t>Ajax Engineering Limited</t>
  </si>
  <si>
    <t>INE274Y01021</t>
  </si>
  <si>
    <t>Ajmera Realty &amp; Infra India Limited</t>
  </si>
  <si>
    <t>INE298G01027</t>
  </si>
  <si>
    <t>AJOONI</t>
  </si>
  <si>
    <t>Ajooni Biotech Limited</t>
  </si>
  <si>
    <t>INE820Y01021</t>
  </si>
  <si>
    <t>AKASH</t>
  </si>
  <si>
    <t>Akash Infra-Projects Limited</t>
  </si>
  <si>
    <t>INE737W01013</t>
  </si>
  <si>
    <t>AKG</t>
  </si>
  <si>
    <t>Akg Exim Limited</t>
  </si>
  <si>
    <t>INE00Y801016</t>
  </si>
  <si>
    <t>AKI</t>
  </si>
  <si>
    <t>AKI India Limited</t>
  </si>
  <si>
    <t>INE642Z01026</t>
  </si>
  <si>
    <t>AKSHAR</t>
  </si>
  <si>
    <t>Akshar Spintex Limited</t>
  </si>
  <si>
    <t>INE256Z01025</t>
  </si>
  <si>
    <t>AKSHARCHEM</t>
  </si>
  <si>
    <t>AksharChem India Limited</t>
  </si>
  <si>
    <t>INE542B01011</t>
  </si>
  <si>
    <t>AKSHOPTFBR</t>
  </si>
  <si>
    <t>Aksh Optifibre Limited</t>
  </si>
  <si>
    <t>INE523B01011</t>
  </si>
  <si>
    <t>AKUMS</t>
  </si>
  <si>
    <t>Akums Drugs and Pharmaceuticals Limited</t>
  </si>
  <si>
    <t>INE09XN01023</t>
  </si>
  <si>
    <t>Akzo Nobel India Limited</t>
  </si>
  <si>
    <t>INE133A01011</t>
  </si>
  <si>
    <t>Alankit Limited</t>
  </si>
  <si>
    <t>INE914E01040</t>
  </si>
  <si>
    <t>Albert David Limited</t>
  </si>
  <si>
    <t>INE155C01010</t>
  </si>
  <si>
    <t>Alembic Limited</t>
  </si>
  <si>
    <t>INE426A01027</t>
  </si>
  <si>
    <t>Alicon Castalloy Limited</t>
  </si>
  <si>
    <t>INE062D01024</t>
  </si>
  <si>
    <t>ALIVUS</t>
  </si>
  <si>
    <t>Alivus Life Sciences Limited</t>
  </si>
  <si>
    <t>INE03Q201024</t>
  </si>
  <si>
    <t>ALKALI</t>
  </si>
  <si>
    <t>Alkali Metals Limited</t>
  </si>
  <si>
    <t>INE773I01017</t>
  </si>
  <si>
    <t>Alkem Laboratories Limited</t>
  </si>
  <si>
    <t>INE540L01014</t>
  </si>
  <si>
    <t>Alkyl Amines Chemicals Limited</t>
  </si>
  <si>
    <t>INE150B01039</t>
  </si>
  <si>
    <t>Allcargo Logistics Limited</t>
  </si>
  <si>
    <t>INE418H01029</t>
  </si>
  <si>
    <t>ALLDIGI</t>
  </si>
  <si>
    <t>Alldigi Tech Limited</t>
  </si>
  <si>
    <t>INE835G01018</t>
  </si>
  <si>
    <t>ALLTIME</t>
  </si>
  <si>
    <t>All Time Plastics Limited</t>
  </si>
  <si>
    <t>INE0GV601021</t>
  </si>
  <si>
    <t>ALMONDZ</t>
  </si>
  <si>
    <t>Almondz Global Securities Limited</t>
  </si>
  <si>
    <t>INE326B01035</t>
  </si>
  <si>
    <t>Alok Industries Limited</t>
  </si>
  <si>
    <t>INE270A01029</t>
  </si>
  <si>
    <t>ALPA</t>
  </si>
  <si>
    <t>Alpa Laboratories Limited</t>
  </si>
  <si>
    <t>INE385I01010</t>
  </si>
  <si>
    <t>ALPHAGEO</t>
  </si>
  <si>
    <t>Alphageo (India) Limited</t>
  </si>
  <si>
    <t>INE137C01018</t>
  </si>
  <si>
    <t>ALPSINDUS</t>
  </si>
  <si>
    <t>Alps Industries Limited</t>
  </si>
  <si>
    <t>INE093B01015</t>
  </si>
  <si>
    <t>Amber Enterprises India Limited</t>
  </si>
  <si>
    <t>INE371P01015</t>
  </si>
  <si>
    <t>AMBICAAGAR</t>
  </si>
  <si>
    <t>Ambica Agarbathies &amp; Aroma industries Limited</t>
  </si>
  <si>
    <t>INE792B01012</t>
  </si>
  <si>
    <t>Ambika Cotton Mills Limited</t>
  </si>
  <si>
    <t>INE540G01014</t>
  </si>
  <si>
    <t>Ambuja Cements Limited</t>
  </si>
  <si>
    <t>INE079A01024</t>
  </si>
  <si>
    <t>AMDIND</t>
  </si>
  <si>
    <t>AMD Industries Limited</t>
  </si>
  <si>
    <t>INE005I01014</t>
  </si>
  <si>
    <t>AMJLAND</t>
  </si>
  <si>
    <t>Amj Land Holdings Limited</t>
  </si>
  <si>
    <t>INE606A01024</t>
  </si>
  <si>
    <t>Amines &amp; Plasticizers Limited</t>
  </si>
  <si>
    <t>INE275D01022</t>
  </si>
  <si>
    <t>Amrutanjan Health Care Limited</t>
  </si>
  <si>
    <t>INE098F01031</t>
  </si>
  <si>
    <t>Anand Rathi Wealth Limited</t>
  </si>
  <si>
    <t>INE463V01026</t>
  </si>
  <si>
    <t>Anant Raj Limited</t>
  </si>
  <si>
    <t>INE242C01024</t>
  </si>
  <si>
    <t>ANDHRA PAPER LIMITED</t>
  </si>
  <si>
    <t>INE435A01051</t>
  </si>
  <si>
    <t>The Andhra Sugars Limited</t>
  </si>
  <si>
    <t>INE715B01021</t>
  </si>
  <si>
    <t>Angel One Limited</t>
  </si>
  <si>
    <t>INE732I01013</t>
  </si>
  <si>
    <t>ANIKINDS</t>
  </si>
  <si>
    <t>Anik Industries Limited</t>
  </si>
  <si>
    <t>INE087B01017</t>
  </si>
  <si>
    <t>ANKITMETAL</t>
  </si>
  <si>
    <t>Ankit Metal &amp; Power Limited</t>
  </si>
  <si>
    <t>BZ</t>
  </si>
  <si>
    <t>INE106I01010</t>
  </si>
  <si>
    <t>ANMOL</t>
  </si>
  <si>
    <t>Anmol India Limited</t>
  </si>
  <si>
    <t>INE02AR01019</t>
  </si>
  <si>
    <t>ANSALAPI</t>
  </si>
  <si>
    <t>Ansal Properties &amp; Infrastructure Limited</t>
  </si>
  <si>
    <t>INE436A01026</t>
  </si>
  <si>
    <t>ANTGRAPHIC</t>
  </si>
  <si>
    <t>Antarctica Limited</t>
  </si>
  <si>
    <t>INE414B01021</t>
  </si>
  <si>
    <t>ANTHEM</t>
  </si>
  <si>
    <t>Anthem Biosciences Limited</t>
  </si>
  <si>
    <t>INE0CZ201020</t>
  </si>
  <si>
    <t>Anuh Pharma Limited</t>
  </si>
  <si>
    <t>INE489G01022</t>
  </si>
  <si>
    <t>The Anup Engineering Limited</t>
  </si>
  <si>
    <t>INE294Z01018</t>
  </si>
  <si>
    <t>Anupam Rasayan India Limited</t>
  </si>
  <si>
    <t>INE930P01018</t>
  </si>
  <si>
    <t>Apar Industries Limited</t>
  </si>
  <si>
    <t>INE372A01015</t>
  </si>
  <si>
    <t>Anjani Portland Cement Limited</t>
  </si>
  <si>
    <t>INE071F01012</t>
  </si>
  <si>
    <t>Apcotex Industries Limited</t>
  </si>
  <si>
    <t>INE116A01032</t>
  </si>
  <si>
    <t>Apex Frozen Foods Limited</t>
  </si>
  <si>
    <t>INE346W01013</t>
  </si>
  <si>
    <t>APL Apollo Tubes Limited</t>
  </si>
  <si>
    <t>INE702C01027</t>
  </si>
  <si>
    <t>Alembic Pharmaceuticals Limited</t>
  </si>
  <si>
    <t>INE901L01018</t>
  </si>
  <si>
    <t>Apollo Micro Systems Limited</t>
  </si>
  <si>
    <t>INE713T01028</t>
  </si>
  <si>
    <t>Apollo Hospitals Enterprise Limited</t>
  </si>
  <si>
    <t>INE437A01024</t>
  </si>
  <si>
    <t>Apollo Pipes Limited</t>
  </si>
  <si>
    <t>INE126J01016</t>
  </si>
  <si>
    <t>Apollo Tyres Limited</t>
  </si>
  <si>
    <t>INE438A01022</t>
  </si>
  <si>
    <t>APOLSINHOT</t>
  </si>
  <si>
    <t>Apollo Sindoori Hotels Limited</t>
  </si>
  <si>
    <t>INE451F01024</t>
  </si>
  <si>
    <t>Aptech Limited</t>
  </si>
  <si>
    <t>INE266F01018</t>
  </si>
  <si>
    <t>Aptus Value Housing Finance India Limited</t>
  </si>
  <si>
    <t>INE852O01025</t>
  </si>
  <si>
    <t>ARCHIDPLY</t>
  </si>
  <si>
    <t>Archidply Industries Limited</t>
  </si>
  <si>
    <t>INE877I01016</t>
  </si>
  <si>
    <t>ARCHIES</t>
  </si>
  <si>
    <t>Archies Limited</t>
  </si>
  <si>
    <t>INE731A01020</t>
  </si>
  <si>
    <t>Amara Raja Energy &amp; Mobility Limited</t>
  </si>
  <si>
    <t>INE885A01032</t>
  </si>
  <si>
    <t>ARENTERP</t>
  </si>
  <si>
    <t>Rajdarshan Industries Limited</t>
  </si>
  <si>
    <t>INE610C01014</t>
  </si>
  <si>
    <t>Arfin India Limited</t>
  </si>
  <si>
    <t>INE784R01023</t>
  </si>
  <si>
    <t>ARIES</t>
  </si>
  <si>
    <t>Aries Agro Limited</t>
  </si>
  <si>
    <t>INE298I01015</t>
  </si>
  <si>
    <t>Arihant Capital Markets Limited</t>
  </si>
  <si>
    <t>INE420B01036</t>
  </si>
  <si>
    <t>Arihant Superstructures Limited</t>
  </si>
  <si>
    <t>INE643K01018</t>
  </si>
  <si>
    <t>ARISINFRA</t>
  </si>
  <si>
    <t>Arisinfra Solutions Limited</t>
  </si>
  <si>
    <t>INE0H9P01028</t>
  </si>
  <si>
    <t>ARKADE</t>
  </si>
  <si>
    <t>Arkade Developers Limited</t>
  </si>
  <si>
    <t>INE0QRL01017</t>
  </si>
  <si>
    <t>Arman Financial Services Limited</t>
  </si>
  <si>
    <t>INE109C01017</t>
  </si>
  <si>
    <t>AROGRANITE</t>
  </si>
  <si>
    <t>Aro Granite Industries Limited</t>
  </si>
  <si>
    <t>INE210C01013</t>
  </si>
  <si>
    <t>Arrow Greentech Limited</t>
  </si>
  <si>
    <t>INE570D01018</t>
  </si>
  <si>
    <t>ARSHIYA</t>
  </si>
  <si>
    <t>Arshiya Limited</t>
  </si>
  <si>
    <t>INE968D01022</t>
  </si>
  <si>
    <t>Artemis Medicare Services Limited</t>
  </si>
  <si>
    <t>INE025R01021</t>
  </si>
  <si>
    <t>ARTNIRMAN</t>
  </si>
  <si>
    <t>Art Nirman Limited</t>
  </si>
  <si>
    <t>INE738V01013</t>
  </si>
  <si>
    <t>ARVEE</t>
  </si>
  <si>
    <t>Arvee Laboratories (India) Limited</t>
  </si>
  <si>
    <t>INE006Z01016</t>
  </si>
  <si>
    <t>Arvind Limited</t>
  </si>
  <si>
    <t>INE034A01011</t>
  </si>
  <si>
    <t>Arvind Fashions Limited</t>
  </si>
  <si>
    <t>INE955V01021</t>
  </si>
  <si>
    <t>Arvind SmartSpaces Limited</t>
  </si>
  <si>
    <t>INE034S01021</t>
  </si>
  <si>
    <t>Asahi India Glass Limited</t>
  </si>
  <si>
    <t>INE439A01020</t>
  </si>
  <si>
    <t>Asahi Songwon Colors Limited</t>
  </si>
  <si>
    <t>INE228I01012</t>
  </si>
  <si>
    <t>Automotive Stampings and Assemblies Limited</t>
  </si>
  <si>
    <t>INE900C01027</t>
  </si>
  <si>
    <t>Associated Alcohols &amp; Breweries Ltd.</t>
  </si>
  <si>
    <t>INE073G01016</t>
  </si>
  <si>
    <t>Ashapura Minechem Limited</t>
  </si>
  <si>
    <t>INE348A01023</t>
  </si>
  <si>
    <t>Ashiana Housing Limited</t>
  </si>
  <si>
    <t>INE365D01021</t>
  </si>
  <si>
    <t>Ashima Limited</t>
  </si>
  <si>
    <t>INE440A01010</t>
  </si>
  <si>
    <t>Ashoka Buildcon Limited</t>
  </si>
  <si>
    <t>INE442H01029</t>
  </si>
  <si>
    <t>ASHOKAMET</t>
  </si>
  <si>
    <t>Ashoka Metcast Limited</t>
  </si>
  <si>
    <t>INE760Y01011</t>
  </si>
  <si>
    <t>Ashok Leyland Limited</t>
  </si>
  <si>
    <t>INE208A01029</t>
  </si>
  <si>
    <t>Asian Energy Services Limited</t>
  </si>
  <si>
    <t>INE276G01015</t>
  </si>
  <si>
    <t>ASIANHOTNR</t>
  </si>
  <si>
    <t>Asian Hotels (North) Limited</t>
  </si>
  <si>
    <t>INE363A01022</t>
  </si>
  <si>
    <t>Asian Paints Limited</t>
  </si>
  <si>
    <t>INE021A01026</t>
  </si>
  <si>
    <t>Asian Granito India Limited</t>
  </si>
  <si>
    <t>INE022I01019</t>
  </si>
  <si>
    <t>ASK Automotive Limited</t>
  </si>
  <si>
    <t>INE491J01022</t>
  </si>
  <si>
    <t>Bartronics India Limited</t>
  </si>
  <si>
    <t>INE855F01042</t>
  </si>
  <si>
    <t>ASPINWALL</t>
  </si>
  <si>
    <t>Aspinwall and Company Limited</t>
  </si>
  <si>
    <t>INE991I01015</t>
  </si>
  <si>
    <t>Astec LifeSciences Limited</t>
  </si>
  <si>
    <t>INE563J01010</t>
  </si>
  <si>
    <t>Aster DM Healthcare Limited</t>
  </si>
  <si>
    <t>INE914M01019</t>
  </si>
  <si>
    <t>Astral Limited</t>
  </si>
  <si>
    <t>INE006I01046</t>
  </si>
  <si>
    <t>Astra Microwave Products Limited</t>
  </si>
  <si>
    <t>INE386C01029</t>
  </si>
  <si>
    <t>AstraZeneca Pharma India Limited</t>
  </si>
  <si>
    <t>INE203A01020</t>
  </si>
  <si>
    <t>ASTRON</t>
  </si>
  <si>
    <t>Astron Paper &amp; Board Mill Limited</t>
  </si>
  <si>
    <t>INE646X01014</t>
  </si>
  <si>
    <t>ATALREAL</t>
  </si>
  <si>
    <t>Atal Realtech Limited</t>
  </si>
  <si>
    <t>INE0ALR01029</t>
  </si>
  <si>
    <t>ATAM</t>
  </si>
  <si>
    <t>Atam Valves Limited</t>
  </si>
  <si>
    <t>INE09KD01013</t>
  </si>
  <si>
    <t>Adani Total Gas Limited</t>
  </si>
  <si>
    <t>INE399L01023</t>
  </si>
  <si>
    <t>ATHERENERG</t>
  </si>
  <si>
    <t>Ather Energy Limited</t>
  </si>
  <si>
    <t>INE0LEZ01016</t>
  </si>
  <si>
    <t>Allcargo Terminals Limited</t>
  </si>
  <si>
    <t>INE0NN701020</t>
  </si>
  <si>
    <t>ATLANTAA</t>
  </si>
  <si>
    <t>ATLANTAA LIMITED</t>
  </si>
  <si>
    <t>INE285H01022</t>
  </si>
  <si>
    <t>ATLASCYCLE</t>
  </si>
  <si>
    <t>Atlas Cycles (Haryana) Limited</t>
  </si>
  <si>
    <t>INE446A01025</t>
  </si>
  <si>
    <t>Atul Limited</t>
  </si>
  <si>
    <t>INE100A01010</t>
  </si>
  <si>
    <t>Atul Auto Limited</t>
  </si>
  <si>
    <t>INE951D01028</t>
  </si>
  <si>
    <t>AU Small Finance Bank Limited</t>
  </si>
  <si>
    <t>INE949L01017</t>
  </si>
  <si>
    <t>Aurionpro Solutions Limited</t>
  </si>
  <si>
    <t>INE132H01018</t>
  </si>
  <si>
    <t>Aurobindo Pharma Limited</t>
  </si>
  <si>
    <t>INE406A01037</t>
  </si>
  <si>
    <t>Aurum PropTech Limited</t>
  </si>
  <si>
    <t>INE898S01029</t>
  </si>
  <si>
    <t>AUSOMENT</t>
  </si>
  <si>
    <t>Ausom Enterprise Limited</t>
  </si>
  <si>
    <t>INE218C01016</t>
  </si>
  <si>
    <t>Automotive Axles Limited</t>
  </si>
  <si>
    <t>INE449A01011</t>
  </si>
  <si>
    <t>Autoline Industries Limited</t>
  </si>
  <si>
    <t>INE718H01014</t>
  </si>
  <si>
    <t>Avadh Sugar &amp; Energy Limited</t>
  </si>
  <si>
    <t>INE349W01017</t>
  </si>
  <si>
    <t>Avalon Technologies Limited</t>
  </si>
  <si>
    <t>INE0LCL01028</t>
  </si>
  <si>
    <t>Avantel Limited</t>
  </si>
  <si>
    <t>INE005B01027</t>
  </si>
  <si>
    <t>Avanti Feeds Limited</t>
  </si>
  <si>
    <t>INE871C01038</t>
  </si>
  <si>
    <t>AVG Logistics Limited</t>
  </si>
  <si>
    <t>INE680Z01018</t>
  </si>
  <si>
    <t>Aditya Vision Limited</t>
  </si>
  <si>
    <t>INE679V01027</t>
  </si>
  <si>
    <t>AVONMORE</t>
  </si>
  <si>
    <t>Avonmore Capital &amp; Management Services Limited</t>
  </si>
  <si>
    <t>INE323B01024</t>
  </si>
  <si>
    <t>AVROIND</t>
  </si>
  <si>
    <t>AVRO INDIA LIMITED</t>
  </si>
  <si>
    <t>INE652Z01017</t>
  </si>
  <si>
    <t>AVT Natural Products Limited</t>
  </si>
  <si>
    <t>INE488D01021</t>
  </si>
  <si>
    <t>Awfis Space Solutions Limited</t>
  </si>
  <si>
    <t>INE108V01019</t>
  </si>
  <si>
    <t>Antony Waste Handling Cell Limited</t>
  </si>
  <si>
    <t>INE01BK01022</t>
  </si>
  <si>
    <t>AWL Agri Business Limited</t>
  </si>
  <si>
    <t>INE699H01024</t>
  </si>
  <si>
    <t>Axis Bank Limited</t>
  </si>
  <si>
    <t>INE238A01034</t>
  </si>
  <si>
    <t>AXISCADES Technologies Limited</t>
  </si>
  <si>
    <t>INE555B01013</t>
  </si>
  <si>
    <t>Axita Cotton Limited</t>
  </si>
  <si>
    <t>INE02EZ01022</t>
  </si>
  <si>
    <t>AYM Syntex Limited</t>
  </si>
  <si>
    <t>INE193B01039</t>
  </si>
  <si>
    <t>Azad Engineering Limited</t>
  </si>
  <si>
    <t>INE02IJ01035</t>
  </si>
  <si>
    <t>BAFNAPH</t>
  </si>
  <si>
    <t>Bafna Pharmaceuticals Limited</t>
  </si>
  <si>
    <t>INE878I01022</t>
  </si>
  <si>
    <t>BAGFILMS</t>
  </si>
  <si>
    <t>B.A.G Films and Media Limited</t>
  </si>
  <si>
    <t>INE116D01028</t>
  </si>
  <si>
    <t>BAIDFIN</t>
  </si>
  <si>
    <t>Baid Finserv Limited</t>
  </si>
  <si>
    <t>INE020D01022</t>
  </si>
  <si>
    <t>Bajaj Auto Limited</t>
  </si>
  <si>
    <t>INE917I01010</t>
  </si>
  <si>
    <t>Bajaj Consumer Care Limited</t>
  </si>
  <si>
    <t>INE933K01021</t>
  </si>
  <si>
    <t>Bajaj Electricals Limited</t>
  </si>
  <si>
    <t>INE193E01025</t>
  </si>
  <si>
    <t>Bajaj Finserv Limited</t>
  </si>
  <si>
    <t>INE918I01026</t>
  </si>
  <si>
    <t>Bajaj Healthcare Limited</t>
  </si>
  <si>
    <t>INE411U01027</t>
  </si>
  <si>
    <t>BAJAJHFL</t>
  </si>
  <si>
    <t>Bajaj Housing Finance Limited</t>
  </si>
  <si>
    <t>INE377Y01014</t>
  </si>
  <si>
    <t>Bajaj Hindusthan Sugar Limited</t>
  </si>
  <si>
    <t>INE306A01021</t>
  </si>
  <si>
    <t>Bajaj Holdings &amp; Investment Limited</t>
  </si>
  <si>
    <t>INE118A01012</t>
  </si>
  <si>
    <t>BAJAJINDEF</t>
  </si>
  <si>
    <t>Indef Manufacturing Limited</t>
  </si>
  <si>
    <t>INE0O9T01021</t>
  </si>
  <si>
    <t>Bajel Projects Limited</t>
  </si>
  <si>
    <t>INE0KQN01018</t>
  </si>
  <si>
    <t>Bajaj Finance Limited</t>
  </si>
  <si>
    <t>INE296A01032</t>
  </si>
  <si>
    <t>BALAJEE</t>
  </si>
  <si>
    <t>Shree Tirupati Balajee Agro Trading Company Limited</t>
  </si>
  <si>
    <t>INE0S2G01011</t>
  </si>
  <si>
    <t>Balaji Telefilms Limited</t>
  </si>
  <si>
    <t>INE794B01026</t>
  </si>
  <si>
    <t>Balaji Amines Limited</t>
  </si>
  <si>
    <t>INE050E01027</t>
  </si>
  <si>
    <t>BALAXI PHARMACEUTICALS LIMITED</t>
  </si>
  <si>
    <t>INE618N01022</t>
  </si>
  <si>
    <t>BALKRISHNA</t>
  </si>
  <si>
    <t>Balkrishna Paper Mills Limited</t>
  </si>
  <si>
    <t>INE875R01011</t>
  </si>
  <si>
    <t>Balkrishna Industries Limited</t>
  </si>
  <si>
    <t>INE787D01026</t>
  </si>
  <si>
    <t>Balmer Lawrie &amp; Company Limited</t>
  </si>
  <si>
    <t>INE164A01016</t>
  </si>
  <si>
    <t>BALPHARMA</t>
  </si>
  <si>
    <t>Bal Pharma Limited</t>
  </si>
  <si>
    <t>INE083D01012</t>
  </si>
  <si>
    <t>Balrampur Chini Mills Limited</t>
  </si>
  <si>
    <t>INE119A01028</t>
  </si>
  <si>
    <t>Balu Forge Industries Limited</t>
  </si>
  <si>
    <t>INE011E01029</t>
  </si>
  <si>
    <t>BANARBEADS</t>
  </si>
  <si>
    <t>Banaras Beads Limited</t>
  </si>
  <si>
    <t>INE655B01011</t>
  </si>
  <si>
    <t>Bannari Amman Sugars Limited</t>
  </si>
  <si>
    <t>INE459A01010</t>
  </si>
  <si>
    <t>Banco Products (I) Limited</t>
  </si>
  <si>
    <t>INE213C01025</t>
  </si>
  <si>
    <t>Bandhan Bank Limited</t>
  </si>
  <si>
    <t>INE545U01014</t>
  </si>
  <si>
    <t>BANG</t>
  </si>
  <si>
    <t>Bang Overseas Limited</t>
  </si>
  <si>
    <t>INE863I01016</t>
  </si>
  <si>
    <t>BANKA</t>
  </si>
  <si>
    <t>Banka BioLoo Limited</t>
  </si>
  <si>
    <t>INE862Y01015</t>
  </si>
  <si>
    <t>Bank of Baroda</t>
  </si>
  <si>
    <t>INE028A01039</t>
  </si>
  <si>
    <t>Bank of India</t>
  </si>
  <si>
    <t>INE084A01016</t>
  </si>
  <si>
    <t>BANSALWIRE</t>
  </si>
  <si>
    <t>Bansal Wire Industries Limited</t>
  </si>
  <si>
    <t>INE0B9K01025</t>
  </si>
  <si>
    <t>Banswara Syntex Limited</t>
  </si>
  <si>
    <t>INE629D01020</t>
  </si>
  <si>
    <t>Barbeque Nation Hospitality Limited</t>
  </si>
  <si>
    <t>INE382M01027</t>
  </si>
  <si>
    <t>BASF India Limited</t>
  </si>
  <si>
    <t>INE373A01013</t>
  </si>
  <si>
    <t>BASML</t>
  </si>
  <si>
    <t>Bannari Amman Spinning Mills Limited</t>
  </si>
  <si>
    <t>INE186H01022</t>
  </si>
  <si>
    <t>Bata India Limited</t>
  </si>
  <si>
    <t>INE176A01028</t>
  </si>
  <si>
    <t>Bayer Cropscience Limited</t>
  </si>
  <si>
    <t>INE462A01022</t>
  </si>
  <si>
    <t>Bharat Bijlee Limited</t>
  </si>
  <si>
    <t>INE464A01036</t>
  </si>
  <si>
    <t>Black Box Limited</t>
  </si>
  <si>
    <t>INE676A01027</t>
  </si>
  <si>
    <t>Bombay Burmah Trading Corporation Limited</t>
  </si>
  <si>
    <t>INE050A01025</t>
  </si>
  <si>
    <t>B&amp;B Triplewall Containers Limited</t>
  </si>
  <si>
    <t>INE01EE01011</t>
  </si>
  <si>
    <t>Brightcom Group Limited</t>
  </si>
  <si>
    <t>INE425B01027</t>
  </si>
  <si>
    <t>Bcl Industries Limited</t>
  </si>
  <si>
    <t>INE412G01024</t>
  </si>
  <si>
    <t>Brand Concepts Limited</t>
  </si>
  <si>
    <t>INE977Y01011</t>
  </si>
  <si>
    <t>Bharat Dynamics Limited</t>
  </si>
  <si>
    <t>INE171Z01026</t>
  </si>
  <si>
    <t>BEARDSELL</t>
  </si>
  <si>
    <t>Beardsell Limited</t>
  </si>
  <si>
    <t>INE520H01022</t>
  </si>
  <si>
    <t>Mrs. Bectors Food Specialities Limited</t>
  </si>
  <si>
    <t>INE495P01012</t>
  </si>
  <si>
    <t>Bedmutha Industries Limited</t>
  </si>
  <si>
    <t>INE844K01012</t>
  </si>
  <si>
    <t>Bharat Electronics Limited</t>
  </si>
  <si>
    <t>INE263A01024</t>
  </si>
  <si>
    <t>BELLACASA</t>
  </si>
  <si>
    <t>Bella Casa Fashion &amp; Retail Limited</t>
  </si>
  <si>
    <t>INE344T01014</t>
  </si>
  <si>
    <t>BELRISE</t>
  </si>
  <si>
    <t>Belrise Industries Limited</t>
  </si>
  <si>
    <t>INE894V01022</t>
  </si>
  <si>
    <t>BEML Limited</t>
  </si>
  <si>
    <t>INE258A01016</t>
  </si>
  <si>
    <t>Bhansali Engineering Polymers Limited</t>
  </si>
  <si>
    <t>INE922A01025</t>
  </si>
  <si>
    <t>Berger Paints (I) Limited</t>
  </si>
  <si>
    <t>INE463A01038</t>
  </si>
  <si>
    <t>Best Agrolife Limited</t>
  </si>
  <si>
    <t>INE052T01013</t>
  </si>
  <si>
    <t>BF Investment Limited</t>
  </si>
  <si>
    <t>INE878K01010</t>
  </si>
  <si>
    <t>BF Utilities Limited</t>
  </si>
  <si>
    <t>INE243D01012</t>
  </si>
  <si>
    <t>BGRENERGY</t>
  </si>
  <si>
    <t>BGR Energy Systems Limited</t>
  </si>
  <si>
    <t>INE661I01014</t>
  </si>
  <si>
    <t>Bhagiradha Chemicals &amp; Industries Limited</t>
  </si>
  <si>
    <t>INE414D01027</t>
  </si>
  <si>
    <t>Bhageria Industries Limited</t>
  </si>
  <si>
    <t>INE354C01027</t>
  </si>
  <si>
    <t>BHAGYANGR</t>
  </si>
  <si>
    <t>Bhagyanagar India Limited</t>
  </si>
  <si>
    <t>INE458B01036</t>
  </si>
  <si>
    <t>BHANDARI</t>
  </si>
  <si>
    <t>Bhandari Hosiery Exports Limited</t>
  </si>
  <si>
    <t>INE474E01029</t>
  </si>
  <si>
    <t>Bharat Forge Limited</t>
  </si>
  <si>
    <t>INE465A01025</t>
  </si>
  <si>
    <t>BHARATGEAR</t>
  </si>
  <si>
    <t>Bharat Gears Limited</t>
  </si>
  <si>
    <t>INE561C01019</t>
  </si>
  <si>
    <t>Bharat Rasayan Limited</t>
  </si>
  <si>
    <t>INE838B01013</t>
  </si>
  <si>
    <t>BHARATSE</t>
  </si>
  <si>
    <t>Bharat Seats Limited</t>
  </si>
  <si>
    <t>INE415D01024</t>
  </si>
  <si>
    <t>Bharat Wire Ropes Limited</t>
  </si>
  <si>
    <t>INE316L01019</t>
  </si>
  <si>
    <t>Bharti Airtel Limited</t>
  </si>
  <si>
    <t>INE397D01024</t>
  </si>
  <si>
    <t>Bharti Hexacom Limited</t>
  </si>
  <si>
    <t>INE343G01021</t>
  </si>
  <si>
    <t>Bharat Heavy Electricals Limited</t>
  </si>
  <si>
    <t>INE257A01026</t>
  </si>
  <si>
    <t>Bigbloc Construction Limited</t>
  </si>
  <si>
    <t>INE412U01025</t>
  </si>
  <si>
    <t>Bikaji Foods International Limited</t>
  </si>
  <si>
    <t>INE00E101023</t>
  </si>
  <si>
    <t>Bhartiya International Limited</t>
  </si>
  <si>
    <t>INE828A01016</t>
  </si>
  <si>
    <t>BILVYAPAR</t>
  </si>
  <si>
    <t>BIL VYAPAR LIMITED</t>
  </si>
  <si>
    <t>INE071A01013</t>
  </si>
  <si>
    <t>Biocon Limited</t>
  </si>
  <si>
    <t>INE376G01013</t>
  </si>
  <si>
    <t>BIOFILCHEM</t>
  </si>
  <si>
    <t>Biofil Chemicals &amp; Pharmaceuticals Limited</t>
  </si>
  <si>
    <t>INE829A01014</t>
  </si>
  <si>
    <t>Birla Cable Limited</t>
  </si>
  <si>
    <t>INE800A01015</t>
  </si>
  <si>
    <t>Birla Corporation Limited</t>
  </si>
  <si>
    <t>INE340A01012</t>
  </si>
  <si>
    <t>Aditya Birla Money Limited</t>
  </si>
  <si>
    <t>INE865C01022</t>
  </si>
  <si>
    <t>BIRLANU</t>
  </si>
  <si>
    <t>BirlaNu Limited</t>
  </si>
  <si>
    <t>INE557A01011</t>
  </si>
  <si>
    <t>BLACKBUCK</t>
  </si>
  <si>
    <t>Zinka Logistics Solutions Limited</t>
  </si>
  <si>
    <t>INE0UIZ01018</t>
  </si>
  <si>
    <t>BEML Land Assets Limited</t>
  </si>
  <si>
    <t>INE0N7W01012</t>
  </si>
  <si>
    <t>BLBLIMITED</t>
  </si>
  <si>
    <t>BLB Limited</t>
  </si>
  <si>
    <t>INE791A01024</t>
  </si>
  <si>
    <t>Bliss GVS Pharma Limited</t>
  </si>
  <si>
    <t>INE416D01022</t>
  </si>
  <si>
    <t>B. L. Kashyap and Sons Limited</t>
  </si>
  <si>
    <t>INE350H01032</t>
  </si>
  <si>
    <t>BLS International Services Limited</t>
  </si>
  <si>
    <t>INE153T01027</t>
  </si>
  <si>
    <t>BLS E-Services Limited</t>
  </si>
  <si>
    <t>INE0NLT01010</t>
  </si>
  <si>
    <t>BLUECOAST</t>
  </si>
  <si>
    <t>Blue Coast Hotels Limited</t>
  </si>
  <si>
    <t>INE472B01011</t>
  </si>
  <si>
    <t>Blue Dart Express Limited</t>
  </si>
  <si>
    <t>INE233B01017</t>
  </si>
  <si>
    <t>Blue Jet Healthcare Limited</t>
  </si>
  <si>
    <t>INE0KBH01020</t>
  </si>
  <si>
    <t>Blue Star Limited</t>
  </si>
  <si>
    <t>INE472A01039</t>
  </si>
  <si>
    <t>BLUESTONE</t>
  </si>
  <si>
    <t>BlueStone Jewellery and Lifestyle Limited</t>
  </si>
  <si>
    <t>INE304W01038</t>
  </si>
  <si>
    <t>BLUSPRING</t>
  </si>
  <si>
    <t>Bluspring Enterprises Limited</t>
  </si>
  <si>
    <t>INE0U4101014</t>
  </si>
  <si>
    <t>Bodal Chemicals Limited</t>
  </si>
  <si>
    <t>INE338D01028</t>
  </si>
  <si>
    <t>BOHRAIND</t>
  </si>
  <si>
    <t>Bohra Industries Limited</t>
  </si>
  <si>
    <t>INE802W01023</t>
  </si>
  <si>
    <t>Bombay Dyeing &amp; Mfg Company Limited</t>
  </si>
  <si>
    <t>INE032A01023</t>
  </si>
  <si>
    <t>BORANA</t>
  </si>
  <si>
    <t>Borana Weaves Limited</t>
  </si>
  <si>
    <t>INE16SF01016</t>
  </si>
  <si>
    <t>Borosil Limited</t>
  </si>
  <si>
    <t>INE02PY01013</t>
  </si>
  <si>
    <t>BOROSIL RENEWABLES LIMITED</t>
  </si>
  <si>
    <t>INE666D01022</t>
  </si>
  <si>
    <t>Borosil Scientific Limited</t>
  </si>
  <si>
    <t>INE02L001032</t>
  </si>
  <si>
    <t>Bosch Limited</t>
  </si>
  <si>
    <t>INE323A01026</t>
  </si>
  <si>
    <t>Bharat Petroleum Corporation Limited</t>
  </si>
  <si>
    <t>INE029A01011</t>
  </si>
  <si>
    <t>BPL Limited</t>
  </si>
  <si>
    <t>INE110A01019</t>
  </si>
  <si>
    <t>Brigade Enterprises Limited</t>
  </si>
  <si>
    <t>INE791I01019</t>
  </si>
  <si>
    <t>BRIGHOTEL</t>
  </si>
  <si>
    <t>Brigade Hotel Ventures Limited</t>
  </si>
  <si>
    <t>INE03NU01014</t>
  </si>
  <si>
    <t>Britannia Industries Limited</t>
  </si>
  <si>
    <t>INE216A01030</t>
  </si>
  <si>
    <t>BRNL</t>
  </si>
  <si>
    <t>Bharat Road Network Limited</t>
  </si>
  <si>
    <t>INE727S01012</t>
  </si>
  <si>
    <t>BROOKS</t>
  </si>
  <si>
    <t>Brooks Laboratories Limited</t>
  </si>
  <si>
    <t>INE650L01011</t>
  </si>
  <si>
    <t>BSE Limited</t>
  </si>
  <si>
    <t>INE118H01025</t>
  </si>
  <si>
    <t>Bombay Super Hybrid Seeds Limited</t>
  </si>
  <si>
    <t>INE032Z01020</t>
  </si>
  <si>
    <t>BSL</t>
  </si>
  <si>
    <t>BSL Limited</t>
  </si>
  <si>
    <t>INE594B01012</t>
  </si>
  <si>
    <t>BIRLASOFT LIMITED</t>
  </si>
  <si>
    <t>INE836A01035</t>
  </si>
  <si>
    <t>BTML</t>
  </si>
  <si>
    <t>Bodhi Tree Multimedia Limited</t>
  </si>
  <si>
    <t>INE0EEJ01023</t>
  </si>
  <si>
    <t>Butterfly Gandhimathi Appliances Limited</t>
  </si>
  <si>
    <t>INE295F01017</t>
  </si>
  <si>
    <t>BVCL</t>
  </si>
  <si>
    <t>Barak Valley Cements Limited</t>
  </si>
  <si>
    <t>INE139I01011</t>
  </si>
  <si>
    <t>BYKE</t>
  </si>
  <si>
    <t>The Byke Hospitality Ltd</t>
  </si>
  <si>
    <t>INE319B01014</t>
  </si>
  <si>
    <t>CALSOFT</t>
  </si>
  <si>
    <t>California Software Company Limited</t>
  </si>
  <si>
    <t>INE526B01014</t>
  </si>
  <si>
    <t>Camlin Fine Sciences Limited</t>
  </si>
  <si>
    <t>INE052I01032</t>
  </si>
  <si>
    <t>Campus Activewear Limited</t>
  </si>
  <si>
    <t>INE278Y01022</t>
  </si>
  <si>
    <t>Computer Age Management Services Limited</t>
  </si>
  <si>
    <t>INE596I01012</t>
  </si>
  <si>
    <t>Canara Bank</t>
  </si>
  <si>
    <t>INE476A01022</t>
  </si>
  <si>
    <t>Can Fin Homes Limited</t>
  </si>
  <si>
    <t>INE477A01020</t>
  </si>
  <si>
    <t>Cantabil Retail India Limited</t>
  </si>
  <si>
    <t>INE068L01024</t>
  </si>
  <si>
    <t>Capacit'e Infraprojects Limited</t>
  </si>
  <si>
    <t>INE264T01014</t>
  </si>
  <si>
    <t>Capital Small Finance Bank Limited</t>
  </si>
  <si>
    <t>INE646H01017</t>
  </si>
  <si>
    <t>Caplin Point Laboratories Limited</t>
  </si>
  <si>
    <t>INE475E01026</t>
  </si>
  <si>
    <t>CAPTRUST</t>
  </si>
  <si>
    <t>Capital Trust Limited</t>
  </si>
  <si>
    <t>INE707C01018</t>
  </si>
  <si>
    <t>Carborundum Universal Limited</t>
  </si>
  <si>
    <t>INE120A01034</t>
  </si>
  <si>
    <t>CARE Ratings Limited</t>
  </si>
  <si>
    <t>INE752H01013</t>
  </si>
  <si>
    <t>CARRARO</t>
  </si>
  <si>
    <t>Carraro India Limited</t>
  </si>
  <si>
    <t>INE0V7W01012</t>
  </si>
  <si>
    <t>Cartrade Tech Limited</t>
  </si>
  <si>
    <t>INE290S01011</t>
  </si>
  <si>
    <t>CARYSIL LIMITED</t>
  </si>
  <si>
    <t>INE482D01024</t>
  </si>
  <si>
    <t>Castrol India Limited</t>
  </si>
  <si>
    <t>INE172A01027</t>
  </si>
  <si>
    <t>CCCL</t>
  </si>
  <si>
    <t>Consolidated Construction Consortium Limited</t>
  </si>
  <si>
    <t>INE429I01024</t>
  </si>
  <si>
    <t>CCHHL</t>
  </si>
  <si>
    <t>Country Club Hospitality &amp; Holidays Limited</t>
  </si>
  <si>
    <t>INE652F01027</t>
  </si>
  <si>
    <t>CCL Products (India) Limited</t>
  </si>
  <si>
    <t>INE421D01022</t>
  </si>
  <si>
    <t>Central Depository Services (India) Limited</t>
  </si>
  <si>
    <t>INE736A01011</t>
  </si>
  <si>
    <t>CEAT Limited</t>
  </si>
  <si>
    <t>INE482A01020</t>
  </si>
  <si>
    <t>CEIGALL</t>
  </si>
  <si>
    <t>Ceigall India Limited</t>
  </si>
  <si>
    <t>INE0AG901020</t>
  </si>
  <si>
    <t>CELEBRITY</t>
  </si>
  <si>
    <t>Celebrity Fashions Limited</t>
  </si>
  <si>
    <t>INE185H01016</t>
  </si>
  <si>
    <t>Cello World Limited</t>
  </si>
  <si>
    <t>INE0LMW01024</t>
  </si>
  <si>
    <t>Century Enka Limited</t>
  </si>
  <si>
    <t>INE485A01015</t>
  </si>
  <si>
    <t>CENTEXT</t>
  </si>
  <si>
    <t>Century Extrusions Limited</t>
  </si>
  <si>
    <t>INE281A01026</t>
  </si>
  <si>
    <t>Central Bank of India</t>
  </si>
  <si>
    <t>INE483A01010</t>
  </si>
  <si>
    <t>Centrum Capital Limited</t>
  </si>
  <si>
    <t>INE660C01027</t>
  </si>
  <si>
    <t>Centum Electronics Limited</t>
  </si>
  <si>
    <t>INE320B01020</t>
  </si>
  <si>
    <t>Century Plyboards (India) Limited</t>
  </si>
  <si>
    <t>INE348B01021</t>
  </si>
  <si>
    <t>Cera Sanitaryware Limited</t>
  </si>
  <si>
    <t>INE739E01017</t>
  </si>
  <si>
    <t>CEREBRAINT</t>
  </si>
  <si>
    <t>Cerebra Integrated Technologies Limited</t>
  </si>
  <si>
    <t>INE345B01019</t>
  </si>
  <si>
    <t>CESC Limited</t>
  </si>
  <si>
    <t>INE486A01021</t>
  </si>
  <si>
    <t>CEWATER</t>
  </si>
  <si>
    <t>Concord Enviro Systems Limited</t>
  </si>
  <si>
    <t>INE037Z01029</t>
  </si>
  <si>
    <t>Capri Global Capital Limited</t>
  </si>
  <si>
    <t>INE180C01042</t>
  </si>
  <si>
    <t>CG Power and Industrial Solutions Limited</t>
  </si>
  <si>
    <t>INE067A01029</t>
  </si>
  <si>
    <t>Chalet Hotels Limited</t>
  </si>
  <si>
    <t>INE427F01016</t>
  </si>
  <si>
    <t>Chambal Fertilizers &amp; Chemicals Limited</t>
  </si>
  <si>
    <t>INE085A01013</t>
  </si>
  <si>
    <t>Chembond Material Technologies Limited</t>
  </si>
  <si>
    <t>INE995D01025</t>
  </si>
  <si>
    <t>CHEMBONDCH</t>
  </si>
  <si>
    <t>Chembond Chemicals Limited</t>
  </si>
  <si>
    <t>INE0TGX01019</t>
  </si>
  <si>
    <t>Chemcon Speciality Chemicals Limited</t>
  </si>
  <si>
    <t>INE03YM01018</t>
  </si>
  <si>
    <t>Chemfab Alkalis Limited</t>
  </si>
  <si>
    <t>INE783X01023</t>
  </si>
  <si>
    <t>Chemplast Sanmar Limited</t>
  </si>
  <si>
    <t>INE488A01050</t>
  </si>
  <si>
    <t>Chennai Petroleum Corporation Limited</t>
  </si>
  <si>
    <t>INE178A01016</t>
  </si>
  <si>
    <t>Cheviot Company Limited</t>
  </si>
  <si>
    <t>INE974B01016</t>
  </si>
  <si>
    <t>Choice International Limited</t>
  </si>
  <si>
    <t>INE102B01014</t>
  </si>
  <si>
    <t>Cholamandalam Investment and Finance Company Limited</t>
  </si>
  <si>
    <t>INE121A01024</t>
  </si>
  <si>
    <t>Cholamandalam Financial Holdings Limited</t>
  </si>
  <si>
    <t>INE149A01033</t>
  </si>
  <si>
    <t>CIE Automotive India Limited</t>
  </si>
  <si>
    <t>INE536H01010</t>
  </si>
  <si>
    <t>CIFL</t>
  </si>
  <si>
    <t>Capital India Finance Limited</t>
  </si>
  <si>
    <t>INE345H01024</t>
  </si>
  <si>
    <t>Cigniti Technologies Limited</t>
  </si>
  <si>
    <t>INE675C01017</t>
  </si>
  <si>
    <t>CINELINE</t>
  </si>
  <si>
    <t>Cineline India Limited</t>
  </si>
  <si>
    <t>INE704H01022</t>
  </si>
  <si>
    <t>CINEVISTA</t>
  </si>
  <si>
    <t>Cinevista Limited</t>
  </si>
  <si>
    <t>INE039B01026</t>
  </si>
  <si>
    <t>Cipla Limited</t>
  </si>
  <si>
    <t>INE059A01026</t>
  </si>
  <si>
    <t>Clean Science and Technology Limited</t>
  </si>
  <si>
    <t>INE227W01023</t>
  </si>
  <si>
    <t>CLEDUCATE</t>
  </si>
  <si>
    <t>CL Educate Limited</t>
  </si>
  <si>
    <t>INE201M01029</t>
  </si>
  <si>
    <t>Chaman Lal Setia Exports Limited</t>
  </si>
  <si>
    <t>INE419D01026</t>
  </si>
  <si>
    <t>CMS Info Systems Limited</t>
  </si>
  <si>
    <t>INE925R01014</t>
  </si>
  <si>
    <t>Coal India Limited</t>
  </si>
  <si>
    <t>INE522F01014</t>
  </si>
  <si>
    <t>COASTCORP</t>
  </si>
  <si>
    <t>Coastal Corporation Limited</t>
  </si>
  <si>
    <t>INE377E01024</t>
  </si>
  <si>
    <t>Cochin Shipyard Limited</t>
  </si>
  <si>
    <t>INE704P01025</t>
  </si>
  <si>
    <t>Coffee Day Enterprises Limited</t>
  </si>
  <si>
    <t>INE335K01011</t>
  </si>
  <si>
    <t>Coforge Limited</t>
  </si>
  <si>
    <t>INE591G01025</t>
  </si>
  <si>
    <t>COHANCE</t>
  </si>
  <si>
    <t>Cohance Lifesciences Limited</t>
  </si>
  <si>
    <t>INE03QK01018</t>
  </si>
  <si>
    <t>Colgate Palmolive (India) Limited</t>
  </si>
  <si>
    <t>INE259A01022</t>
  </si>
  <si>
    <t>COMPINFO</t>
  </si>
  <si>
    <t>Compuage Infocom Limited</t>
  </si>
  <si>
    <t>INE070C01037</t>
  </si>
  <si>
    <t>COMPUSOFT</t>
  </si>
  <si>
    <t>Compucom Software Limited</t>
  </si>
  <si>
    <t>INE453B01029</t>
  </si>
  <si>
    <t>COMSYN</t>
  </si>
  <si>
    <t>Commercial Syn Bags Limited</t>
  </si>
  <si>
    <t>INE073V01015</t>
  </si>
  <si>
    <t>Container Corporation of India Limited</t>
  </si>
  <si>
    <t>INE111A01025</t>
  </si>
  <si>
    <t>Concord Biotech Limited</t>
  </si>
  <si>
    <t>INE338H01029</t>
  </si>
  <si>
    <t>Confidence Petroleum India Limited</t>
  </si>
  <si>
    <t>INE552D01024</t>
  </si>
  <si>
    <t>Consolidated Finvest &amp; Holdings Limited</t>
  </si>
  <si>
    <t>INE025A01027</t>
  </si>
  <si>
    <t>Control Print Limited</t>
  </si>
  <si>
    <t>INE663B01015</t>
  </si>
  <si>
    <t>CORALFINAC</t>
  </si>
  <si>
    <t>Coral India Finance &amp; Housing Limited</t>
  </si>
  <si>
    <t>INE558D01021</t>
  </si>
  <si>
    <t>CORDSCABLE</t>
  </si>
  <si>
    <t>Cords Cable Industries Limited</t>
  </si>
  <si>
    <t>INE792I01017</t>
  </si>
  <si>
    <t>Coromandel International Limited</t>
  </si>
  <si>
    <t>INE169A01031</t>
  </si>
  <si>
    <t>COSMO FIRST LIMITED</t>
  </si>
  <si>
    <t>INE757A01017</t>
  </si>
  <si>
    <t>COUNCODOS</t>
  </si>
  <si>
    <t>Country Condo's Limited</t>
  </si>
  <si>
    <t>INE695B01025</t>
  </si>
  <si>
    <t>CPCAP</t>
  </si>
  <si>
    <t>CP Capital Limited</t>
  </si>
  <si>
    <t>INE521J01018</t>
  </si>
  <si>
    <t>CPEDU</t>
  </si>
  <si>
    <t>Career Point Edutech Limited</t>
  </si>
  <si>
    <t>INE0P6P01016</t>
  </si>
  <si>
    <t>CPPLUS</t>
  </si>
  <si>
    <t>Aditya Infotech Limited</t>
  </si>
  <si>
    <t>INE819V01029</t>
  </si>
  <si>
    <t>Craftsman Automation Limited</t>
  </si>
  <si>
    <t>INE00LO01017</t>
  </si>
  <si>
    <t>Creative Newtech Limited</t>
  </si>
  <si>
    <t>INE985W01018</t>
  </si>
  <si>
    <t>CREATIVEYE</t>
  </si>
  <si>
    <t>Creative Eye Limited</t>
  </si>
  <si>
    <t>INE230B01021</t>
  </si>
  <si>
    <t>CREDITACCESS GRAMEEN LIMITED</t>
  </si>
  <si>
    <t>INE741K01010</t>
  </si>
  <si>
    <t>Crest Ventures Limited</t>
  </si>
  <si>
    <t>INE559D01011</t>
  </si>
  <si>
    <t>CRISIL Limited</t>
  </si>
  <si>
    <t>INE007A01025</t>
  </si>
  <si>
    <t>CRIZAC</t>
  </si>
  <si>
    <t>Crizac Limited</t>
  </si>
  <si>
    <t>INE0S4R01014</t>
  </si>
  <si>
    <t>Crompton Greaves Consumer Electricals Limited</t>
  </si>
  <si>
    <t>INE299U01018</t>
  </si>
  <si>
    <t>CROWN</t>
  </si>
  <si>
    <t>Crown Lifters Limited</t>
  </si>
  <si>
    <t>INE491V01019</t>
  </si>
  <si>
    <t>CSB Bank Limited</t>
  </si>
  <si>
    <t>INE679A01013</t>
  </si>
  <si>
    <t>CSL Finance Limited</t>
  </si>
  <si>
    <t>INE718F01018</t>
  </si>
  <si>
    <t>CTE</t>
  </si>
  <si>
    <t>Cambridge Technology Enterprises Limited</t>
  </si>
  <si>
    <t>INE627H01017</t>
  </si>
  <si>
    <t>City Union Bank Limited</t>
  </si>
  <si>
    <t>INE491A01021</t>
  </si>
  <si>
    <t>CUBEXTUB</t>
  </si>
  <si>
    <t>Cubex Tubings Limited</t>
  </si>
  <si>
    <t>INE144D01012</t>
  </si>
  <si>
    <t>Cummins India Limited</t>
  </si>
  <si>
    <t>INE298A01020</t>
  </si>
  <si>
    <t>Cupid Limited</t>
  </si>
  <si>
    <t>INE509F01029</t>
  </si>
  <si>
    <t>CURAA</t>
  </si>
  <si>
    <t>Cura Technologies Limited</t>
  </si>
  <si>
    <t>INE117B01020</t>
  </si>
  <si>
    <t>CYBERMEDIA</t>
  </si>
  <si>
    <t>Cyber Media (India) Limited</t>
  </si>
  <si>
    <t>INE278G01037</t>
  </si>
  <si>
    <t>Cybertech Systems And Software Limited</t>
  </si>
  <si>
    <t>INE214A01019</t>
  </si>
  <si>
    <t>Cyient Limited</t>
  </si>
  <si>
    <t>INE136B01020</t>
  </si>
  <si>
    <t>Cyient DLM Limited</t>
  </si>
  <si>
    <t>INE055S01018</t>
  </si>
  <si>
    <t>Dabur India Limited</t>
  </si>
  <si>
    <t>INE016A01026</t>
  </si>
  <si>
    <t>Dalmia Bharat Limited</t>
  </si>
  <si>
    <t>INE00R701025</t>
  </si>
  <si>
    <t>Dalmia Bharat Sugar and Industries Limited</t>
  </si>
  <si>
    <t>INE495A01022</t>
  </si>
  <si>
    <t>DAMCAPITAL</t>
  </si>
  <si>
    <t>Dam Capital Advisors Limited</t>
  </si>
  <si>
    <t>INE284H01025</t>
  </si>
  <si>
    <t>DAMODARIND</t>
  </si>
  <si>
    <t>Damodar Industries Limited</t>
  </si>
  <si>
    <t>INE497D01022</t>
  </si>
  <si>
    <t>DANGEE</t>
  </si>
  <si>
    <t>Dangee Dums Limited</t>
  </si>
  <si>
    <t>INE688Y01022</t>
  </si>
  <si>
    <t>Datamatics Global Services Limited</t>
  </si>
  <si>
    <t>INE365B01017</t>
  </si>
  <si>
    <t>Data Patterns (India) Limited</t>
  </si>
  <si>
    <t>INE0IX101010</t>
  </si>
  <si>
    <t>Davangere Sugar Company Limited</t>
  </si>
  <si>
    <t>INE179G01029</t>
  </si>
  <si>
    <t>D.B.Corp Limited</t>
  </si>
  <si>
    <t>INE950I01011</t>
  </si>
  <si>
    <t>DBEIL</t>
  </si>
  <si>
    <t>Deepak Builders &amp; Engineers India Limited</t>
  </si>
  <si>
    <t>INE0OPA01019</t>
  </si>
  <si>
    <t>Dilip Buildcon Limited</t>
  </si>
  <si>
    <t>INE917M01012</t>
  </si>
  <si>
    <t>Dhampur Bio Organics Limited</t>
  </si>
  <si>
    <t>INE0I3401014</t>
  </si>
  <si>
    <t>Valor Estate Limited</t>
  </si>
  <si>
    <t>INE879I01012</t>
  </si>
  <si>
    <t>DBSTOCKBRO</t>
  </si>
  <si>
    <t>DB (International) Stock Brokers Limited</t>
  </si>
  <si>
    <t>INE921B01025</t>
  </si>
  <si>
    <t>Dishman Carbogen Amcis Limited</t>
  </si>
  <si>
    <t>INE385W01011</t>
  </si>
  <si>
    <t>DCB Bank Limited</t>
  </si>
  <si>
    <t>INE503A01015</t>
  </si>
  <si>
    <t>DCI</t>
  </si>
  <si>
    <t>Dc Infotech And Communication Limited</t>
  </si>
  <si>
    <t>INE0A1101019</t>
  </si>
  <si>
    <t>DCM</t>
  </si>
  <si>
    <t>DCM  Limited</t>
  </si>
  <si>
    <t>INE498A01018</t>
  </si>
  <si>
    <t>DCMFINSERV</t>
  </si>
  <si>
    <t>DCM Financial Services Limited</t>
  </si>
  <si>
    <t>INE891B01012</t>
  </si>
  <si>
    <t>DCM Nouvelle Limited</t>
  </si>
  <si>
    <t>INE08KP01019</t>
  </si>
  <si>
    <t>DCM Shriram Limited</t>
  </si>
  <si>
    <t>INE499A01024</t>
  </si>
  <si>
    <t>DCM Shriram Industries Limited</t>
  </si>
  <si>
    <t>INE843D01027</t>
  </si>
  <si>
    <t>DCW Limited</t>
  </si>
  <si>
    <t>INE500A01029</t>
  </si>
  <si>
    <t>DCX Systems Limited</t>
  </si>
  <si>
    <t>INE0KL801015</t>
  </si>
  <si>
    <t>DDEVPLSTIK</t>
  </si>
  <si>
    <t>Ddev Plastiks Industries Limited</t>
  </si>
  <si>
    <t>INE0HR601026</t>
  </si>
  <si>
    <t>Deccan Cements Limited</t>
  </si>
  <si>
    <t>INE583C01021</t>
  </si>
  <si>
    <t>DEE Development Engineers Limited</t>
  </si>
  <si>
    <t>INE841L01016</t>
  </si>
  <si>
    <t>Deepak Fertilizers and Petrochemicals Corporation Limited</t>
  </si>
  <si>
    <t>INE501A01019</t>
  </si>
  <si>
    <t>Deepak Nitrite Limited</t>
  </si>
  <si>
    <t>INE288B01029</t>
  </si>
  <si>
    <t>Deep Industries Limited</t>
  </si>
  <si>
    <t>INE0FHS01024</t>
  </si>
  <si>
    <t>Delhivery Limited</t>
  </si>
  <si>
    <t>INE148O01028</t>
  </si>
  <si>
    <t>DELPHIFX</t>
  </si>
  <si>
    <t>DELPHI WORLD MONEY LIMITED</t>
  </si>
  <si>
    <t>INE726L01019</t>
  </si>
  <si>
    <t>Delta Corp Limited</t>
  </si>
  <si>
    <t>INE124G01033</t>
  </si>
  <si>
    <t>DELTAMAGNT</t>
  </si>
  <si>
    <t>Delta Manufacturing Limited</t>
  </si>
  <si>
    <t>INE393A01011</t>
  </si>
  <si>
    <t>Den Networks Limited</t>
  </si>
  <si>
    <t>INE947J01015</t>
  </si>
  <si>
    <t>De Nora India Limited</t>
  </si>
  <si>
    <t>INE244A01016</t>
  </si>
  <si>
    <t>DENTA</t>
  </si>
  <si>
    <t>Denta Water and Infra Solutions Limited</t>
  </si>
  <si>
    <t>INE0R4L01018</t>
  </si>
  <si>
    <t>DEVIT</t>
  </si>
  <si>
    <t>Dev Information Technology Limited</t>
  </si>
  <si>
    <t>INE060X01034</t>
  </si>
  <si>
    <t>Devyani International Limited</t>
  </si>
  <si>
    <t>INE872J01023</t>
  </si>
  <si>
    <t>DGCONTENT</t>
  </si>
  <si>
    <t>Digicontent Limited</t>
  </si>
  <si>
    <t>INE03JI01017</t>
  </si>
  <si>
    <t>Dhampur Sugar Mills Limited</t>
  </si>
  <si>
    <t>INE041A01016</t>
  </si>
  <si>
    <t>Dhanlaxmi Bank Limited</t>
  </si>
  <si>
    <t>INE680A01011</t>
  </si>
  <si>
    <t>Dhani Services Limited</t>
  </si>
  <si>
    <t>INE274G01010</t>
  </si>
  <si>
    <t>Dhanuka Agritech Limited</t>
  </si>
  <si>
    <t>INE435G01025</t>
  </si>
  <si>
    <t>DHARAN</t>
  </si>
  <si>
    <t>DHARAN INFRA-EPC LIMITED</t>
  </si>
  <si>
    <t>INE278R01034</t>
  </si>
  <si>
    <t>Dharmaj Crop Guard Limited</t>
  </si>
  <si>
    <t>INE00OQ01016</t>
  </si>
  <si>
    <t>DHRUV</t>
  </si>
  <si>
    <t>Dhruv Consultancy Services Limited</t>
  </si>
  <si>
    <t>INE506Z01015</t>
  </si>
  <si>
    <t>Dhunseri Investments Limited</t>
  </si>
  <si>
    <t>INE320L01011</t>
  </si>
  <si>
    <t>Diamond Power Infrastructure Limited</t>
  </si>
  <si>
    <t>INE989C01038</t>
  </si>
  <si>
    <t>Diamines &amp; Chemicals Limited</t>
  </si>
  <si>
    <t>INE591D01014</t>
  </si>
  <si>
    <t>Prataap Snacks Limited</t>
  </si>
  <si>
    <t>INE393P01035</t>
  </si>
  <si>
    <t>DICIND</t>
  </si>
  <si>
    <t>DIC India Limited</t>
  </si>
  <si>
    <t>INE303A01010</t>
  </si>
  <si>
    <t>DIFFNKG</t>
  </si>
  <si>
    <t>Diffusion Engineers Limited</t>
  </si>
  <si>
    <t>INE184O01015</t>
  </si>
  <si>
    <t>DIGIDRIVE</t>
  </si>
  <si>
    <t>Digidrive Distributors Limited</t>
  </si>
  <si>
    <t>INE0PSC01024</t>
  </si>
  <si>
    <t>DiGiSPICE Technologies Limited</t>
  </si>
  <si>
    <t>INE927C01020</t>
  </si>
  <si>
    <t>DIGITIDE</t>
  </si>
  <si>
    <t>Digitide Solutions Limited</t>
  </si>
  <si>
    <t>INE0U4701011</t>
  </si>
  <si>
    <t>DIGJAMLMTD</t>
  </si>
  <si>
    <t>Digjam Limited</t>
  </si>
  <si>
    <t>INE731U01028</t>
  </si>
  <si>
    <t>DIL</t>
  </si>
  <si>
    <t>Debock Industries Limited</t>
  </si>
  <si>
    <t>INE411Y01011</t>
  </si>
  <si>
    <t>Dish TV India Limited</t>
  </si>
  <si>
    <t>INE836F01026</t>
  </si>
  <si>
    <t>Divgi Torqtransfer Systems Limited</t>
  </si>
  <si>
    <t>INE753U01022</t>
  </si>
  <si>
    <t>Divi's Laboratories Limited</t>
  </si>
  <si>
    <t>INE361B01024</t>
  </si>
  <si>
    <t>Dixon Technologies (India) Limited</t>
  </si>
  <si>
    <t>INE935N01020</t>
  </si>
  <si>
    <t>DJML</t>
  </si>
  <si>
    <t>DJ Mediaprint &amp; Logistics Limited</t>
  </si>
  <si>
    <t>INE0B1K01014</t>
  </si>
  <si>
    <t>DLF Limited</t>
  </si>
  <si>
    <t>INE271C01023</t>
  </si>
  <si>
    <t>D-Link (India) Limited</t>
  </si>
  <si>
    <t>INE250K01012</t>
  </si>
  <si>
    <t>Avenue Supermarts Limited</t>
  </si>
  <si>
    <t>INE192R01011</t>
  </si>
  <si>
    <t>DMCC SPECIALITY CHEMICALS LIMITED</t>
  </si>
  <si>
    <t>INE505A01010</t>
  </si>
  <si>
    <t>DNAMEDIA</t>
  </si>
  <si>
    <t>Diligent Media Corporation Limited</t>
  </si>
  <si>
    <t>INE016M01021</t>
  </si>
  <si>
    <t>Dodla Dairy Limited</t>
  </si>
  <si>
    <t>INE021O01019</t>
  </si>
  <si>
    <t>Dolat Algotech Limited</t>
  </si>
  <si>
    <t>INE966A01022</t>
  </si>
  <si>
    <t>Dollar Industries Limited</t>
  </si>
  <si>
    <t>INE325C01035</t>
  </si>
  <si>
    <t>Dolphin Offshore Enterprises (India) Limited</t>
  </si>
  <si>
    <t>INE920A01037</t>
  </si>
  <si>
    <t>DOMS Industries Limited</t>
  </si>
  <si>
    <t>INE321T01012</t>
  </si>
  <si>
    <t>Donear Industries Limited</t>
  </si>
  <si>
    <t>INE668D01028</t>
  </si>
  <si>
    <t>D. P. Abhushan Limited</t>
  </si>
  <si>
    <t>INE266Y01019</t>
  </si>
  <si>
    <t>DPSC Limited</t>
  </si>
  <si>
    <t>INE360C01024</t>
  </si>
  <si>
    <t>D P Wires Limited</t>
  </si>
  <si>
    <t>INE864X01013</t>
  </si>
  <si>
    <t>DRCSYSTEMS</t>
  </si>
  <si>
    <t>DRC Systems India Limited</t>
  </si>
  <si>
    <t>INE03RS01027</t>
  </si>
  <si>
    <t>Dreamfolks Services Limited</t>
  </si>
  <si>
    <t>INE0JS101016</t>
  </si>
  <si>
    <t>Dredging Corporation of India Limited</t>
  </si>
  <si>
    <t>INE506A01018</t>
  </si>
  <si>
    <t>Dr. Reddy's Laboratories Limited</t>
  </si>
  <si>
    <t>INE089A01031</t>
  </si>
  <si>
    <t>Dynacons Systems &amp; Solutions Limited</t>
  </si>
  <si>
    <t>INE417B01040</t>
  </si>
  <si>
    <t>DTIL</t>
  </si>
  <si>
    <t>Dhunseri Tea &amp; Industries Limited</t>
  </si>
  <si>
    <t>INE341R01014</t>
  </si>
  <si>
    <t>DUCON</t>
  </si>
  <si>
    <t>Ducon Infratechnologies Limited</t>
  </si>
  <si>
    <t>INE741L01018</t>
  </si>
  <si>
    <t>Dhunseri Ventures Limited</t>
  </si>
  <si>
    <t>INE477B01010</t>
  </si>
  <si>
    <t>Dwarikesh Sugar Industries Limited</t>
  </si>
  <si>
    <t>INE366A01041</t>
  </si>
  <si>
    <t>Dynamic Cables Limited</t>
  </si>
  <si>
    <t>INE600Y01019</t>
  </si>
  <si>
    <t>Dynamatic Technologies Limited</t>
  </si>
  <si>
    <t>INE221B01012</t>
  </si>
  <si>
    <t>DYNPRO</t>
  </si>
  <si>
    <t>Dynemic Products Limited</t>
  </si>
  <si>
    <t>INE256H01015</t>
  </si>
  <si>
    <t>E2E Networks Limited</t>
  </si>
  <si>
    <t>INE255Z01019</t>
  </si>
  <si>
    <t>Easy Trip Planners Limited</t>
  </si>
  <si>
    <t>INE07O001026</t>
  </si>
  <si>
    <t>EBGNG</t>
  </si>
  <si>
    <t>GNG Electronics Limited</t>
  </si>
  <si>
    <t>INE18JU01028</t>
  </si>
  <si>
    <t>eClerx Services Limited</t>
  </si>
  <si>
    <t>INE738I01010</t>
  </si>
  <si>
    <t>ECOSMOBLTY</t>
  </si>
  <si>
    <t>Ecos (India) Mobility &amp; Hospitality Limited</t>
  </si>
  <si>
    <t>INE06HJ01020</t>
  </si>
  <si>
    <t>Edelweiss Financial Services Limited</t>
  </si>
  <si>
    <t>INE532F01054</t>
  </si>
  <si>
    <t>EFCIL</t>
  </si>
  <si>
    <t>EFC (I) Limited</t>
  </si>
  <si>
    <t>INE886D01026</t>
  </si>
  <si>
    <t>Eicher Motors Limited</t>
  </si>
  <si>
    <t>INE066A01021</t>
  </si>
  <si>
    <t>EID Parry India Limited</t>
  </si>
  <si>
    <t>INE126A01031</t>
  </si>
  <si>
    <t>Enviro Infra Engineers Limited</t>
  </si>
  <si>
    <t>INE0LLY01014</t>
  </si>
  <si>
    <t>EIFFL</t>
  </si>
  <si>
    <t>Euro India Fresh Foods Limited</t>
  </si>
  <si>
    <t>INE546V01010</t>
  </si>
  <si>
    <t>EIH Associated Hotels Limited</t>
  </si>
  <si>
    <t>INE276C01014</t>
  </si>
  <si>
    <t>EIH Limited</t>
  </si>
  <si>
    <t>INE230A01023</t>
  </si>
  <si>
    <t>Eimco Elecon (India) Limited</t>
  </si>
  <si>
    <t>INE158B01016</t>
  </si>
  <si>
    <t>Everest Kanto Cylinder Limited</t>
  </si>
  <si>
    <t>INE184H01027</t>
  </si>
  <si>
    <t>Eldeco Housing And Industries Limited</t>
  </si>
  <si>
    <t>INE668G01021</t>
  </si>
  <si>
    <t>Elecon Engineering Company Limited</t>
  </si>
  <si>
    <t>INE205B01031</t>
  </si>
  <si>
    <t>Electrosteel Castings Limited</t>
  </si>
  <si>
    <t>INE086A01029</t>
  </si>
  <si>
    <t>Electrotherm (India) Limited</t>
  </si>
  <si>
    <t>INE822G01016</t>
  </si>
  <si>
    <t>Elgi Equipments Limited</t>
  </si>
  <si>
    <t>INE285A01027</t>
  </si>
  <si>
    <t>ELGIRUBCO</t>
  </si>
  <si>
    <t>Elgi Rubber Company Limited</t>
  </si>
  <si>
    <t>INE819L01012</t>
  </si>
  <si>
    <t>Elin Electronics Limited</t>
  </si>
  <si>
    <t>INE050401020</t>
  </si>
  <si>
    <t>ELLEN</t>
  </si>
  <si>
    <t>Ellenbarrie Industrial Gases Limited</t>
  </si>
  <si>
    <t>INE236E01022</t>
  </si>
  <si>
    <t>Emami Limited</t>
  </si>
  <si>
    <t>INE548C01032</t>
  </si>
  <si>
    <t>Emami Paper Mills Limited</t>
  </si>
  <si>
    <t>INE830C01026</t>
  </si>
  <si>
    <t>EMAMIREAL</t>
  </si>
  <si>
    <t>Emami Realty Limited</t>
  </si>
  <si>
    <t>INE778K01012</t>
  </si>
  <si>
    <t>EMBDL</t>
  </si>
  <si>
    <t>Embassy Developments Limited</t>
  </si>
  <si>
    <t>INE069I01010</t>
  </si>
  <si>
    <t>EMCURE</t>
  </si>
  <si>
    <t>Emcure Pharmaceuticals Limited</t>
  </si>
  <si>
    <t>INE168P01015</t>
  </si>
  <si>
    <t>Electronics Mart India Limited</t>
  </si>
  <si>
    <t>INE02YR01019</t>
  </si>
  <si>
    <t>EMKAY</t>
  </si>
  <si>
    <t>Emkay Global Financial Services Limited</t>
  </si>
  <si>
    <t>INE296H01011</t>
  </si>
  <si>
    <t>EMMBI</t>
  </si>
  <si>
    <t>Emmbi Industries Limited</t>
  </si>
  <si>
    <t>INE753K01015</t>
  </si>
  <si>
    <t>EMS Limited</t>
  </si>
  <si>
    <t>INE0OV601013</t>
  </si>
  <si>
    <t>eMudhra Limited</t>
  </si>
  <si>
    <t>INE01QM01018</t>
  </si>
  <si>
    <t>Endurance Technologies Limited</t>
  </si>
  <si>
    <t>INE913H01037</t>
  </si>
  <si>
    <t>ENERGYDEV</t>
  </si>
  <si>
    <t>Energy Development Company Limited</t>
  </si>
  <si>
    <t>INE306C01019</t>
  </si>
  <si>
    <t>Engineers India Limited</t>
  </si>
  <si>
    <t>INE510A01028</t>
  </si>
  <si>
    <t>Entertainment Network (India) Limited</t>
  </si>
  <si>
    <t>INE265F01028</t>
  </si>
  <si>
    <t>ENRIN</t>
  </si>
  <si>
    <t>Siemens Energy India Limited</t>
  </si>
  <si>
    <t>INE1NPP01017</t>
  </si>
  <si>
    <t>Entero Healthcare Solutions Limited</t>
  </si>
  <si>
    <t>INE010601016</t>
  </si>
  <si>
    <t>EPACK Durable Limited</t>
  </si>
  <si>
    <t>INE0G5901015</t>
  </si>
  <si>
    <t>Epigral Limited</t>
  </si>
  <si>
    <t>INE071N01016</t>
  </si>
  <si>
    <t>EPL Limited</t>
  </si>
  <si>
    <t>INE255A01020</t>
  </si>
  <si>
    <t>EQUIPPP</t>
  </si>
  <si>
    <t>Equippp Social Impact Technologies Limited</t>
  </si>
  <si>
    <t>INE217G01035</t>
  </si>
  <si>
    <t>Equitas Small Finance Bank Limited</t>
  </si>
  <si>
    <t>INE063P01018</t>
  </si>
  <si>
    <t>Eris Lifesciences Limited</t>
  </si>
  <si>
    <t>INE406M01024</t>
  </si>
  <si>
    <t>Esab India Limited</t>
  </si>
  <si>
    <t>INE284A01012</t>
  </si>
  <si>
    <t>ESAF Small Finance Bank Limited</t>
  </si>
  <si>
    <t>INE818W01011</t>
  </si>
  <si>
    <t>Escorts Kubota Limited</t>
  </si>
  <si>
    <t>INE042A01014</t>
  </si>
  <si>
    <t>Essar Shipping Limited</t>
  </si>
  <si>
    <t>INE122M01019</t>
  </si>
  <si>
    <t>ESSENTIA</t>
  </si>
  <si>
    <t>Integra Essentia Limited</t>
  </si>
  <si>
    <t>INE418N01035</t>
  </si>
  <si>
    <t>Ester Industries Limited</t>
  </si>
  <si>
    <t>INE778B01029</t>
  </si>
  <si>
    <t>ETERNAL</t>
  </si>
  <si>
    <t>ETERNAL LIMITED</t>
  </si>
  <si>
    <t>INE758T01015</t>
  </si>
  <si>
    <t>Ethos Limited</t>
  </si>
  <si>
    <t>INE04TZ01018</t>
  </si>
  <si>
    <t>EUREKAFORB</t>
  </si>
  <si>
    <t>Eureka Forbes Limited</t>
  </si>
  <si>
    <t>INE0KCE01017</t>
  </si>
  <si>
    <t>Euro Panel Products Limited</t>
  </si>
  <si>
    <t>INE505V01016</t>
  </si>
  <si>
    <t>EUROTEXIND</t>
  </si>
  <si>
    <t>Eurotex Industries and Exports Limited</t>
  </si>
  <si>
    <t>INE022C01012</t>
  </si>
  <si>
    <t>Eveready Industries India Limited</t>
  </si>
  <si>
    <t>INE128A01029</t>
  </si>
  <si>
    <t>Everest Industries Limited</t>
  </si>
  <si>
    <t>INE295A01018</t>
  </si>
  <si>
    <t>EXCEL</t>
  </si>
  <si>
    <t>Excel Realty N Infra Limited</t>
  </si>
  <si>
    <t>INE688J01023</t>
  </si>
  <si>
    <t>Excel Industries Limited</t>
  </si>
  <si>
    <t>INE369A01029</t>
  </si>
  <si>
    <t>Exicom Tele-Systems Limited</t>
  </si>
  <si>
    <t>INE777F01014</t>
  </si>
  <si>
    <t>Exide Industries Limited</t>
  </si>
  <si>
    <t>INE302A01020</t>
  </si>
  <si>
    <t>Expleo Solutions Limited</t>
  </si>
  <si>
    <t>INE201K01015</t>
  </si>
  <si>
    <t>EXXARO</t>
  </si>
  <si>
    <t>Exxaro Tiles Limited</t>
  </si>
  <si>
    <t>INE0GFE01026</t>
  </si>
  <si>
    <t>Fertilizers and Chemicals Travancore Limited</t>
  </si>
  <si>
    <t>INE188A01015</t>
  </si>
  <si>
    <t>Fairchem Organics Limited</t>
  </si>
  <si>
    <t>INE0DNW01011</t>
  </si>
  <si>
    <t>Faze Three Limited</t>
  </si>
  <si>
    <t>INE963C01033</t>
  </si>
  <si>
    <t>Fineotex Chemical Limited</t>
  </si>
  <si>
    <t>INE045J01026</t>
  </si>
  <si>
    <t>FCS Software Solutions Limited</t>
  </si>
  <si>
    <t>INE512B01022</t>
  </si>
  <si>
    <t>FDC Limited</t>
  </si>
  <si>
    <t>INE258B01022</t>
  </si>
  <si>
    <t>The Federal Bank  Limited</t>
  </si>
  <si>
    <t>INE171A01029</t>
  </si>
  <si>
    <t>Fedbank Financial Services Limited</t>
  </si>
  <si>
    <t>INE007N01010</t>
  </si>
  <si>
    <t>FEL</t>
  </si>
  <si>
    <t>Future Enterprises Limited</t>
  </si>
  <si>
    <t>INE623B01027</t>
  </si>
  <si>
    <t>FELDVR</t>
  </si>
  <si>
    <t>IN9623B01058</t>
  </si>
  <si>
    <t>FIBERWEB</t>
  </si>
  <si>
    <t>Fiberweb (India) Limited</t>
  </si>
  <si>
    <t>INE296C01020</t>
  </si>
  <si>
    <t>Fiem Industries Limited</t>
  </si>
  <si>
    <t>INE737H01014</t>
  </si>
  <si>
    <t>Filatex India Limited</t>
  </si>
  <si>
    <t>INE816B01035</t>
  </si>
  <si>
    <t>Filatex Fashions Limited</t>
  </si>
  <si>
    <t>INE185E01021</t>
  </si>
  <si>
    <t>Finolex Cables Limited</t>
  </si>
  <si>
    <t>INE235A01022</t>
  </si>
  <si>
    <t>Fine Organic Industries Limited</t>
  </si>
  <si>
    <t>INE686Y01026</t>
  </si>
  <si>
    <t>Fino Payments Bank Limited</t>
  </si>
  <si>
    <t>INE02NC01014</t>
  </si>
  <si>
    <t>Finolex Industries Limited</t>
  </si>
  <si>
    <t>INE183A01024</t>
  </si>
  <si>
    <t>FIRSTCRY</t>
  </si>
  <si>
    <t>Brainbees Solutions Limited</t>
  </si>
  <si>
    <t>INE02RE01045</t>
  </si>
  <si>
    <t>Fischer Medical Ventures Limited</t>
  </si>
  <si>
    <t>INE771F01025</t>
  </si>
  <si>
    <t>Five-Star Business Finance Limited</t>
  </si>
  <si>
    <t>INE128S01021</t>
  </si>
  <si>
    <t>Flair Writing Industries Limited</t>
  </si>
  <si>
    <t>INE00Y201027</t>
  </si>
  <si>
    <t>FLEXITUFF</t>
  </si>
  <si>
    <t>Flexituff Ventures International Limited</t>
  </si>
  <si>
    <t>INE060J01017</t>
  </si>
  <si>
    <t>FLFL</t>
  </si>
  <si>
    <t>Future Lifestyle Fashions Limited</t>
  </si>
  <si>
    <t>INE452O01016</t>
  </si>
  <si>
    <t>Gujarat Fluorochemicals Limited</t>
  </si>
  <si>
    <t>INE09N301011</t>
  </si>
  <si>
    <t>Federal-Mogul Goetze (India) Limited.</t>
  </si>
  <si>
    <t>INE529A01010</t>
  </si>
  <si>
    <t>FMNL</t>
  </si>
  <si>
    <t>Future Market Networks Limited</t>
  </si>
  <si>
    <t>INE360L01017</t>
  </si>
  <si>
    <t>Focus Lighting and Fixtures Limited</t>
  </si>
  <si>
    <t>INE593W01028</t>
  </si>
  <si>
    <t>Foods &amp; Inns Limited</t>
  </si>
  <si>
    <t>INE976E01023</t>
  </si>
  <si>
    <t>FORCE MOTORS LTD</t>
  </si>
  <si>
    <t>INE451A01017</t>
  </si>
  <si>
    <t>Fortis Healthcare Limited</t>
  </si>
  <si>
    <t>INE061F01013</t>
  </si>
  <si>
    <t>Foseco India Limited</t>
  </si>
  <si>
    <t>INE519A01011</t>
  </si>
  <si>
    <t>FSC</t>
  </si>
  <si>
    <t>Future Supply Chain Solutions Limited</t>
  </si>
  <si>
    <t>INE935Q01015</t>
  </si>
  <si>
    <t>Firstsource Solutions Limited</t>
  </si>
  <si>
    <t>INE684F01012</t>
  </si>
  <si>
    <t>Fusion Finance Limited</t>
  </si>
  <si>
    <t>INE139R01012</t>
  </si>
  <si>
    <t>Gabriel India Limited</t>
  </si>
  <si>
    <t>INE524A01029</t>
  </si>
  <si>
    <t>Gujarat Ambuja Exports Limited</t>
  </si>
  <si>
    <t>INE036B01030</t>
  </si>
  <si>
    <t>GAIL (India) Limited</t>
  </si>
  <si>
    <t>INE129A01019</t>
  </si>
  <si>
    <t>GALAPREC</t>
  </si>
  <si>
    <t>Gala Precision Engineering Limited</t>
  </si>
  <si>
    <t>INE0RE001014</t>
  </si>
  <si>
    <t>Galaxy Surfactants Limited</t>
  </si>
  <si>
    <t>INE600K01018</t>
  </si>
  <si>
    <t>Gallantt Ispat Limited</t>
  </si>
  <si>
    <t>INE297H01019</t>
  </si>
  <si>
    <t>Gandhar Oil Refinery (India) Limited</t>
  </si>
  <si>
    <t>INE717W01049</t>
  </si>
  <si>
    <t>Gandhi Special Tubes Limited</t>
  </si>
  <si>
    <t>INE524B01027</t>
  </si>
  <si>
    <t>Ganesha Ecosphere Limited</t>
  </si>
  <si>
    <t>INE845D01014</t>
  </si>
  <si>
    <t>Ganesh Benzoplast Limited</t>
  </si>
  <si>
    <t>INE388A01029</t>
  </si>
  <si>
    <t>Ganesh Housing Corporation Limited</t>
  </si>
  <si>
    <t>INE460C01014</t>
  </si>
  <si>
    <t>GANGAFORGE</t>
  </si>
  <si>
    <t>Ganga Forging Limited</t>
  </si>
  <si>
    <t>INE691Z01023</t>
  </si>
  <si>
    <t>GANGESSECU</t>
  </si>
  <si>
    <t>Ganges Securities Limited</t>
  </si>
  <si>
    <t>INE335W01016</t>
  </si>
  <si>
    <t>Garware Technical Fibres Limited</t>
  </si>
  <si>
    <t>INE276A01018</t>
  </si>
  <si>
    <t>Garuda Construction and Engineering Limited</t>
  </si>
  <si>
    <t>INE0JVO01026</t>
  </si>
  <si>
    <t>GATECH</t>
  </si>
  <si>
    <t>GACM Technologies Limited</t>
  </si>
  <si>
    <t>INE224E01028</t>
  </si>
  <si>
    <t>GATECHDVR</t>
  </si>
  <si>
    <t>INE224E01036</t>
  </si>
  <si>
    <t>Gateway Distriparks Limited</t>
  </si>
  <si>
    <t>INE079J01017</t>
  </si>
  <si>
    <t>GAYAHWS</t>
  </si>
  <si>
    <t>Gayatri Highways Limited</t>
  </si>
  <si>
    <t>INE287Z01012</t>
  </si>
  <si>
    <t>GAYAPROJ</t>
  </si>
  <si>
    <t>Gayatri Projects Limited</t>
  </si>
  <si>
    <t>INE336H01023</t>
  </si>
  <si>
    <t>GCSL</t>
  </si>
  <si>
    <t>Gretex Corporate Services Limited</t>
  </si>
  <si>
    <t>INE199P01028</t>
  </si>
  <si>
    <t>GeeCee Ventures Limited</t>
  </si>
  <si>
    <t>INE916G01016</t>
  </si>
  <si>
    <t>GEEKAYWIRE</t>
  </si>
  <si>
    <t>Geekay Wires Limited</t>
  </si>
  <si>
    <t>INE669X01024</t>
  </si>
  <si>
    <t>GEMAROMA</t>
  </si>
  <si>
    <t>Gem Aromatics Limited</t>
  </si>
  <si>
    <t>INE06XZ01023</t>
  </si>
  <si>
    <t>GENCON</t>
  </si>
  <si>
    <t>Generic Engineering Construction and Projects Limited</t>
  </si>
  <si>
    <t>INE854S01022</t>
  </si>
  <si>
    <t>Genesys International Corporation Limited</t>
  </si>
  <si>
    <t>INE727B01026</t>
  </si>
  <si>
    <t>Gensol Engineering Limited</t>
  </si>
  <si>
    <t>INE06H201014</t>
  </si>
  <si>
    <t>Genus Paper &amp; Boards Limited</t>
  </si>
  <si>
    <t>INE949P01018</t>
  </si>
  <si>
    <t>Genus Power Infrastructures Limited</t>
  </si>
  <si>
    <t>INE955D01029</t>
  </si>
  <si>
    <t>Geojit Financial Services Limited</t>
  </si>
  <si>
    <t>INE007B01023</t>
  </si>
  <si>
    <t>The Great Eastern Shipping Company Limited</t>
  </si>
  <si>
    <t>INE017A01032</t>
  </si>
  <si>
    <t>GFL Limited</t>
  </si>
  <si>
    <t>INE538A01037</t>
  </si>
  <si>
    <t>GHCL Limited</t>
  </si>
  <si>
    <t>INE539A01019</t>
  </si>
  <si>
    <t>GHCL Textiles Limited</t>
  </si>
  <si>
    <t>INE0PA801013</t>
  </si>
  <si>
    <t>GIC Housing Finance Limited</t>
  </si>
  <si>
    <t>INE289B01019</t>
  </si>
  <si>
    <t>General Insurance Corporation of India</t>
  </si>
  <si>
    <t>INE481Y01014</t>
  </si>
  <si>
    <t>GILLANDERS</t>
  </si>
  <si>
    <t>Gillanders Arbuthnot &amp; Company Limited</t>
  </si>
  <si>
    <t>INE047B01011</t>
  </si>
  <si>
    <t>Gillette India Limited</t>
  </si>
  <si>
    <t>INE322A01010</t>
  </si>
  <si>
    <t>GINNIFILA</t>
  </si>
  <si>
    <t>Ginni Filaments Limited</t>
  </si>
  <si>
    <t>INE424C01010</t>
  </si>
  <si>
    <t>Gujarat Industries Power Company Limited</t>
  </si>
  <si>
    <t>INE162A01010</t>
  </si>
  <si>
    <t>GKW Limited</t>
  </si>
  <si>
    <t>INE528A01020</t>
  </si>
  <si>
    <t>Gland Pharma Limited</t>
  </si>
  <si>
    <t>INE068V01023</t>
  </si>
  <si>
    <t>GlaxoSmithKline Pharmaceuticals Limited</t>
  </si>
  <si>
    <t>INE159A01016</t>
  </si>
  <si>
    <t>Glenmark Pharmaceuticals Limited</t>
  </si>
  <si>
    <t>INE935A01035</t>
  </si>
  <si>
    <t>GLFL</t>
  </si>
  <si>
    <t>Gujarat Lease Financing Limited</t>
  </si>
  <si>
    <t>INE540A01017</t>
  </si>
  <si>
    <t>GLOBAL</t>
  </si>
  <si>
    <t>Global Education Limited</t>
  </si>
  <si>
    <t>INE291W01037</t>
  </si>
  <si>
    <t>GLOBALE</t>
  </si>
  <si>
    <t>Globale Tessile Limited</t>
  </si>
  <si>
    <t>INE0URU01010</t>
  </si>
  <si>
    <t>GLOBALVECT</t>
  </si>
  <si>
    <t>Global Vectra Helicorp Limited</t>
  </si>
  <si>
    <t>INE792H01019</t>
  </si>
  <si>
    <t>GLOBE</t>
  </si>
  <si>
    <t>Globe Textiles (India) Limited</t>
  </si>
  <si>
    <t>INE581X01021</t>
  </si>
  <si>
    <t>GLOBECIVIL</t>
  </si>
  <si>
    <t>Globe Civil Projects Limited</t>
  </si>
  <si>
    <t>INE0V3U01015</t>
  </si>
  <si>
    <t>Globus Spirits Limited</t>
  </si>
  <si>
    <t>INE615I01010</t>
  </si>
  <si>
    <t>Gloster Limited</t>
  </si>
  <si>
    <t>INE350Z01018</t>
  </si>
  <si>
    <t>GM Breweries Limited</t>
  </si>
  <si>
    <t>INE075D01018</t>
  </si>
  <si>
    <t>Gujarat Mineral Development Corporation Limited</t>
  </si>
  <si>
    <t>INE131A01031</t>
  </si>
  <si>
    <t>GMM Pfaudler Limited</t>
  </si>
  <si>
    <t>INE541A01023</t>
  </si>
  <si>
    <t>GMRAIRPORT</t>
  </si>
  <si>
    <t>GMR AIRPORTS LIMITED</t>
  </si>
  <si>
    <t>INE776C01039</t>
  </si>
  <si>
    <t>GMR Power and Urban Infra Limited</t>
  </si>
  <si>
    <t>INE0CU601026</t>
  </si>
  <si>
    <t>GNA Axles Limited</t>
  </si>
  <si>
    <t>INE934S01014</t>
  </si>
  <si>
    <t>Gujarat Narmada Valley Fertilizers and Chemicals Limited</t>
  </si>
  <si>
    <t>INE113A01013</t>
  </si>
  <si>
    <t>Goa Carbon Limited</t>
  </si>
  <si>
    <t>INE426D01013</t>
  </si>
  <si>
    <t>GOCL Corporation Limited</t>
  </si>
  <si>
    <t>INE077F01035</t>
  </si>
  <si>
    <t>Go Fashion (India) Limited</t>
  </si>
  <si>
    <t>INE0BJS01011</t>
  </si>
  <si>
    <t>GODAVARIB</t>
  </si>
  <si>
    <t>Godavari Biorefineries Limited</t>
  </si>
  <si>
    <t>INE497S01012</t>
  </si>
  <si>
    <t>Godfrey Phillips India Limited</t>
  </si>
  <si>
    <t>INE260B01028</t>
  </si>
  <si>
    <t>GODHA</t>
  </si>
  <si>
    <t>Godha Cabcon &amp; Insulation Limited</t>
  </si>
  <si>
    <t>INE925Y01036</t>
  </si>
  <si>
    <t>Go Digit General Insurance Limited</t>
  </si>
  <si>
    <t>INE03JT01014</t>
  </si>
  <si>
    <t>Godrej Agrovet Limited</t>
  </si>
  <si>
    <t>INE850D01014</t>
  </si>
  <si>
    <t>Godrej Consumer Products Limited</t>
  </si>
  <si>
    <t>INE102D01028</t>
  </si>
  <si>
    <t>Godrej Industries Limited</t>
  </si>
  <si>
    <t>INE233A01035</t>
  </si>
  <si>
    <t>Godrej Properties Limited</t>
  </si>
  <si>
    <t>INE484J01027</t>
  </si>
  <si>
    <t>GOENKA</t>
  </si>
  <si>
    <t>Goenka Diamond and Jewels Limited</t>
  </si>
  <si>
    <t>INE516K01024</t>
  </si>
  <si>
    <t>Gokaldas Exports Limited</t>
  </si>
  <si>
    <t>INE887G01027</t>
  </si>
  <si>
    <t>GOKUL</t>
  </si>
  <si>
    <t>Gokul Refoils and Solvent Limited</t>
  </si>
  <si>
    <t>INE020J01029</t>
  </si>
  <si>
    <t>Gokul Agro Resources Limited</t>
  </si>
  <si>
    <t>INE314T01025</t>
  </si>
  <si>
    <t>GOLDENTOBC</t>
  </si>
  <si>
    <t>Golden Tobacco Limited</t>
  </si>
  <si>
    <t>INE973A01010</t>
  </si>
  <si>
    <t>Goldiam International Limited</t>
  </si>
  <si>
    <t>INE025B01025</t>
  </si>
  <si>
    <t>AION-TECH SOLUTIONS LIMITED</t>
  </si>
  <si>
    <t>INE805A01014</t>
  </si>
  <si>
    <t>Goodluck India Limited</t>
  </si>
  <si>
    <t>INE127I01024</t>
  </si>
  <si>
    <t>Gopal Snacks Limited</t>
  </si>
  <si>
    <t>INE0L9R01028</t>
  </si>
  <si>
    <t>GOYALALUM</t>
  </si>
  <si>
    <t>Goyal Aluminiums Limited</t>
  </si>
  <si>
    <t>INE705X01026</t>
  </si>
  <si>
    <t>Godawari Power And Ispat limited</t>
  </si>
  <si>
    <t>INE177H01039</t>
  </si>
  <si>
    <t>Gujarat Pipavav Port Limited</t>
  </si>
  <si>
    <t>INE517F01014</t>
  </si>
  <si>
    <t>GPT Healthcare Limited</t>
  </si>
  <si>
    <t>INE486R01017</t>
  </si>
  <si>
    <t>GPT Infraprojects Limited</t>
  </si>
  <si>
    <t>INE390G01014</t>
  </si>
  <si>
    <t>Granules India Limited</t>
  </si>
  <si>
    <t>INE101D01020</t>
  </si>
  <si>
    <t>Graphite India Limited</t>
  </si>
  <si>
    <t>INE371A01025</t>
  </si>
  <si>
    <t>Grasim Industries Limited</t>
  </si>
  <si>
    <t>INE047A01021</t>
  </si>
  <si>
    <t>Gravita India Limited</t>
  </si>
  <si>
    <t>INE024L01027</t>
  </si>
  <si>
    <t>Greaves Cotton Limited</t>
  </si>
  <si>
    <t>INE224A01026</t>
  </si>
  <si>
    <t>Greenlam Industries Limited</t>
  </si>
  <si>
    <t>INE544R01021</t>
  </si>
  <si>
    <t>Greenpanel Industries Limited</t>
  </si>
  <si>
    <t>INE08ZM01014</t>
  </si>
  <si>
    <t>Greenply Industries Limited</t>
  </si>
  <si>
    <t>INE461C01038</t>
  </si>
  <si>
    <t>Orient Green Power Company Limited</t>
  </si>
  <si>
    <t>INE999K01014</t>
  </si>
  <si>
    <t>Grindwell Norton Limited</t>
  </si>
  <si>
    <t>INE536A01023</t>
  </si>
  <si>
    <t>G R Infraprojects Limited</t>
  </si>
  <si>
    <t>INE201P01022</t>
  </si>
  <si>
    <t>GRM Overseas Limited</t>
  </si>
  <si>
    <t>INE192H01020</t>
  </si>
  <si>
    <t>GROBTEA</t>
  </si>
  <si>
    <t>The Grob Tea Company Limited</t>
  </si>
  <si>
    <t>INE646C01018</t>
  </si>
  <si>
    <t>GRP Limited</t>
  </si>
  <si>
    <t>INE137I01015</t>
  </si>
  <si>
    <t>Garden Reach Shipbuilders &amp; Engineers Limited</t>
  </si>
  <si>
    <t>INE382Z01011</t>
  </si>
  <si>
    <t>Garware Hi-Tech Films Limited</t>
  </si>
  <si>
    <t>INE291A01017</t>
  </si>
  <si>
    <t>Gujarat State Fertilizers &amp; Chemicals Limited</t>
  </si>
  <si>
    <t>INE026A01025</t>
  </si>
  <si>
    <t>Global Surfaces Limited</t>
  </si>
  <si>
    <t>INE0JSX01015</t>
  </si>
  <si>
    <t>Gujarat State Petronet Limited</t>
  </si>
  <si>
    <t>INE246F01010</t>
  </si>
  <si>
    <t>GSS</t>
  </si>
  <si>
    <t>GSS Infotech Limited</t>
  </si>
  <si>
    <t>INE871H01011</t>
  </si>
  <si>
    <t>GTECJAINX</t>
  </si>
  <si>
    <t>G-TEC JAINX EDUCATION LIMITED</t>
  </si>
  <si>
    <t>INE586X01012</t>
  </si>
  <si>
    <t>GTL</t>
  </si>
  <si>
    <t>GTL Limited</t>
  </si>
  <si>
    <t>INE043A01012</t>
  </si>
  <si>
    <t>GTL Infrastructure Limited</t>
  </si>
  <si>
    <t>INE221H01019</t>
  </si>
  <si>
    <t>GTPL Hathway Limited</t>
  </si>
  <si>
    <t>INE869I01013</t>
  </si>
  <si>
    <t>Gufic Biosciences Limited</t>
  </si>
  <si>
    <t>INE742B01025</t>
  </si>
  <si>
    <t>Gujarat Alkalies and Chemicals Limited</t>
  </si>
  <si>
    <t>INE186A01019</t>
  </si>
  <si>
    <t>GUJAPOLLO</t>
  </si>
  <si>
    <t>Gujarat Apollo Industries Limited</t>
  </si>
  <si>
    <t>INE826C01016</t>
  </si>
  <si>
    <t>Gujarat Gas Limited</t>
  </si>
  <si>
    <t>INE844O01030</t>
  </si>
  <si>
    <t>GUJRAFFIA</t>
  </si>
  <si>
    <t>Gujarat Raffia Industries Limited</t>
  </si>
  <si>
    <t>INE610B01024</t>
  </si>
  <si>
    <t>GUJTHEM</t>
  </si>
  <si>
    <t>Gujarat Themis Biosyn Limited</t>
  </si>
  <si>
    <t>INE942C01045</t>
  </si>
  <si>
    <t>Gulf Oil Lubricants India Limited</t>
  </si>
  <si>
    <t>INE635Q01029</t>
  </si>
  <si>
    <t>GULFPETRO</t>
  </si>
  <si>
    <t>GP Petroleums Limited</t>
  </si>
  <si>
    <t>INE586G01017</t>
  </si>
  <si>
    <t>Gulshan Polyols Limited</t>
  </si>
  <si>
    <t>INE255D01024</t>
  </si>
  <si>
    <t>GVK Power &amp; Infrastructure Limited</t>
  </si>
  <si>
    <t>INE251H01024</t>
  </si>
  <si>
    <t>GVPIL</t>
  </si>
  <si>
    <t>GE Power India Limited</t>
  </si>
  <si>
    <t>INE878A01011</t>
  </si>
  <si>
    <t>GVPTECH</t>
  </si>
  <si>
    <t>GVP Infotech Limited</t>
  </si>
  <si>
    <t>INE382T01030</t>
  </si>
  <si>
    <t>GVT&amp;D</t>
  </si>
  <si>
    <t>GE Vernova T&amp;D India Limited</t>
  </si>
  <si>
    <t>INE200A01026</t>
  </si>
  <si>
    <t>Hindustan Aeronautics Limited</t>
  </si>
  <si>
    <t>INE066F01020</t>
  </si>
  <si>
    <t>Happiest Minds Technologies Limited</t>
  </si>
  <si>
    <t>INE419U01012</t>
  </si>
  <si>
    <t>Happy Forgings Limited</t>
  </si>
  <si>
    <t>INE330T01021</t>
  </si>
  <si>
    <t>Hardwyn India Limited</t>
  </si>
  <si>
    <t>INE626Z01029</t>
  </si>
  <si>
    <t>Hariom Pipe Industries Limited</t>
  </si>
  <si>
    <t>INE00EV01017</t>
  </si>
  <si>
    <t>HARRMALAYA</t>
  </si>
  <si>
    <t>Harrisons  Malayalam Limited</t>
  </si>
  <si>
    <t>INE544A01019</t>
  </si>
  <si>
    <t>Harsha Engineers International Limited</t>
  </si>
  <si>
    <t>INE0JUS01029</t>
  </si>
  <si>
    <t>Hathway Cable &amp; Datacom Limited</t>
  </si>
  <si>
    <t>INE982F01036</t>
  </si>
  <si>
    <t>Hatsun Agro Product Limited</t>
  </si>
  <si>
    <t>INE473B01035</t>
  </si>
  <si>
    <t>Havells India Limited</t>
  </si>
  <si>
    <t>INE176B01034</t>
  </si>
  <si>
    <t>HAVISHA</t>
  </si>
  <si>
    <t>Sri Havisha Hospitality and Infrastructure Limited</t>
  </si>
  <si>
    <t>INE293B01029</t>
  </si>
  <si>
    <t>HBLENGINE</t>
  </si>
  <si>
    <t>HBL Engineering Limited</t>
  </si>
  <si>
    <t>INE292B01021</t>
  </si>
  <si>
    <t>HBSL</t>
  </si>
  <si>
    <t>HB Stockholdings Limited</t>
  </si>
  <si>
    <t>INE550B01022</t>
  </si>
  <si>
    <t>Hindustan Construction Company Limited</t>
  </si>
  <si>
    <t>INE549A01026</t>
  </si>
  <si>
    <t>Healthcare Global Enterprises Limited</t>
  </si>
  <si>
    <t>INE075I01017</t>
  </si>
  <si>
    <t>HCL Infosystems Limited</t>
  </si>
  <si>
    <t>INE236A01020</t>
  </si>
  <si>
    <t>HCL Technologies Limited</t>
  </si>
  <si>
    <t>INE860A01027</t>
  </si>
  <si>
    <t>HDBFS</t>
  </si>
  <si>
    <t>HDB Financial Services Limited</t>
  </si>
  <si>
    <t>INE756I01012</t>
  </si>
  <si>
    <t>HDFC Asset Management Company Limited</t>
  </si>
  <si>
    <t>INE127D01025</t>
  </si>
  <si>
    <t>HDFC Bank Limited</t>
  </si>
  <si>
    <t>INE040A01034</t>
  </si>
  <si>
    <t>HDFC Life Insurance Company Limited</t>
  </si>
  <si>
    <t>INE795G01014</t>
  </si>
  <si>
    <t>HDIL</t>
  </si>
  <si>
    <t>Housing Development and Infrastructure Limited</t>
  </si>
  <si>
    <t>INE191I01012</t>
  </si>
  <si>
    <t>HEADSUP</t>
  </si>
  <si>
    <t>Heads UP Ventures Limited</t>
  </si>
  <si>
    <t>INE759V01019</t>
  </si>
  <si>
    <t>HECPROJECT</t>
  </si>
  <si>
    <t>HEC Infra Projects Limited</t>
  </si>
  <si>
    <t>INE558R01013</t>
  </si>
  <si>
    <t>HEG Limited</t>
  </si>
  <si>
    <t>INE545A01024</t>
  </si>
  <si>
    <t>HeidelbergCement India Limited</t>
  </si>
  <si>
    <t>INE578A01017</t>
  </si>
  <si>
    <t>Hemisphere Properties India Limited</t>
  </si>
  <si>
    <t>INE0AJG01018</t>
  </si>
  <si>
    <t>Heranba Industries Limited</t>
  </si>
  <si>
    <t>INE694N01015</t>
  </si>
  <si>
    <t>Hercules Hoists Limited</t>
  </si>
  <si>
    <t>INE688E01024</t>
  </si>
  <si>
    <t>Heritage Foods Limited</t>
  </si>
  <si>
    <t>INE978A01027</t>
  </si>
  <si>
    <t>Hero MotoCorp Limited</t>
  </si>
  <si>
    <t>INE158A01026</t>
  </si>
  <si>
    <t>Hester Biosciences Limited</t>
  </si>
  <si>
    <t>INE782E01017</t>
  </si>
  <si>
    <t>Heubach Colorants India Limited</t>
  </si>
  <si>
    <t>INE492A01029</t>
  </si>
  <si>
    <t>Hexa Tradex Limited</t>
  </si>
  <si>
    <t>INE750M01017</t>
  </si>
  <si>
    <t>HEXT</t>
  </si>
  <si>
    <t>Hexaware Technologies Limited</t>
  </si>
  <si>
    <t>INE093A01041</t>
  </si>
  <si>
    <t>HFCL Limited</t>
  </si>
  <si>
    <t>INE548A01028</t>
  </si>
  <si>
    <t>H.G. Infra Engineering Limited</t>
  </si>
  <si>
    <t>INE926X01010</t>
  </si>
  <si>
    <t>HGM</t>
  </si>
  <si>
    <t>HandsOn Global Management (HGM) Limited</t>
  </si>
  <si>
    <t>INE596H01014</t>
  </si>
  <si>
    <t>Hinduja Global Solutions Limited</t>
  </si>
  <si>
    <t>INE170I01016</t>
  </si>
  <si>
    <t>Hikal Limited</t>
  </si>
  <si>
    <t>INE475B01022</t>
  </si>
  <si>
    <t>HILINFRA</t>
  </si>
  <si>
    <t>Highway Infrastructure Limited</t>
  </si>
  <si>
    <t>INE00RL01028</t>
  </si>
  <si>
    <t>HILTON</t>
  </si>
  <si>
    <t>Hilton Metal Forging Limited</t>
  </si>
  <si>
    <t>INE788H01017</t>
  </si>
  <si>
    <t>Himatsingka Seide Limited</t>
  </si>
  <si>
    <t>INE049A01027</t>
  </si>
  <si>
    <t>Hindalco Industries Limited</t>
  </si>
  <si>
    <t>INE038A01020</t>
  </si>
  <si>
    <t>Hindustan Composites Limited</t>
  </si>
  <si>
    <t>INE310C01029</t>
  </si>
  <si>
    <t>HINDCON</t>
  </si>
  <si>
    <t>Hindcon Chemicals Limited</t>
  </si>
  <si>
    <t>INE642Y01029</t>
  </si>
  <si>
    <t>Hindustan Copper Limited</t>
  </si>
  <si>
    <t>INE531E01026</t>
  </si>
  <si>
    <t>Hindustan Motors Limited</t>
  </si>
  <si>
    <t>INE253A01025</t>
  </si>
  <si>
    <t>Hindustan Oil Exploration Company Limited</t>
  </si>
  <si>
    <t>INE345A01011</t>
  </si>
  <si>
    <t>Hindustan Petroleum Corporation Limited</t>
  </si>
  <si>
    <t>INE094A01015</t>
  </si>
  <si>
    <t>Hindustan Unilever Limited</t>
  </si>
  <si>
    <t>INE030A01027</t>
  </si>
  <si>
    <t>Hindware Home Innovation Limited</t>
  </si>
  <si>
    <t>INE05AN01011</t>
  </si>
  <si>
    <t>Hindustan Zinc Limited</t>
  </si>
  <si>
    <t>INE267A01025</t>
  </si>
  <si>
    <t>Hind Rectifiers Limited</t>
  </si>
  <si>
    <t>INE835D01023</t>
  </si>
  <si>
    <t>HISARMETAL</t>
  </si>
  <si>
    <t>Hisar Metal Industries Limited</t>
  </si>
  <si>
    <t>INE598C01011</t>
  </si>
  <si>
    <t>Hi-Tech Pipes Limited</t>
  </si>
  <si>
    <t>INE106T01025</t>
  </si>
  <si>
    <t>HITECHCORP</t>
  </si>
  <si>
    <t>Hitech Corporation Limited</t>
  </si>
  <si>
    <t>INE120D01012</t>
  </si>
  <si>
    <t>The Hi-Tech Gears Limited</t>
  </si>
  <si>
    <t>INE127B01011</t>
  </si>
  <si>
    <t>HLE Glascoat Limited</t>
  </si>
  <si>
    <t>INE461D01028</t>
  </si>
  <si>
    <t>HLV LIMITED</t>
  </si>
  <si>
    <t>INE102A01024</t>
  </si>
  <si>
    <t>HMA Agro Industries Limited</t>
  </si>
  <si>
    <t>INE0ECP01024</t>
  </si>
  <si>
    <t>HMT Limited</t>
  </si>
  <si>
    <t>INE262A01018</t>
  </si>
  <si>
    <t>Hindustan Media Ventures Limited</t>
  </si>
  <si>
    <t>INE871K01015</t>
  </si>
  <si>
    <t>Hindustan Foods Limited</t>
  </si>
  <si>
    <t>INE254N01026</t>
  </si>
  <si>
    <t>Home First Finance Company India Limited</t>
  </si>
  <si>
    <t>INE481N01025</t>
  </si>
  <si>
    <t>Honasa Consumer Limited</t>
  </si>
  <si>
    <t>INE0J5401028</t>
  </si>
  <si>
    <t>Honeywell Automation India Limited</t>
  </si>
  <si>
    <t>INE671A01010</t>
  </si>
  <si>
    <t>Honda India Power Products Limited</t>
  </si>
  <si>
    <t>INE634A01018</t>
  </si>
  <si>
    <t>HP Adhesives Limited</t>
  </si>
  <si>
    <t>INE0GSL01024</t>
  </si>
  <si>
    <t>HPIL</t>
  </si>
  <si>
    <t>Hindprakash Industries Limited</t>
  </si>
  <si>
    <t>INE05X901010</t>
  </si>
  <si>
    <t>HPL Electric &amp; Power Limited</t>
  </si>
  <si>
    <t>INE495S01016</t>
  </si>
  <si>
    <t>Himadri Speciality Chemical Limited</t>
  </si>
  <si>
    <t>INE019C01026</t>
  </si>
  <si>
    <t>HT Media Limited</t>
  </si>
  <si>
    <t>INE501G01024</t>
  </si>
  <si>
    <t>Hubtown Limited</t>
  </si>
  <si>
    <t>INE703H01016</t>
  </si>
  <si>
    <t>Housing &amp; Urban Development Corporation Limited</t>
  </si>
  <si>
    <t>INE031A01017</t>
  </si>
  <si>
    <t>Huhtamaki India Limited</t>
  </si>
  <si>
    <t>INE275B01026</t>
  </si>
  <si>
    <t>HYBRIDFIN</t>
  </si>
  <si>
    <t>Hybrid Financial Services Limited</t>
  </si>
  <si>
    <t>INE965B01022</t>
  </si>
  <si>
    <t>Hyundai Motor India Limited</t>
  </si>
  <si>
    <t>INE0V6F01027</t>
  </si>
  <si>
    <t>ICDSLTD</t>
  </si>
  <si>
    <t>ICDS Limited</t>
  </si>
  <si>
    <t>INE613B01010</t>
  </si>
  <si>
    <t>Ice Make Refrigeration Limited</t>
  </si>
  <si>
    <t>INE520Y01019</t>
  </si>
  <si>
    <t>ICICI Bank Limited</t>
  </si>
  <si>
    <t>INE090A01021</t>
  </si>
  <si>
    <t>ICICI Lombard General Insurance Company Limited</t>
  </si>
  <si>
    <t>INE765G01017</t>
  </si>
  <si>
    <t>ICICI Prudential Life Insurance Company Limited</t>
  </si>
  <si>
    <t>INE726G01019</t>
  </si>
  <si>
    <t>Indo Count Industries Limited</t>
  </si>
  <si>
    <t>INE483B01026</t>
  </si>
  <si>
    <t>ICRA Limited</t>
  </si>
  <si>
    <t>INE725G01011</t>
  </si>
  <si>
    <t>IDBI Bank Limited</t>
  </si>
  <si>
    <t>INE008A01015</t>
  </si>
  <si>
    <t>Vodafone Idea Limited</t>
  </si>
  <si>
    <t>INE669E01016</t>
  </si>
  <si>
    <t>Ideaforge Technology Limited</t>
  </si>
  <si>
    <t>INE349Y01013</t>
  </si>
  <si>
    <t>IDFC First Bank Limited</t>
  </si>
  <si>
    <t>INE092T01019</t>
  </si>
  <si>
    <t>IEL</t>
  </si>
  <si>
    <t>Indiabulls Enterprises Limited</t>
  </si>
  <si>
    <t>INE059901020</t>
  </si>
  <si>
    <t>Indian Energy Exchange Limited</t>
  </si>
  <si>
    <t>INE022Q01020</t>
  </si>
  <si>
    <t>IFB Agro Industries Limited</t>
  </si>
  <si>
    <t>INE076C01018</t>
  </si>
  <si>
    <t>IFB Industries Limited</t>
  </si>
  <si>
    <t>INE559A01017</t>
  </si>
  <si>
    <t>IFCI Limited</t>
  </si>
  <si>
    <t>INE039A01010</t>
  </si>
  <si>
    <t>IFGL Refractories Limited</t>
  </si>
  <si>
    <t>INE133Y01011</t>
  </si>
  <si>
    <t>Igarashi Motors India Limited</t>
  </si>
  <si>
    <t>INE188B01013</t>
  </si>
  <si>
    <t>IGCL</t>
  </si>
  <si>
    <t>Indogulf Cropsciences Limited</t>
  </si>
  <si>
    <t>INE05J901018</t>
  </si>
  <si>
    <t>IGIL</t>
  </si>
  <si>
    <t>International Gemmological Institute (India) Limited</t>
  </si>
  <si>
    <t>INE0Q9301021</t>
  </si>
  <si>
    <t>Indraprastha Gas Limited</t>
  </si>
  <si>
    <t>INE203G01027</t>
  </si>
  <si>
    <t>IG Petrochemicals Limited</t>
  </si>
  <si>
    <t>INE204A01010</t>
  </si>
  <si>
    <t>IIFL Finance Limited</t>
  </si>
  <si>
    <t>INE530B01024</t>
  </si>
  <si>
    <t>IIFLCAPS</t>
  </si>
  <si>
    <t>IIFL Capital Services Limited</t>
  </si>
  <si>
    <t>INE489L01022</t>
  </si>
  <si>
    <t>IITL</t>
  </si>
  <si>
    <t>Industrial Investment Trust Limited</t>
  </si>
  <si>
    <t>INE886A01014</t>
  </si>
  <si>
    <t>IKIO Technologies Limited</t>
  </si>
  <si>
    <t>INE0LOJ01019</t>
  </si>
  <si>
    <t>IKS</t>
  </si>
  <si>
    <t>Inventurus Knowledge Solutions Limited</t>
  </si>
  <si>
    <t>INE115Q01022</t>
  </si>
  <si>
    <t>IL&amp;FSENGG</t>
  </si>
  <si>
    <t>IL&amp;FS Engineering and Construction Company Limited</t>
  </si>
  <si>
    <t>INE369I01014</t>
  </si>
  <si>
    <t>IL&amp;FSTRANS</t>
  </si>
  <si>
    <t>IL&amp;FS Transportation Networks Limited</t>
  </si>
  <si>
    <t>INE975G01012</t>
  </si>
  <si>
    <t>Imagicaaworld Entertainment Limited</t>
  </si>
  <si>
    <t>INE172N01012</t>
  </si>
  <si>
    <t>Indian Metals &amp; Ferro Alloys Limited</t>
  </si>
  <si>
    <t>INE919H01018</t>
  </si>
  <si>
    <t>India Motor Parts and Accessories Limited</t>
  </si>
  <si>
    <t>INE547E01014</t>
  </si>
  <si>
    <t>IMPEXFERRO</t>
  </si>
  <si>
    <t>Impex Ferro Tech Limited</t>
  </si>
  <si>
    <t>INE691G01015</t>
  </si>
  <si>
    <t>INCREDIBLE</t>
  </si>
  <si>
    <t>INCREDIBLE INDUSTRIES LIMITED</t>
  </si>
  <si>
    <t>INE452L01012</t>
  </si>
  <si>
    <t>INDBANK</t>
  </si>
  <si>
    <t>Indbank Merchant Banking Services Limited</t>
  </si>
  <si>
    <t>INE841B01017</t>
  </si>
  <si>
    <t>Indegene Limited</t>
  </si>
  <si>
    <t>INE065X01017</t>
  </si>
  <si>
    <t>The Indian Hotels Company Limited</t>
  </si>
  <si>
    <t>INE053A01029</t>
  </si>
  <si>
    <t>The India Cements Limited</t>
  </si>
  <si>
    <t>INE383A01012</t>
  </si>
  <si>
    <t>India Glycols Limited</t>
  </si>
  <si>
    <t>INE560A01023</t>
  </si>
  <si>
    <t>Indiamart Intermesh Limited</t>
  </si>
  <si>
    <t>INE933S01016</t>
  </si>
  <si>
    <t>Indian Bank</t>
  </si>
  <si>
    <t>INE562A01011</t>
  </si>
  <si>
    <t>INDIANCARD</t>
  </si>
  <si>
    <t>Indian Card Clothing Company Limited</t>
  </si>
  <si>
    <t>INE061A01014</t>
  </si>
  <si>
    <t>Indian Hume Pipe Company Limited</t>
  </si>
  <si>
    <t>INE323C01030</t>
  </si>
  <si>
    <t>India Shelter Finance Corporation Limited</t>
  </si>
  <si>
    <t>INE922K01024</t>
  </si>
  <si>
    <t>InterGlobe Aviation Limited</t>
  </si>
  <si>
    <t>INE646L01027</t>
  </si>
  <si>
    <t>Indigo Paints Limited</t>
  </si>
  <si>
    <t>INE09VQ01012</t>
  </si>
  <si>
    <t>INDIQUBE</t>
  </si>
  <si>
    <t>Indiqube Spaces Limited</t>
  </si>
  <si>
    <t>INE06ST01018</t>
  </si>
  <si>
    <t>India Nippon Electricals Limited</t>
  </si>
  <si>
    <t>INE092B01025</t>
  </si>
  <si>
    <t>Indo Amines Limited</t>
  </si>
  <si>
    <t>INE760F01028</t>
  </si>
  <si>
    <t>Indo Borax &amp; Chemicals Limited</t>
  </si>
  <si>
    <t>INE803D01021</t>
  </si>
  <si>
    <t>Indoco Remedies Limited</t>
  </si>
  <si>
    <t>INE873D01024</t>
  </si>
  <si>
    <t>INDOFARM</t>
  </si>
  <si>
    <t>Indo Farm Equipment Limited</t>
  </si>
  <si>
    <t>INE622H01018</t>
  </si>
  <si>
    <t>Indo Rama Synthetics (India) Limited</t>
  </si>
  <si>
    <t>INE156A01020</t>
  </si>
  <si>
    <t>IndoStar Capital Finance Limited</t>
  </si>
  <si>
    <t>INE896L01010</t>
  </si>
  <si>
    <t>Indo Tech Transformers Limited</t>
  </si>
  <si>
    <t>INE332H01014</t>
  </si>
  <si>
    <t>INDOTHAI</t>
  </si>
  <si>
    <t>Indo Thai Securities Limited</t>
  </si>
  <si>
    <t>INE337M01021</t>
  </si>
  <si>
    <t>Indo Us Biotech Limited</t>
  </si>
  <si>
    <t>INE250Z01010</t>
  </si>
  <si>
    <t>INDOWIND</t>
  </si>
  <si>
    <t>Indowind Energy Limited</t>
  </si>
  <si>
    <t>INE227G01018</t>
  </si>
  <si>
    <t>Indraprastha Medical Corporation Limited</t>
  </si>
  <si>
    <t>INE681B01017</t>
  </si>
  <si>
    <t>Ind-Swift Laboratories Limited</t>
  </si>
  <si>
    <t>INE915B01019</t>
  </si>
  <si>
    <t>INDTERRAIN</t>
  </si>
  <si>
    <t>Indian Terrain Fashions Limited</t>
  </si>
  <si>
    <t>INE611L01021</t>
  </si>
  <si>
    <t>IndusInd Bank Limited</t>
  </si>
  <si>
    <t>INE095A01012</t>
  </si>
  <si>
    <t>Indus Towers Limited</t>
  </si>
  <si>
    <t>INE121J01017</t>
  </si>
  <si>
    <t>Infibeam Avenues Limited</t>
  </si>
  <si>
    <t>INE483S01020</t>
  </si>
  <si>
    <t>InfoBeans Technologies Limited</t>
  </si>
  <si>
    <t>INE344S01016</t>
  </si>
  <si>
    <t>Infosys Limited</t>
  </si>
  <si>
    <t>INE009A01021</t>
  </si>
  <si>
    <t>Ingersoll Rand (India) Limited</t>
  </si>
  <si>
    <t>INE177A01018</t>
  </si>
  <si>
    <t>Innova Captab Limited</t>
  </si>
  <si>
    <t>INE0DUT01020</t>
  </si>
  <si>
    <t>Innovana Thinklabs Limited</t>
  </si>
  <si>
    <t>INE403Y01018</t>
  </si>
  <si>
    <t>Inox Green Energy Services Limited</t>
  </si>
  <si>
    <t>INE510W01014</t>
  </si>
  <si>
    <t>INOX India Limited</t>
  </si>
  <si>
    <t>INE616N01034</t>
  </si>
  <si>
    <t>Inox Wind Limited</t>
  </si>
  <si>
    <t>INE066P01011</t>
  </si>
  <si>
    <t>Insecticides (India) Limited</t>
  </si>
  <si>
    <t>INE070I01018</t>
  </si>
  <si>
    <t>INSPIRISYS</t>
  </si>
  <si>
    <t>Inspirisys Solutions Limited</t>
  </si>
  <si>
    <t>INE020G01017</t>
  </si>
  <si>
    <t>Intellect Design Arena Limited</t>
  </si>
  <si>
    <t>INE306R01017</t>
  </si>
  <si>
    <t>INTENTECH</t>
  </si>
  <si>
    <t>Intense Technologies Limited</t>
  </si>
  <si>
    <t>INE781A01025</t>
  </si>
  <si>
    <t>INTERARCH</t>
  </si>
  <si>
    <t>Interarch Building Solutions Limited</t>
  </si>
  <si>
    <t>INE00M901018</t>
  </si>
  <si>
    <t>International Conveyors Limited</t>
  </si>
  <si>
    <t>INE575C01027</t>
  </si>
  <si>
    <t>INVENTURE</t>
  </si>
  <si>
    <t>Inventure Growth &amp; Securities Limited</t>
  </si>
  <si>
    <t>INE878H01024</t>
  </si>
  <si>
    <t>Indian Overseas Bank</t>
  </si>
  <si>
    <t>INE565A01014</t>
  </si>
  <si>
    <t>Indian Oil Corporation Limited</t>
  </si>
  <si>
    <t>INE242A01010</t>
  </si>
  <si>
    <t>IOL Chemicals and Pharmaceuticals Limited</t>
  </si>
  <si>
    <t>INE485C01029</t>
  </si>
  <si>
    <t>ION Exchange (India) Limited</t>
  </si>
  <si>
    <t>INE570A01022</t>
  </si>
  <si>
    <t>IPCA Laboratories Limited</t>
  </si>
  <si>
    <t>INE571A01038</t>
  </si>
  <si>
    <t>India Pesticides Limited</t>
  </si>
  <si>
    <t>INE0D6701023</t>
  </si>
  <si>
    <t>IRB Infrastructure Developers Limited</t>
  </si>
  <si>
    <t>INE821I01022</t>
  </si>
  <si>
    <t>Ircon International Limited</t>
  </si>
  <si>
    <t>INE962Y01021</t>
  </si>
  <si>
    <t>Indian Railway Catering And Tourism Corporation Limited</t>
  </si>
  <si>
    <t>INE335Y01020</t>
  </si>
  <si>
    <t>Indian Renewable Energy Development Agency Limited</t>
  </si>
  <si>
    <t>INE202E01016</t>
  </si>
  <si>
    <t>Indian Railway Finance Corporation Limited</t>
  </si>
  <si>
    <t>INE053F01010</t>
  </si>
  <si>
    <t>IRIS</t>
  </si>
  <si>
    <t>Iris Business Services Limited</t>
  </si>
  <si>
    <t>INE864K01010</t>
  </si>
  <si>
    <t>Iris Clothings Limited</t>
  </si>
  <si>
    <t>INE01GN01025</t>
  </si>
  <si>
    <t>IRM Energy Limited</t>
  </si>
  <si>
    <t>INE07U701015</t>
  </si>
  <si>
    <t>ISFT</t>
  </si>
  <si>
    <t>Intrasoft Technologies Limited</t>
  </si>
  <si>
    <t>INE566K01011</t>
  </si>
  <si>
    <t>Isgec Heavy Engineering Limited</t>
  </si>
  <si>
    <t>INE858B01029</t>
  </si>
  <si>
    <t>ISHANCH</t>
  </si>
  <si>
    <t>Ishan Dyes and Chemicals Limited</t>
  </si>
  <si>
    <t>INE561M01018</t>
  </si>
  <si>
    <t>ITC Limited</t>
  </si>
  <si>
    <t>INE154A01025</t>
  </si>
  <si>
    <t>ITC Hotels Limited</t>
  </si>
  <si>
    <t>INE379A01028</t>
  </si>
  <si>
    <t>India Tourism Development Corporation Limited</t>
  </si>
  <si>
    <t>INE353K01014</t>
  </si>
  <si>
    <t>ITD Cementation India Limited</t>
  </si>
  <si>
    <t>INE686A01026</t>
  </si>
  <si>
    <t>ITI Limited</t>
  </si>
  <si>
    <t>INE248A01017</t>
  </si>
  <si>
    <t>IVC</t>
  </si>
  <si>
    <t>IL&amp;FS Investment Managers Limited</t>
  </si>
  <si>
    <t>INE050B01023</t>
  </si>
  <si>
    <t>IVP</t>
  </si>
  <si>
    <t>IVP Limited</t>
  </si>
  <si>
    <t>INE043C01018</t>
  </si>
  <si>
    <t>Le Travenues Technology Limited</t>
  </si>
  <si>
    <t>INE0HV901016</t>
  </si>
  <si>
    <t>IZMO Limited</t>
  </si>
  <si>
    <t>INE848A01014</t>
  </si>
  <si>
    <t>The Jammu &amp; Kashmir Bank Limited</t>
  </si>
  <si>
    <t>INE168A01041</t>
  </si>
  <si>
    <t>Jagran Prakashan Limited</t>
  </si>
  <si>
    <t>INE199G01027</t>
  </si>
  <si>
    <t>Jagsonpal Pharmaceuticals Limited</t>
  </si>
  <si>
    <t>INE048B01035</t>
  </si>
  <si>
    <t>Jai Balaji Industries Limited</t>
  </si>
  <si>
    <t>INE091G01026</t>
  </si>
  <si>
    <t>Jai Corp Limited</t>
  </si>
  <si>
    <t>INE070D01027</t>
  </si>
  <si>
    <t>JAIPURKURT</t>
  </si>
  <si>
    <t>Nandani Creation Limited</t>
  </si>
  <si>
    <t>INE696V01013</t>
  </si>
  <si>
    <t>Jamna Auto Industries Limited</t>
  </si>
  <si>
    <t>INE039C01032</t>
  </si>
  <si>
    <t>Jash Engineering Limited</t>
  </si>
  <si>
    <t>INE039O01029</t>
  </si>
  <si>
    <t>Jayant Agro Organics Limited</t>
  </si>
  <si>
    <t>INE785A01026</t>
  </si>
  <si>
    <t>Jay Bharat Maruti Limited</t>
  </si>
  <si>
    <t>INE571B01036</t>
  </si>
  <si>
    <t>Jayaswal Neco Industries Limited</t>
  </si>
  <si>
    <t>INE854B01010</t>
  </si>
  <si>
    <t>JAYSREETEA</t>
  </si>
  <si>
    <t>Jayshree Tea &amp; Industries Limited</t>
  </si>
  <si>
    <t>INE364A01020</t>
  </si>
  <si>
    <t>JB Chemicals &amp; Pharmaceuticals Limited</t>
  </si>
  <si>
    <t>INE572A01036</t>
  </si>
  <si>
    <t>JBM Auto Limited</t>
  </si>
  <si>
    <t>INE927D01051</t>
  </si>
  <si>
    <t>Johnson Controls - Hitachi Air Conditioning India Limited</t>
  </si>
  <si>
    <t>INE782A01015</t>
  </si>
  <si>
    <t>JETFREIGHT</t>
  </si>
  <si>
    <t>Jet Freight Logistics Limited</t>
  </si>
  <si>
    <t>INE982V01025</t>
  </si>
  <si>
    <t>J.G.Chemicals Limited</t>
  </si>
  <si>
    <t>INE0MB501011</t>
  </si>
  <si>
    <t>JHS</t>
  </si>
  <si>
    <t>JHS Svendgaard Laboratories Limited</t>
  </si>
  <si>
    <t>INE544H01014</t>
  </si>
  <si>
    <t>Jindal Photo Limited</t>
  </si>
  <si>
    <t>INE796G01012</t>
  </si>
  <si>
    <t>Jindal Poly Films Limited</t>
  </si>
  <si>
    <t>INE197D01010</t>
  </si>
  <si>
    <t>Jindal Saw Limited</t>
  </si>
  <si>
    <t>INE324A01032</t>
  </si>
  <si>
    <t>JINDAL STEEL LIMITED</t>
  </si>
  <si>
    <t>INE749A01030</t>
  </si>
  <si>
    <t>Jindal Drilling And Industries Limited</t>
  </si>
  <si>
    <t>INE742C01031</t>
  </si>
  <si>
    <t>Jindal Worldwide Limited</t>
  </si>
  <si>
    <t>INE247D01039</t>
  </si>
  <si>
    <t>Jio Financial Services Limited</t>
  </si>
  <si>
    <t>INE758E01017</t>
  </si>
  <si>
    <t>JISLDVREQS</t>
  </si>
  <si>
    <t>Jain Irrigation Systems Limited</t>
  </si>
  <si>
    <t>IN9175A01010</t>
  </si>
  <si>
    <t>INE175A01038</t>
  </si>
  <si>
    <t>JITF Infralogistics Limited</t>
  </si>
  <si>
    <t>INE863T01013</t>
  </si>
  <si>
    <t>JK Cement Limited</t>
  </si>
  <si>
    <t>INE823G01014</t>
  </si>
  <si>
    <t>J.Kumar Infraprojects Limited</t>
  </si>
  <si>
    <t>INE576I01022</t>
  </si>
  <si>
    <t>JK Lakshmi Cement Limited</t>
  </si>
  <si>
    <t>INE786A01032</t>
  </si>
  <si>
    <t>JK Paper Limited</t>
  </si>
  <si>
    <t>INE789E01012</t>
  </si>
  <si>
    <t>JK Tyre &amp; Industries Limited</t>
  </si>
  <si>
    <t>INE573A01042</t>
  </si>
  <si>
    <t>Jupiter Life Line Hospitals Limited</t>
  </si>
  <si>
    <t>INE682M01012</t>
  </si>
  <si>
    <t>JMA</t>
  </si>
  <si>
    <t>Jullundur Motor Agency (Delhi) Limited</t>
  </si>
  <si>
    <t>INE412C01023</t>
  </si>
  <si>
    <t>JM Financial Limited</t>
  </si>
  <si>
    <t>INE780C01023</t>
  </si>
  <si>
    <t>JNK India Limited</t>
  </si>
  <si>
    <t>INE0OAF01028</t>
  </si>
  <si>
    <t>JOCIL</t>
  </si>
  <si>
    <t>Jocil Limited</t>
  </si>
  <si>
    <t>INE839G01010</t>
  </si>
  <si>
    <t>Jindal Poly Investment and Finance Company Limited</t>
  </si>
  <si>
    <t>INE147P01019</t>
  </si>
  <si>
    <t>Jaiprakash Power Ventures Limited</t>
  </si>
  <si>
    <t>INE351F01018</t>
  </si>
  <si>
    <t>Jana Small Finance Bank Limited</t>
  </si>
  <si>
    <t>INE953L01027</t>
  </si>
  <si>
    <t>Jindal Stainless Limited</t>
  </si>
  <si>
    <t>INE220G01021</t>
  </si>
  <si>
    <t>Jeena Sikho Lifecare Limited</t>
  </si>
  <si>
    <t>INE0J5801029</t>
  </si>
  <si>
    <t>JSWCEMENT</t>
  </si>
  <si>
    <t>JSW Cement Limited</t>
  </si>
  <si>
    <t>INE718I01012</t>
  </si>
  <si>
    <t>JSW Energy Limited</t>
  </si>
  <si>
    <t>INE121E01018</t>
  </si>
  <si>
    <t>JSW Holdings Limited</t>
  </si>
  <si>
    <t>INE824G01012</t>
  </si>
  <si>
    <t>JSW Infrastructure Limited</t>
  </si>
  <si>
    <t>INE880J01026</t>
  </si>
  <si>
    <t>JSW Steel Limited</t>
  </si>
  <si>
    <t>INE019A01038</t>
  </si>
  <si>
    <t>Jtekt India Limited</t>
  </si>
  <si>
    <t>INE643A01035</t>
  </si>
  <si>
    <t>JTL INDUSTRIES LIMITED</t>
  </si>
  <si>
    <t>INE391J01032</t>
  </si>
  <si>
    <t>JUBLCPL</t>
  </si>
  <si>
    <t>Jubilant Agri and Consumer Products Limited</t>
  </si>
  <si>
    <t>INE03CC01015</t>
  </si>
  <si>
    <t>Jubilant Foodworks Limited</t>
  </si>
  <si>
    <t>INE797F01020</t>
  </si>
  <si>
    <t>Jubilant Ingrevia Limited</t>
  </si>
  <si>
    <t>INE0BY001018</t>
  </si>
  <si>
    <t>Jubilant Pharmova Limited</t>
  </si>
  <si>
    <t>INE700A01033</t>
  </si>
  <si>
    <t>Juniper Hotels Limited</t>
  </si>
  <si>
    <t>INE696F01016</t>
  </si>
  <si>
    <t>Just Dial Limited</t>
  </si>
  <si>
    <t>INE599M01018</t>
  </si>
  <si>
    <t>Jupiter Wagons Limited</t>
  </si>
  <si>
    <t>INE209L01016</t>
  </si>
  <si>
    <t>Jyothy Labs Limited</t>
  </si>
  <si>
    <t>INE668F01031</t>
  </si>
  <si>
    <t>Jyoti CNC Automation Limited</t>
  </si>
  <si>
    <t>INE980O01024</t>
  </si>
  <si>
    <t>Jyoti Structures Limited</t>
  </si>
  <si>
    <t>INE197A01024</t>
  </si>
  <si>
    <t>Kabra Extrusion Technik Limited</t>
  </si>
  <si>
    <t>INE900B01029</t>
  </si>
  <si>
    <t>Kajaria Ceramics Limited</t>
  </si>
  <si>
    <t>INE217B01036</t>
  </si>
  <si>
    <t>KAKATCEM</t>
  </si>
  <si>
    <t>Kakatiya Cement Sugar &amp; Industries Limited</t>
  </si>
  <si>
    <t>INE437B01014</t>
  </si>
  <si>
    <t>Sai Silks (Kalamandir) Limited</t>
  </si>
  <si>
    <t>INE438K01021</t>
  </si>
  <si>
    <t>KALPATARU</t>
  </si>
  <si>
    <t>Kalpataru Limited</t>
  </si>
  <si>
    <t>INE227J01012</t>
  </si>
  <si>
    <t>KALYANI</t>
  </si>
  <si>
    <t>Kalyani Commercials Limited</t>
  </si>
  <si>
    <t>INE610E01010</t>
  </si>
  <si>
    <t>KALYANIFRG</t>
  </si>
  <si>
    <t>Kalyani Forge Limited</t>
  </si>
  <si>
    <t>INE314G01014</t>
  </si>
  <si>
    <t>Kalyan Jewellers India Limited</t>
  </si>
  <si>
    <t>INE303R01014</t>
  </si>
  <si>
    <t>Kamat Hotels (I) Limited</t>
  </si>
  <si>
    <t>INE967C01018</t>
  </si>
  <si>
    <t>Kamdhenu Limited</t>
  </si>
  <si>
    <t>INE390H01020</t>
  </si>
  <si>
    <t>Kamdhenu Ventures Limited</t>
  </si>
  <si>
    <t>INE0BTI01037</t>
  </si>
  <si>
    <t>KANANIIND</t>
  </si>
  <si>
    <t>Kanani Industries Limited</t>
  </si>
  <si>
    <t>INE879E01037</t>
  </si>
  <si>
    <t>Kanoria Chemicals &amp; Industries Limited</t>
  </si>
  <si>
    <t>INE138C01024</t>
  </si>
  <si>
    <t>KANPRPLA</t>
  </si>
  <si>
    <t>Kanpur Plastipack Limited</t>
  </si>
  <si>
    <t>INE694E01014</t>
  </si>
  <si>
    <t>Kansai Nerolac Paints Limited</t>
  </si>
  <si>
    <t>INE531A01024</t>
  </si>
  <si>
    <t>KAPSTON</t>
  </si>
  <si>
    <t>Kapston Services Limited</t>
  </si>
  <si>
    <t>INE542Z01028</t>
  </si>
  <si>
    <t>KARMAENG</t>
  </si>
  <si>
    <t>Karma Energy Limited</t>
  </si>
  <si>
    <t>INE725L01011</t>
  </si>
  <si>
    <t>Karur Vysya Bank Limited</t>
  </si>
  <si>
    <t>INE036D01028</t>
  </si>
  <si>
    <t>KAUSHALYA</t>
  </si>
  <si>
    <t>Kaushalya Infrastructure Development Corporation Limited</t>
  </si>
  <si>
    <t>INE234I01028</t>
  </si>
  <si>
    <t>KAVDEFENCE</t>
  </si>
  <si>
    <t>Kavveri Defence &amp; Wireless Technologies Limited</t>
  </si>
  <si>
    <t>INE641C01019</t>
  </si>
  <si>
    <t>Kaya Limited</t>
  </si>
  <si>
    <t>INE587G01015</t>
  </si>
  <si>
    <t>Kaynes Technology India Limited</t>
  </si>
  <si>
    <t>INE918Z01012</t>
  </si>
  <si>
    <t>KCP Limited</t>
  </si>
  <si>
    <t>INE805C01028</t>
  </si>
  <si>
    <t>KCP Sugar and Industries Corporation Limited</t>
  </si>
  <si>
    <t>INE790B01024</t>
  </si>
  <si>
    <t>KDDL Limited</t>
  </si>
  <si>
    <t>INE291D01011</t>
  </si>
  <si>
    <t>KEC International Limited</t>
  </si>
  <si>
    <t>INE389H01022</t>
  </si>
  <si>
    <t>Kirloskar Electric Company Limited</t>
  </si>
  <si>
    <t>INE134B01017</t>
  </si>
  <si>
    <t>KEEPLEARN</t>
  </si>
  <si>
    <t>DSJ Keep Learning Limited</t>
  </si>
  <si>
    <t>INE055C01020</t>
  </si>
  <si>
    <t>KEI Industries Limited</t>
  </si>
  <si>
    <t>INE878B01027</t>
  </si>
  <si>
    <t>Kellton Tech Solutions Limited</t>
  </si>
  <si>
    <t>INE164B01030</t>
  </si>
  <si>
    <t>Kernex Microsystems (India) Limited</t>
  </si>
  <si>
    <t>INE202H01019</t>
  </si>
  <si>
    <t>Kesoram Industries Limited</t>
  </si>
  <si>
    <t>INE087A01019</t>
  </si>
  <si>
    <t>KEYFINSERV</t>
  </si>
  <si>
    <t>Keynote Financial Services Limited</t>
  </si>
  <si>
    <t>INE681C01015</t>
  </si>
  <si>
    <t>Kfin Technologies Limited</t>
  </si>
  <si>
    <t>INE138Y01010</t>
  </si>
  <si>
    <t>Khadim India Limited</t>
  </si>
  <si>
    <t>INE834I01025</t>
  </si>
  <si>
    <t>Khaitan Chemicals &amp; Fertilizers Limited</t>
  </si>
  <si>
    <t>INE745B01028</t>
  </si>
  <si>
    <t>KHAITANLTD</t>
  </si>
  <si>
    <t>Khaitan (India) Limited</t>
  </si>
  <si>
    <t>INE731C01018</t>
  </si>
  <si>
    <t>KHANDSE</t>
  </si>
  <si>
    <t>Khandwala Securities Limited</t>
  </si>
  <si>
    <t>INE060B01014</t>
  </si>
  <si>
    <t>Kalyani Investment Company Limited</t>
  </si>
  <si>
    <t>INE029L01018</t>
  </si>
  <si>
    <t>Kilitch Drugs (India) Limited</t>
  </si>
  <si>
    <t>INE729D01010</t>
  </si>
  <si>
    <t>Krishna Institute of Medical Sciences Limited</t>
  </si>
  <si>
    <t>INE967H01025</t>
  </si>
  <si>
    <t>Kingfa Science &amp; Technology (India) Limited</t>
  </si>
  <si>
    <t>INE473D01015</t>
  </si>
  <si>
    <t>KIOCL Limited</t>
  </si>
  <si>
    <t>INE880L01014</t>
  </si>
  <si>
    <t>Kiri Industries Limited</t>
  </si>
  <si>
    <t>INE415I01015</t>
  </si>
  <si>
    <t>Kirloskar Brothers Limited</t>
  </si>
  <si>
    <t>INE732A01036</t>
  </si>
  <si>
    <t>Kirloskar Oil Engines Limited</t>
  </si>
  <si>
    <t>INE146L01010</t>
  </si>
  <si>
    <t>Kirloskar Industries Limited</t>
  </si>
  <si>
    <t>INE250A01039</t>
  </si>
  <si>
    <t>Kirloskar Pneumatic Company Limited</t>
  </si>
  <si>
    <t>INE811A01020</t>
  </si>
  <si>
    <t>Kitex Garments Limited</t>
  </si>
  <si>
    <t>INE602G01020</t>
  </si>
  <si>
    <t>Kewal Kiran Clothing Limited</t>
  </si>
  <si>
    <t>INE401H01017</t>
  </si>
  <si>
    <t>KMEW</t>
  </si>
  <si>
    <t>Knowledge Marine &amp; Engineering Works Limited</t>
  </si>
  <si>
    <t>INE0CJD01011</t>
  </si>
  <si>
    <t>KMSUGAR</t>
  </si>
  <si>
    <t>K.M.Sugar Mills Limited</t>
  </si>
  <si>
    <t>INE157H01023</t>
  </si>
  <si>
    <t>KNR Constructions Limited</t>
  </si>
  <si>
    <t>INE634I01029</t>
  </si>
  <si>
    <t>KOHINOOR</t>
  </si>
  <si>
    <t>Kohinoor Foods Limited</t>
  </si>
  <si>
    <t>INE080B01012</t>
  </si>
  <si>
    <t>Kokuyo Camlin Limited</t>
  </si>
  <si>
    <t>INE760A01029</t>
  </si>
  <si>
    <t>Kolte - Patil Developers Limited</t>
  </si>
  <si>
    <t>INE094I01018</t>
  </si>
  <si>
    <t>Kopran Limited</t>
  </si>
  <si>
    <t>INE082A01010</t>
  </si>
  <si>
    <t>Kotak Mahindra Bank Limited</t>
  </si>
  <si>
    <t>INE237A01028</t>
  </si>
  <si>
    <t>KOTARISUG</t>
  </si>
  <si>
    <t>Kothari Sugars And Chemicals Limited</t>
  </si>
  <si>
    <t>INE419A01022</t>
  </si>
  <si>
    <t>Kothari Petrochemicals Limited</t>
  </si>
  <si>
    <t>INE720A01015</t>
  </si>
  <si>
    <t>Kothari Products Limited</t>
  </si>
  <si>
    <t>INE823A01017</t>
  </si>
  <si>
    <t>K.P. Energy Limited</t>
  </si>
  <si>
    <t>INE127T01021</t>
  </si>
  <si>
    <t>KPI Green Energy Limited</t>
  </si>
  <si>
    <t>INE542W01025</t>
  </si>
  <si>
    <t>Kalpataru Projects International Limited</t>
  </si>
  <si>
    <t>INE220B01022</t>
  </si>
  <si>
    <t>KPIT Technologies Limited</t>
  </si>
  <si>
    <t>INE04I401011</t>
  </si>
  <si>
    <t>K.P.R. Mill Limited</t>
  </si>
  <si>
    <t>INE930H01031</t>
  </si>
  <si>
    <t>KRBL Limited</t>
  </si>
  <si>
    <t>INE001B01026</t>
  </si>
  <si>
    <t>KREBSBIO</t>
  </si>
  <si>
    <t>Krebs Biochemicals and Industries Limited</t>
  </si>
  <si>
    <t>INE268B01013</t>
  </si>
  <si>
    <t>KRIDHANINF</t>
  </si>
  <si>
    <t>Kridhan Infra Limited</t>
  </si>
  <si>
    <t>INE524L01026</t>
  </si>
  <si>
    <t>Krishana Phoschem Limited</t>
  </si>
  <si>
    <t>INE506W01012</t>
  </si>
  <si>
    <t>KRISHIVAL</t>
  </si>
  <si>
    <t>Krishival Foods Limited</t>
  </si>
  <si>
    <t>INE0GGO01015</t>
  </si>
  <si>
    <t>Kriti Industries (India) Limited</t>
  </si>
  <si>
    <t>INE479D01038</t>
  </si>
  <si>
    <t>Kritika Wires Limited</t>
  </si>
  <si>
    <t>INE00Z501029</t>
  </si>
  <si>
    <t>Kriti Nutrients Limited</t>
  </si>
  <si>
    <t>INE798K01010</t>
  </si>
  <si>
    <t>KRN</t>
  </si>
  <si>
    <t>KRN Heat Exchanger and Refrigeration Limited</t>
  </si>
  <si>
    <t>INE0Q3J01015</t>
  </si>
  <si>
    <t>Kronox Lab Sciences Limited</t>
  </si>
  <si>
    <t>INE0ATZ01017</t>
  </si>
  <si>
    <t>KROSS</t>
  </si>
  <si>
    <t>Kross Limited</t>
  </si>
  <si>
    <t>INE0O6601022</t>
  </si>
  <si>
    <t>Krsnaa Diagnostics Limited</t>
  </si>
  <si>
    <t>INE08LI01020</t>
  </si>
  <si>
    <t>Krystal Integrated Services Limited</t>
  </si>
  <si>
    <t>INE0QN801017</t>
  </si>
  <si>
    <t>Ksb Limited</t>
  </si>
  <si>
    <t>INE999A01023</t>
  </si>
  <si>
    <t>Kaveri Seed Company Limited</t>
  </si>
  <si>
    <t>INE455I01029</t>
  </si>
  <si>
    <t>KSHITIJPOL</t>
  </si>
  <si>
    <t>Kshitij Polyline Limited</t>
  </si>
  <si>
    <t>INE013801027</t>
  </si>
  <si>
    <t>Kalyani Steels Limited</t>
  </si>
  <si>
    <t>INE907A01026</t>
  </si>
  <si>
    <t>Ksolves India Limited</t>
  </si>
  <si>
    <t>INE0D6I01023</t>
  </si>
  <si>
    <t>The Karnataka Bank Limited</t>
  </si>
  <si>
    <t>INE614B01018</t>
  </si>
  <si>
    <t>Kuantum Papers Limited</t>
  </si>
  <si>
    <t>INE529I01021</t>
  </si>
  <si>
    <t>LAGNAM</t>
  </si>
  <si>
    <t>Lagnam Spintex Limited</t>
  </si>
  <si>
    <t>INE548Z01017</t>
  </si>
  <si>
    <t>LAL</t>
  </si>
  <si>
    <t>Lorenzini Apparels Limited</t>
  </si>
  <si>
    <t>INE740X01023</t>
  </si>
  <si>
    <t>Dr. Lal Path Labs Ltd.</t>
  </si>
  <si>
    <t>INE600L01024</t>
  </si>
  <si>
    <t>LAMBODHARA</t>
  </si>
  <si>
    <t>Lambodhara Textiles Limited</t>
  </si>
  <si>
    <t>INE112F01022</t>
  </si>
  <si>
    <t>LANCORHOL</t>
  </si>
  <si>
    <t>Lancor Holdings Limited</t>
  </si>
  <si>
    <t>INE572G01025</t>
  </si>
  <si>
    <t>Landmark Cars Limited</t>
  </si>
  <si>
    <t>INE559R01029</t>
  </si>
  <si>
    <t>La Opala RG Limited</t>
  </si>
  <si>
    <t>INE059D01020</t>
  </si>
  <si>
    <t>LASA</t>
  </si>
  <si>
    <t>Lasa Supergenerics Limited</t>
  </si>
  <si>
    <t>INE670X01014</t>
  </si>
  <si>
    <t>Latent View Analytics Limited</t>
  </si>
  <si>
    <t>INE0I7C01011</t>
  </si>
  <si>
    <t>LATTEYS</t>
  </si>
  <si>
    <t>Latteys Industries Limited</t>
  </si>
  <si>
    <t>INE262Z01023</t>
  </si>
  <si>
    <t>Laurus Labs Limited</t>
  </si>
  <si>
    <t>INE947Q01028</t>
  </si>
  <si>
    <t>LAXMICOT</t>
  </si>
  <si>
    <t>Laxmi Cotspin Limited</t>
  </si>
  <si>
    <t>INE801V01019</t>
  </si>
  <si>
    <t>LAXMIDENTL</t>
  </si>
  <si>
    <t>Laxmi Dental Limited</t>
  </si>
  <si>
    <t>INE0WO601020</t>
  </si>
  <si>
    <t>LAXMIINDIA</t>
  </si>
  <si>
    <t>Laxmi India Finance Limited</t>
  </si>
  <si>
    <t>INE06WU01026</t>
  </si>
  <si>
    <t>LCCINFOTEC</t>
  </si>
  <si>
    <t>LCC Infotech Limited</t>
  </si>
  <si>
    <t>INE938A01021</t>
  </si>
  <si>
    <t>Lemon Tree Hotels Limited</t>
  </si>
  <si>
    <t>INE970X01018</t>
  </si>
  <si>
    <t>LEXUS</t>
  </si>
  <si>
    <t>Lexus Granito (India) Limited</t>
  </si>
  <si>
    <t>INE500X01013</t>
  </si>
  <si>
    <t>LFIC</t>
  </si>
  <si>
    <t>Lakshmi Finance &amp; Industrial Corporation Limited</t>
  </si>
  <si>
    <t>INE850E01012</t>
  </si>
  <si>
    <t>LG Balakrishnan &amp; Bros Limited</t>
  </si>
  <si>
    <t>INE337A01034</t>
  </si>
  <si>
    <t>Laxmi Goldorna House Limited</t>
  </si>
  <si>
    <t>INE258Y01016</t>
  </si>
  <si>
    <t>LIBAS</t>
  </si>
  <si>
    <t>Libas Consumer Products Limited</t>
  </si>
  <si>
    <t>INE908V01012</t>
  </si>
  <si>
    <t>Liberty Shoes Limited</t>
  </si>
  <si>
    <t>INE557B01019</t>
  </si>
  <si>
    <t>LIC Housing Finance Limited</t>
  </si>
  <si>
    <t>INE115A01026</t>
  </si>
  <si>
    <t>Life Insurance Corporation Of India</t>
  </si>
  <si>
    <t>INE0J1Y01017</t>
  </si>
  <si>
    <t>Likhitha Infrastructure Limited</t>
  </si>
  <si>
    <t>INE060901027</t>
  </si>
  <si>
    <t>Linc Limited</t>
  </si>
  <si>
    <t>INE802B01027</t>
  </si>
  <si>
    <t>Lincoln Pharmaceuticals Limited</t>
  </si>
  <si>
    <t>INE405C01035</t>
  </si>
  <si>
    <t>Linde India Limited</t>
  </si>
  <si>
    <t>INE473A01011</t>
  </si>
  <si>
    <t>LLOYDS ENGINEERING WORKS LIMITED</t>
  </si>
  <si>
    <t>INE093R01011</t>
  </si>
  <si>
    <t>LLOYDSENT</t>
  </si>
  <si>
    <t>Lloyds Enterprises Limited</t>
  </si>
  <si>
    <t>INE080I01025</t>
  </si>
  <si>
    <t>Lloyds Metals And Energy Limited</t>
  </si>
  <si>
    <t>INE281B01032</t>
  </si>
  <si>
    <t>LMW</t>
  </si>
  <si>
    <t>LMW Limited</t>
  </si>
  <si>
    <t>INE269B01029</t>
  </si>
  <si>
    <t>Lodha Developers Limited</t>
  </si>
  <si>
    <t>INE670K01029</t>
  </si>
  <si>
    <t>Lokesh Machines Limited</t>
  </si>
  <si>
    <t>INE397H01017</t>
  </si>
  <si>
    <t>LORDSCHLO</t>
  </si>
  <si>
    <t>Lords Chloro Alkali Limited</t>
  </si>
  <si>
    <t>INE846D01012</t>
  </si>
  <si>
    <t>LOTUSDEV</t>
  </si>
  <si>
    <t>Sri Lotus Developers and Realty Limited</t>
  </si>
  <si>
    <t>INE0V9Q01010</t>
  </si>
  <si>
    <t>LOTUSEYE</t>
  </si>
  <si>
    <t>Lotus Eye Hospital and Institute Limited</t>
  </si>
  <si>
    <t>INE947I01017</t>
  </si>
  <si>
    <t>LOVABLE</t>
  </si>
  <si>
    <t>Lovable Lingerie Limited</t>
  </si>
  <si>
    <t>INE597L01014</t>
  </si>
  <si>
    <t>LOYALTEX</t>
  </si>
  <si>
    <t>Loyal Textile Mills Limited</t>
  </si>
  <si>
    <t>INE970D01010</t>
  </si>
  <si>
    <t>LPDC</t>
  </si>
  <si>
    <t>Landmark Property Development Company Limited</t>
  </si>
  <si>
    <t>INE197J01017</t>
  </si>
  <si>
    <t>Larsen &amp; Toubro Limited</t>
  </si>
  <si>
    <t>INE018A01030</t>
  </si>
  <si>
    <t>L&amp;T Finance Limited</t>
  </si>
  <si>
    <t>INE498L01015</t>
  </si>
  <si>
    <t>LT Foods Limited</t>
  </si>
  <si>
    <t>INE818H01020</t>
  </si>
  <si>
    <t>LTIMindtree Limited</t>
  </si>
  <si>
    <t>INE214T01019</t>
  </si>
  <si>
    <t>L&amp;T Technology Services Limited</t>
  </si>
  <si>
    <t>INE010V01017</t>
  </si>
  <si>
    <t>Lumax Industries Limited</t>
  </si>
  <si>
    <t>INE162B01018</t>
  </si>
  <si>
    <t>Lumax Auto Technologies Limited</t>
  </si>
  <si>
    <t>INE872H01027</t>
  </si>
  <si>
    <t>Lupin Limited</t>
  </si>
  <si>
    <t>INE326A01037</t>
  </si>
  <si>
    <t>Lux Industries Limited</t>
  </si>
  <si>
    <t>INE150G01020</t>
  </si>
  <si>
    <t>Laxmi Organic Industries Limited</t>
  </si>
  <si>
    <t>INE576O01020</t>
  </si>
  <si>
    <t>LYKALABS</t>
  </si>
  <si>
    <t>Lyka Labs Limited</t>
  </si>
  <si>
    <t>INE933A01014</t>
  </si>
  <si>
    <t>LYPSAGEMS</t>
  </si>
  <si>
    <t>Lypsa Gems &amp; Jewellery Limited</t>
  </si>
  <si>
    <t>INE142K01011</t>
  </si>
  <si>
    <t>Mahindra &amp; Mahindra Limited</t>
  </si>
  <si>
    <t>INE101A01026</t>
  </si>
  <si>
    <t>Mahindra &amp; Mahindra Financial Services Limited</t>
  </si>
  <si>
    <t>INE774D01024</t>
  </si>
  <si>
    <t>Maan Aluminium Limited</t>
  </si>
  <si>
    <t>INE215I01027</t>
  </si>
  <si>
    <t>Macpower CNC Machines Limited</t>
  </si>
  <si>
    <t>INE155Z01011</t>
  </si>
  <si>
    <t>MADHAV</t>
  </si>
  <si>
    <t>Madhav Marbles and Granites Limited</t>
  </si>
  <si>
    <t>INE925C01016</t>
  </si>
  <si>
    <t>MADHUCON</t>
  </si>
  <si>
    <t>Madhucon Projects Limited</t>
  </si>
  <si>
    <t>INE378D01032</t>
  </si>
  <si>
    <t>Madras Fertilizers Limited</t>
  </si>
  <si>
    <t>INE414A01015</t>
  </si>
  <si>
    <t>Magadh Sugar &amp; Energy Limited</t>
  </si>
  <si>
    <t>INE347W01011</t>
  </si>
  <si>
    <t>MAGNUM</t>
  </si>
  <si>
    <t>Magnum Ventures Limited</t>
  </si>
  <si>
    <t>INE387I01016</t>
  </si>
  <si>
    <t>Bank of Maharashtra</t>
  </si>
  <si>
    <t>INE457A01014</t>
  </si>
  <si>
    <t>MAHAPEXLTD</t>
  </si>
  <si>
    <t>Maha Rashtra Apex Corporation Limited</t>
  </si>
  <si>
    <t>INE843B01013</t>
  </si>
  <si>
    <t>MAHASTEEL</t>
  </si>
  <si>
    <t>Mahamaya Steel Industries Limited</t>
  </si>
  <si>
    <t>INE451L01014</t>
  </si>
  <si>
    <t>MAHEPC</t>
  </si>
  <si>
    <t>Mahindra EPC Irrigation Limited</t>
  </si>
  <si>
    <t>INE215D01010</t>
  </si>
  <si>
    <t>MAHESHWARI</t>
  </si>
  <si>
    <t>Maheshwari Logistics Limited</t>
  </si>
  <si>
    <t>INE263W01010</t>
  </si>
  <si>
    <t>Mahindra Lifespace Developers Limited</t>
  </si>
  <si>
    <t>INE813A01018</t>
  </si>
  <si>
    <t>Mahindra Logistics Limited</t>
  </si>
  <si>
    <t>INE766P01016</t>
  </si>
  <si>
    <t>Maharashtra Scooters Limited</t>
  </si>
  <si>
    <t>INE288A01013</t>
  </si>
  <si>
    <t>Maharashtra Seamless Limited</t>
  </si>
  <si>
    <t>INE271B01025</t>
  </si>
  <si>
    <t>Maithan Alloys Limited</t>
  </si>
  <si>
    <t>INE683C01011</t>
  </si>
  <si>
    <t>Mallcom (India) Limited</t>
  </si>
  <si>
    <t>INE389C01015</t>
  </si>
  <si>
    <t>MALUPAPER</t>
  </si>
  <si>
    <t>Malu Paper Mills Limited</t>
  </si>
  <si>
    <t>INE383H01017</t>
  </si>
  <si>
    <t>MAMATA</t>
  </si>
  <si>
    <t>Mamata Machinery Limited</t>
  </si>
  <si>
    <t>INE0TO701015</t>
  </si>
  <si>
    <t>MANAKALUCO</t>
  </si>
  <si>
    <t>Manaksia Aluminium Company Limited</t>
  </si>
  <si>
    <t>INE859Q01017</t>
  </si>
  <si>
    <t>MANAKCOAT</t>
  </si>
  <si>
    <t>Manaksia Coated Metals &amp; Industries Limited</t>
  </si>
  <si>
    <t>INE830Q01018</t>
  </si>
  <si>
    <t>Manaksia Limited</t>
  </si>
  <si>
    <t>INE015D01022</t>
  </si>
  <si>
    <t>MANAKSTEEL</t>
  </si>
  <si>
    <t>Manaksia Steels Limited</t>
  </si>
  <si>
    <t>INE824Q01011</t>
  </si>
  <si>
    <t>Manali Petrochemicals Limited</t>
  </si>
  <si>
    <t>INE201A01024</t>
  </si>
  <si>
    <t>Manappuram Finance Limited</t>
  </si>
  <si>
    <t>INE522D01027</t>
  </si>
  <si>
    <t>MANBA</t>
  </si>
  <si>
    <t>Manba Finance Limited</t>
  </si>
  <si>
    <t>INE939X01013</t>
  </si>
  <si>
    <t>MANCREDIT</t>
  </si>
  <si>
    <t>Mangal Credit and Fincorp Limited</t>
  </si>
  <si>
    <t>INE545L01039</t>
  </si>
  <si>
    <t>MANGALAM</t>
  </si>
  <si>
    <t>Mangalam Drugs And Organics Limited</t>
  </si>
  <si>
    <t>INE584F01014</t>
  </si>
  <si>
    <t>Mangalore Chemicals &amp; Fertilizers Limited</t>
  </si>
  <si>
    <t>INE558B01017</t>
  </si>
  <si>
    <t>Mangalam Cement Limited</t>
  </si>
  <si>
    <t>INE347A01017</t>
  </si>
  <si>
    <t>Man Industries (India) Limited</t>
  </si>
  <si>
    <t>INE993A01026</t>
  </si>
  <si>
    <t>Man Infraconstruction Limited</t>
  </si>
  <si>
    <t>INE949H01023</t>
  </si>
  <si>
    <t>Mankind Pharma Limited</t>
  </si>
  <si>
    <t>INE634S01028</t>
  </si>
  <si>
    <t>MANOMAY</t>
  </si>
  <si>
    <t>Manomay Tex India Limited</t>
  </si>
  <si>
    <t>INE784W01015</t>
  </si>
  <si>
    <t>Manorama Industries Limited</t>
  </si>
  <si>
    <t>INE00VM01036</t>
  </si>
  <si>
    <t>MANORG</t>
  </si>
  <si>
    <t>Mangalam Organics Limited</t>
  </si>
  <si>
    <t>INE370D01013</t>
  </si>
  <si>
    <t>MANUGRAPH</t>
  </si>
  <si>
    <t>Manugraph India Limited</t>
  </si>
  <si>
    <t>INE867A01022</t>
  </si>
  <si>
    <t>Vedant Fashions Limited</t>
  </si>
  <si>
    <t>INE825V01034</t>
  </si>
  <si>
    <t>C.E. Info Systems Limited</t>
  </si>
  <si>
    <t>INE0BV301023</t>
  </si>
  <si>
    <t>MARALOVER</t>
  </si>
  <si>
    <t>Maral Overseas Limited</t>
  </si>
  <si>
    <t>INE882A01013</t>
  </si>
  <si>
    <t>Marathon Nextgen Realty Limited</t>
  </si>
  <si>
    <t>INE182D01020</t>
  </si>
  <si>
    <t>Marico Limited</t>
  </si>
  <si>
    <t>INE196A01026</t>
  </si>
  <si>
    <t>Marine Electricals (India) Limited</t>
  </si>
  <si>
    <t>INE01JE01028</t>
  </si>
  <si>
    <t>Marksans Pharma Limited</t>
  </si>
  <si>
    <t>INE750C01026</t>
  </si>
  <si>
    <t>Maruti Suzuki India Limited</t>
  </si>
  <si>
    <t>INE585B01010</t>
  </si>
  <si>
    <t>MAS Financial Services Limited</t>
  </si>
  <si>
    <t>INE348L01012</t>
  </si>
  <si>
    <t>MASKINVEST</t>
  </si>
  <si>
    <t>Mask Investments Limited</t>
  </si>
  <si>
    <t>INE885F01015</t>
  </si>
  <si>
    <t>Mastek Limited</t>
  </si>
  <si>
    <t>INE759A01021</t>
  </si>
  <si>
    <t>Master Trust Limited</t>
  </si>
  <si>
    <t>INE677D01037</t>
  </si>
  <si>
    <t>Matrimony.Com Limited</t>
  </si>
  <si>
    <t>INE866R01028</t>
  </si>
  <si>
    <t>MAWANASUG</t>
  </si>
  <si>
    <t>Mawana Sugars Limited</t>
  </si>
  <si>
    <t>INE636A01039</t>
  </si>
  <si>
    <t>Max Estates Limited</t>
  </si>
  <si>
    <t>INE03EI01018</t>
  </si>
  <si>
    <t>Max Healthcare Institute Limited</t>
  </si>
  <si>
    <t>INE027H01010</t>
  </si>
  <si>
    <t>Max India Limited</t>
  </si>
  <si>
    <t>INE0CG601016</t>
  </si>
  <si>
    <t>Mayur Uniquoters Ltd</t>
  </si>
  <si>
    <t>INE040D01038</t>
  </si>
  <si>
    <t>Mazda Limited</t>
  </si>
  <si>
    <t>INE885E01042</t>
  </si>
  <si>
    <t>Mazagon Dock Shipbuilders Limited</t>
  </si>
  <si>
    <t>INE249Z01020</t>
  </si>
  <si>
    <t>Madhya Bharat Agro Products Limited</t>
  </si>
  <si>
    <t>INE900L01010</t>
  </si>
  <si>
    <t>MBEL</t>
  </si>
  <si>
    <t>M &amp; B Engineering Limited</t>
  </si>
  <si>
    <t>INE08N601015</t>
  </si>
  <si>
    <t>MBL Infrastructure Limited</t>
  </si>
  <si>
    <t>INE912H01013</t>
  </si>
  <si>
    <t>MCL</t>
  </si>
  <si>
    <t>Madhav Copper Limited</t>
  </si>
  <si>
    <t>INE813V01022</t>
  </si>
  <si>
    <t>MCLEODRUSS</t>
  </si>
  <si>
    <t>Mcleod Russel India Limited</t>
  </si>
  <si>
    <t>INE942G01012</t>
  </si>
  <si>
    <t>MCLOUD</t>
  </si>
  <si>
    <t>Magellanic Cloud Limited</t>
  </si>
  <si>
    <t>INE613C01026</t>
  </si>
  <si>
    <t>Multi Commodity Exchange of India Limited</t>
  </si>
  <si>
    <t>INE745G01035</t>
  </si>
  <si>
    <t>Global Health Limited</t>
  </si>
  <si>
    <t>INE474Q01031</t>
  </si>
  <si>
    <t>Medi Assist Healthcare Services Limited</t>
  </si>
  <si>
    <t>INE456Z01021</t>
  </si>
  <si>
    <t>Medicamen Biotech Limited</t>
  </si>
  <si>
    <t>INE646B01010</t>
  </si>
  <si>
    <t>MEDICO</t>
  </si>
  <si>
    <t>Medico Remedies Limited</t>
  </si>
  <si>
    <t>INE630Y01024</t>
  </si>
  <si>
    <t>Medplus Health Services Limited</t>
  </si>
  <si>
    <t>INE804L01022</t>
  </si>
  <si>
    <t>Megasoft Limited</t>
  </si>
  <si>
    <t>INE933B01012</t>
  </si>
  <si>
    <t>MEGASTAR</t>
  </si>
  <si>
    <t>Megastar Foods Limited</t>
  </si>
  <si>
    <t>INE00EM01016</t>
  </si>
  <si>
    <t>MEIL</t>
  </si>
  <si>
    <t>Mangal Electrical Industries Limited</t>
  </si>
  <si>
    <t>INE0PKD01011</t>
  </si>
  <si>
    <t>Menon Bearings Limited</t>
  </si>
  <si>
    <t>INE071D01033</t>
  </si>
  <si>
    <t>MEP</t>
  </si>
  <si>
    <t>MEP Infrastructure Developers Limited</t>
  </si>
  <si>
    <t>INE776I01010</t>
  </si>
  <si>
    <t>Metro Brands Limited</t>
  </si>
  <si>
    <t>INE317I01021</t>
  </si>
  <si>
    <t>Metropolis Healthcare Limited</t>
  </si>
  <si>
    <t>INE112L01020</t>
  </si>
  <si>
    <t>MFML</t>
  </si>
  <si>
    <t>Mahalaxmi Fabric Mills Limited</t>
  </si>
  <si>
    <t>INE0US801024</t>
  </si>
  <si>
    <t>Max Financial Services Limited</t>
  </si>
  <si>
    <t>INE180A01020</t>
  </si>
  <si>
    <t>MGEL</t>
  </si>
  <si>
    <t>Mangalam Global Enterprise Limited</t>
  </si>
  <si>
    <t>INE0APB01032</t>
  </si>
  <si>
    <t>Mahanagar Gas Limited</t>
  </si>
  <si>
    <t>INE002S01010</t>
  </si>
  <si>
    <t>MHLXMIRU</t>
  </si>
  <si>
    <t>Mahalaxmi Rubtech Limited</t>
  </si>
  <si>
    <t>INE112D01035</t>
  </si>
  <si>
    <t>Mahindra Holidays &amp; Resorts India Limited</t>
  </si>
  <si>
    <t>INE998I01010</t>
  </si>
  <si>
    <t>MIC Electronics Limited</t>
  </si>
  <si>
    <t>INE287C01037</t>
  </si>
  <si>
    <t>Mishra Dhatu Nigam Limited</t>
  </si>
  <si>
    <t>INE099Z01011</t>
  </si>
  <si>
    <t>Minda Corporation Limited</t>
  </si>
  <si>
    <t>INE842C01021</t>
  </si>
  <si>
    <t>Mindteck (India) Limited</t>
  </si>
  <si>
    <t>INE110B01017</t>
  </si>
  <si>
    <t>MIRCELECTR</t>
  </si>
  <si>
    <t>MIRC Electronics Limited</t>
  </si>
  <si>
    <t>INE831A01028</t>
  </si>
  <si>
    <t>Mirza International Limited</t>
  </si>
  <si>
    <t>INE771A01026</t>
  </si>
  <si>
    <t>MITCON</t>
  </si>
  <si>
    <t>MITCON Consultancy &amp; Engineering Services Limited</t>
  </si>
  <si>
    <t>INE828O01033</t>
  </si>
  <si>
    <t>MITTAL</t>
  </si>
  <si>
    <t>Mittal Life Style Limited</t>
  </si>
  <si>
    <t>INE997Y01027</t>
  </si>
  <si>
    <t>MKPL</t>
  </si>
  <si>
    <t>M K Proteins Limited</t>
  </si>
  <si>
    <t>INE964W01021</t>
  </si>
  <si>
    <t>MM Forgings Limited</t>
  </si>
  <si>
    <t>INE227C01017</t>
  </si>
  <si>
    <t>MMP Industries Limited</t>
  </si>
  <si>
    <t>INE511Y01018</t>
  </si>
  <si>
    <t>MMTC Limited</t>
  </si>
  <si>
    <t>INE123F01029</t>
  </si>
  <si>
    <t>MOBIKWIK</t>
  </si>
  <si>
    <t>One Mobikwik Systems Limited</t>
  </si>
  <si>
    <t>INE0HLU01028</t>
  </si>
  <si>
    <t>MODIRUBBER</t>
  </si>
  <si>
    <t>Modi Rubber Limited</t>
  </si>
  <si>
    <t>INE832A01018</t>
  </si>
  <si>
    <t>MODISONLTD</t>
  </si>
  <si>
    <t>MODISON LIMITED</t>
  </si>
  <si>
    <t>INE737D01021</t>
  </si>
  <si>
    <t>MODTHREAD</t>
  </si>
  <si>
    <t>Modern Threads (India) Limited</t>
  </si>
  <si>
    <t>INE794W01014</t>
  </si>
  <si>
    <t>MOHITIND</t>
  </si>
  <si>
    <t>Mohit Industries Limited</t>
  </si>
  <si>
    <t>INE954E01012</t>
  </si>
  <si>
    <t>MOIL Limited</t>
  </si>
  <si>
    <t>INE490G01020</t>
  </si>
  <si>
    <t>MOKSH</t>
  </si>
  <si>
    <t>Moksh Ornaments Limited</t>
  </si>
  <si>
    <t>INE514Y01020</t>
  </si>
  <si>
    <t>Meghmani Organics Limited</t>
  </si>
  <si>
    <t>INE0CT101020</t>
  </si>
  <si>
    <t>Mold-Tek Technologies Limited</t>
  </si>
  <si>
    <t>INE835B01035</t>
  </si>
  <si>
    <t>Mold-Tek Packaging Limited</t>
  </si>
  <si>
    <t>INE893J01029</t>
  </si>
  <si>
    <t>Monarch Networth Capital Limited</t>
  </si>
  <si>
    <t>INE903D01011</t>
  </si>
  <si>
    <t>Monte Carlo Fashions Limited</t>
  </si>
  <si>
    <t>INE950M01013</t>
  </si>
  <si>
    <t>MORARJEE</t>
  </si>
  <si>
    <t>Morarjee Textiles Limited</t>
  </si>
  <si>
    <t>INE161G01027</t>
  </si>
  <si>
    <t>Morepen Laboratories Limited</t>
  </si>
  <si>
    <t>INE083A01026</t>
  </si>
  <si>
    <t>Moschip Technologies Limited</t>
  </si>
  <si>
    <t>INE935B01025</t>
  </si>
  <si>
    <t>Samvardhana Motherson International Limited</t>
  </si>
  <si>
    <t>INE775A01035</t>
  </si>
  <si>
    <t>Motilal Oswal Financial Services Limited</t>
  </si>
  <si>
    <t>INE338I01027</t>
  </si>
  <si>
    <t>Motisons Jewellers Limited</t>
  </si>
  <si>
    <t>INE0FRK01020</t>
  </si>
  <si>
    <t>MOTOGENFIN</t>
  </si>
  <si>
    <t>The Motor &amp; General Finance Limited</t>
  </si>
  <si>
    <t>INE861B01023</t>
  </si>
  <si>
    <t>MphasiS Limited</t>
  </si>
  <si>
    <t>INE356A01018</t>
  </si>
  <si>
    <t>MPS Limited</t>
  </si>
  <si>
    <t>INE943D01017</t>
  </si>
  <si>
    <t>MRF Limited</t>
  </si>
  <si>
    <t>INE883A01011</t>
  </si>
  <si>
    <t>Mangalore Refinery and Petrochemicals Limited</t>
  </si>
  <si>
    <t>INE103A01014</t>
  </si>
  <si>
    <t>MSP Steel &amp; Power Limited</t>
  </si>
  <si>
    <t>INE752G01015</t>
  </si>
  <si>
    <t>Mstc Limited</t>
  </si>
  <si>
    <t>INE255X01014</t>
  </si>
  <si>
    <t>Motherson Sumi Wiring India Limited</t>
  </si>
  <si>
    <t>INE0FS801015</t>
  </si>
  <si>
    <t>Mtar Technologies Limited</t>
  </si>
  <si>
    <t>INE864I01014</t>
  </si>
  <si>
    <t>MTEDUCARE</t>
  </si>
  <si>
    <t>MT Educare Limited</t>
  </si>
  <si>
    <t>INE472M01018</t>
  </si>
  <si>
    <t>Mahanagar Telephone Nigam Limited</t>
  </si>
  <si>
    <t>INE153A01019</t>
  </si>
  <si>
    <t>Mufin Green Finance Limited</t>
  </si>
  <si>
    <t>INE08KJ01020</t>
  </si>
  <si>
    <t>Credo Brands Marketing Limited</t>
  </si>
  <si>
    <t>INE220Q01020</t>
  </si>
  <si>
    <t>Mukand Limited</t>
  </si>
  <si>
    <t>INE304A01026</t>
  </si>
  <si>
    <t>Mukka Proteins Limited</t>
  </si>
  <si>
    <t>INE0CG401037</t>
  </si>
  <si>
    <t>MUKTAARTS</t>
  </si>
  <si>
    <t>Mukta Arts Limited</t>
  </si>
  <si>
    <t>INE374B01019</t>
  </si>
  <si>
    <t>Munjal Auto Industries Limited</t>
  </si>
  <si>
    <t>INE672B01032</t>
  </si>
  <si>
    <t>Munjal Showa Limited</t>
  </si>
  <si>
    <t>INE577A01027</t>
  </si>
  <si>
    <t>MURUDCERA</t>
  </si>
  <si>
    <t>Murudeshwar Ceramics Limited</t>
  </si>
  <si>
    <t>INE692B01014</t>
  </si>
  <si>
    <t>Muthoot Capital Services Limited</t>
  </si>
  <si>
    <t>INE296G01013</t>
  </si>
  <si>
    <t>Muthoot Finance Limited</t>
  </si>
  <si>
    <t>INE414G01012</t>
  </si>
  <si>
    <t>Muthoot Microfin Limited</t>
  </si>
  <si>
    <t>INE046W01019</t>
  </si>
  <si>
    <t>Manoj Vaibhav Gems N Jewellers Limited</t>
  </si>
  <si>
    <t>INE0KNT01012</t>
  </si>
  <si>
    <t>NACL Industries Limited</t>
  </si>
  <si>
    <t>INE295D01020</t>
  </si>
  <si>
    <t>Nagarjuna Fertilizers and Chemicals Limited</t>
  </si>
  <si>
    <t>INE454M01024</t>
  </si>
  <si>
    <t>NAGREEKCAP</t>
  </si>
  <si>
    <t>Nagreeka Capital &amp; Infrastructure Limited</t>
  </si>
  <si>
    <t>INE245I01016</t>
  </si>
  <si>
    <t>NAGREEKEXP</t>
  </si>
  <si>
    <t>Nagreeka Exports Limited</t>
  </si>
  <si>
    <t>INE123B01028</t>
  </si>
  <si>
    <t>Nahar Capital and Financial Services Limited</t>
  </si>
  <si>
    <t>INE049I01012</t>
  </si>
  <si>
    <t>Nahar Industrial Enterprises Limited</t>
  </si>
  <si>
    <t>INE289A01011</t>
  </si>
  <si>
    <t>Nahar Poly Films Limited</t>
  </si>
  <si>
    <t>INE308A01027</t>
  </si>
  <si>
    <t>Nahar Spinning Mills Limited</t>
  </si>
  <si>
    <t>INE290A01027</t>
  </si>
  <si>
    <t>Nippon Life India Asset Management Limited</t>
  </si>
  <si>
    <t>INE298J01013</t>
  </si>
  <si>
    <t>NARMADA</t>
  </si>
  <si>
    <t>Narmada Agrobase Limited</t>
  </si>
  <si>
    <t>INE117Z01011</t>
  </si>
  <si>
    <t>NATCAPSUQ</t>
  </si>
  <si>
    <t>Natural Capsules Limited</t>
  </si>
  <si>
    <t>INE936B01015</t>
  </si>
  <si>
    <t>Natco Pharma Limited</t>
  </si>
  <si>
    <t>INE987B01026</t>
  </si>
  <si>
    <t>NATHBIOGEN</t>
  </si>
  <si>
    <t>Nath Bio-Genes (India) Limited</t>
  </si>
  <si>
    <t>INE448G01010</t>
  </si>
  <si>
    <t>National Aluminium Company Limited</t>
  </si>
  <si>
    <t>INE139A01034</t>
  </si>
  <si>
    <t>Info Edge (India) Limited</t>
  </si>
  <si>
    <t>INE663F01032</t>
  </si>
  <si>
    <t>NAVA LIMITED</t>
  </si>
  <si>
    <t>INE725A01030</t>
  </si>
  <si>
    <t>Navin Fluorine International Limited</t>
  </si>
  <si>
    <t>INE048G01026</t>
  </si>
  <si>
    <t>Navkar Corporation Limited</t>
  </si>
  <si>
    <t>INE278M01019</t>
  </si>
  <si>
    <t>NAVKARURB</t>
  </si>
  <si>
    <t>Navkar Urbanstructure Limited</t>
  </si>
  <si>
    <t>INE268H01044</t>
  </si>
  <si>
    <t>Navneet Education Limited</t>
  </si>
  <si>
    <t>INE060A01024</t>
  </si>
  <si>
    <t>Nazara Technologies Limited</t>
  </si>
  <si>
    <t>INE418L01021</t>
  </si>
  <si>
    <t>NBCC (India) Limited</t>
  </si>
  <si>
    <t>INE095N01031</t>
  </si>
  <si>
    <t>N. B. I. Industrial Finance Company Limited</t>
  </si>
  <si>
    <t>INE365I01020</t>
  </si>
  <si>
    <t>NCC Limited</t>
  </si>
  <si>
    <t>INE868B01028</t>
  </si>
  <si>
    <t>NCL Industries Limited</t>
  </si>
  <si>
    <t>INE732C01016</t>
  </si>
  <si>
    <t>NDGL</t>
  </si>
  <si>
    <t>Naga Dhunseri Group Limited</t>
  </si>
  <si>
    <t>INE756C01015</t>
  </si>
  <si>
    <t>Nandan Denim Limited</t>
  </si>
  <si>
    <t>INE875G01048</t>
  </si>
  <si>
    <t>NDLVENTURE</t>
  </si>
  <si>
    <t>NDL Ventures Limited</t>
  </si>
  <si>
    <t>INE353A01023</t>
  </si>
  <si>
    <t>Ndr Auto Components Limited</t>
  </si>
  <si>
    <t>INE07OG01012</t>
  </si>
  <si>
    <t>New Delhi Television Limited</t>
  </si>
  <si>
    <t>INE155G01029</t>
  </si>
  <si>
    <t>NECCLTD</t>
  </si>
  <si>
    <t>North Eastern Carrying Corporation Limited</t>
  </si>
  <si>
    <t>INE553C01016</t>
  </si>
  <si>
    <t>Nectar Lifesciences Limited</t>
  </si>
  <si>
    <t>INE023H01027</t>
  </si>
  <si>
    <t>Nelcast Limited</t>
  </si>
  <si>
    <t>INE189I01024</t>
  </si>
  <si>
    <t>NELCO Limited</t>
  </si>
  <si>
    <t>INE045B01015</t>
  </si>
  <si>
    <t>Neogen Chemicals Limited</t>
  </si>
  <si>
    <t>INE136S01016</t>
  </si>
  <si>
    <t>Nesco Limited</t>
  </si>
  <si>
    <t>INE317F01035</t>
  </si>
  <si>
    <t>Nestle India Limited</t>
  </si>
  <si>
    <t>INE239A01024</t>
  </si>
  <si>
    <t>Netweb Technologies India Limited</t>
  </si>
  <si>
    <t>INE0NT901020</t>
  </si>
  <si>
    <t>Network18 Media &amp; Investments Limited</t>
  </si>
  <si>
    <t>INE870H01013</t>
  </si>
  <si>
    <t>Neuland Laboratories Limited</t>
  </si>
  <si>
    <t>INE794A01010</t>
  </si>
  <si>
    <t>Newgen Software Technologies Limited</t>
  </si>
  <si>
    <t>INE619B01017</t>
  </si>
  <si>
    <t>NEXTMEDIA</t>
  </si>
  <si>
    <t>Next Mediaworks Limited</t>
  </si>
  <si>
    <t>INE747B01016</t>
  </si>
  <si>
    <t>National Fertilizers Limited</t>
  </si>
  <si>
    <t>INE870D01012</t>
  </si>
  <si>
    <t>NGIL</t>
  </si>
  <si>
    <t>Nakoda Group of Industries Limited</t>
  </si>
  <si>
    <t>INE236Y01012</t>
  </si>
  <si>
    <t>NGL Fine-Chem Limited</t>
  </si>
  <si>
    <t>INE887E01022</t>
  </si>
  <si>
    <t>Narayana Hrudayalaya Ltd.</t>
  </si>
  <si>
    <t>INE410P01011</t>
  </si>
  <si>
    <t>NHPC Limited</t>
  </si>
  <si>
    <t>INE848E01016</t>
  </si>
  <si>
    <t>The New India Assurance Company Limited</t>
  </si>
  <si>
    <t>INE470Y01017</t>
  </si>
  <si>
    <t>NIBE</t>
  </si>
  <si>
    <t>NIBE Limited</t>
  </si>
  <si>
    <t>INE149O01018</t>
  </si>
  <si>
    <t>NIBL</t>
  </si>
  <si>
    <t>NRB Industrial Bearings Limited</t>
  </si>
  <si>
    <t>INE047O01014</t>
  </si>
  <si>
    <t>NIIT Limited</t>
  </si>
  <si>
    <t>INE161A01038</t>
  </si>
  <si>
    <t>NIIT Learning Systems Limited</t>
  </si>
  <si>
    <t>INE342G01023</t>
  </si>
  <si>
    <t>NILAINFRA</t>
  </si>
  <si>
    <t>Nila Infrastructures Limited</t>
  </si>
  <si>
    <t>INE937C01029</t>
  </si>
  <si>
    <t>NILASPACES</t>
  </si>
  <si>
    <t>Nila Spaces Limited</t>
  </si>
  <si>
    <t>INE00S901012</t>
  </si>
  <si>
    <t>Nilkamal Limited</t>
  </si>
  <si>
    <t>INE310A01015</t>
  </si>
  <si>
    <t>NINtec Systems Limited</t>
  </si>
  <si>
    <t>INE395U01014</t>
  </si>
  <si>
    <t>NIPPOBATRY</t>
  </si>
  <si>
    <t>Indo-National Limited</t>
  </si>
  <si>
    <t>INE567A01028</t>
  </si>
  <si>
    <t>NIRAJ</t>
  </si>
  <si>
    <t>Niraj Cement Structurals Limited</t>
  </si>
  <si>
    <t>INE368I01016</t>
  </si>
  <si>
    <t>NIRAJISPAT</t>
  </si>
  <si>
    <t>Niraj Ispat Industries Limited</t>
  </si>
  <si>
    <t>INE326T01011</t>
  </si>
  <si>
    <t>Nitco Limited</t>
  </si>
  <si>
    <t>INE858F01012</t>
  </si>
  <si>
    <t>Nitin Spinners Limited</t>
  </si>
  <si>
    <t>INE229H01012</t>
  </si>
  <si>
    <t>NITIRAJ</t>
  </si>
  <si>
    <t>Nitiraj Engineers Limited</t>
  </si>
  <si>
    <t>INE439T01012</t>
  </si>
  <si>
    <t>NIVABUPA</t>
  </si>
  <si>
    <t>Niva Bupa Health Insurance Company Limited</t>
  </si>
  <si>
    <t>INE995S01015</t>
  </si>
  <si>
    <t>NKIND</t>
  </si>
  <si>
    <t>NK Industries Limited</t>
  </si>
  <si>
    <t>INE542C01019</t>
  </si>
  <si>
    <t>NLC India Limited</t>
  </si>
  <si>
    <t>INE589A01014</t>
  </si>
  <si>
    <t>NMDC Limited</t>
  </si>
  <si>
    <t>INE584A01023</t>
  </si>
  <si>
    <t>NOCIL Limited</t>
  </si>
  <si>
    <t>INE163A01018</t>
  </si>
  <si>
    <t>NOIDATOLL</t>
  </si>
  <si>
    <t>Noida Toll Bridge Company Limited</t>
  </si>
  <si>
    <t>INE781B01015</t>
  </si>
  <si>
    <t>NORBTEAEXP</t>
  </si>
  <si>
    <t>Norben Tea &amp; Exports Limited</t>
  </si>
  <si>
    <t>INE369C01017</t>
  </si>
  <si>
    <t>NORTHARC</t>
  </si>
  <si>
    <t>Northern Arc Capital Limited</t>
  </si>
  <si>
    <t>INE850M01015</t>
  </si>
  <si>
    <t>Nova Agritech Limited</t>
  </si>
  <si>
    <t>INE02H701025</t>
  </si>
  <si>
    <t>Network People Services Technologies Limited</t>
  </si>
  <si>
    <t>INE0FFK01017</t>
  </si>
  <si>
    <t>N R Agarwal Industries Limited</t>
  </si>
  <si>
    <t>INE740D01017</t>
  </si>
  <si>
    <t>NRB Bearing Limited</t>
  </si>
  <si>
    <t>INE349A01021</t>
  </si>
  <si>
    <t>Nupur Recyclers Limited</t>
  </si>
  <si>
    <t>INE0JM501013</t>
  </si>
  <si>
    <t>Nalwa Sons Investments Limited</t>
  </si>
  <si>
    <t>INE023A01030</t>
  </si>
  <si>
    <t>NMDC Steel Limited</t>
  </si>
  <si>
    <t>INE0NNS01018</t>
  </si>
  <si>
    <t>NTPC Limited</t>
  </si>
  <si>
    <t>INE733E01010</t>
  </si>
  <si>
    <t>NTPCGREEN</t>
  </si>
  <si>
    <t>NTPC Green Energy Limited</t>
  </si>
  <si>
    <t>INE0ONG01011</t>
  </si>
  <si>
    <t>Nucleus Software Exports Limited</t>
  </si>
  <si>
    <t>INE096B01018</t>
  </si>
  <si>
    <t>NURECA</t>
  </si>
  <si>
    <t>Nureca Limited</t>
  </si>
  <si>
    <t>INE0DSF01015</t>
  </si>
  <si>
    <t>Nuvama Wealth Management Limited</t>
  </si>
  <si>
    <t>INE531F01015</t>
  </si>
  <si>
    <t>Nuvoco Vistas Corporation Limited</t>
  </si>
  <si>
    <t>INE118D01016</t>
  </si>
  <si>
    <t>FSN E-Commerce Ventures Limited</t>
  </si>
  <si>
    <t>INE388Y01029</t>
  </si>
  <si>
    <t>Oriental Aromatics Limited</t>
  </si>
  <si>
    <t>INE959C01023</t>
  </si>
  <si>
    <t>OBCL</t>
  </si>
  <si>
    <t>Orissa Bengal Carrier Limited</t>
  </si>
  <si>
    <t>INE426Z01016</t>
  </si>
  <si>
    <t>Oberoi Realty Limited</t>
  </si>
  <si>
    <t>INE093I01010</t>
  </si>
  <si>
    <t>OCCLLTD</t>
  </si>
  <si>
    <t>OCCL Limited</t>
  </si>
  <si>
    <t>INE0PK601023</t>
  </si>
  <si>
    <t>ODIGMA</t>
  </si>
  <si>
    <t>Odigma Consultancy Solutions Limited</t>
  </si>
  <si>
    <t>INE054301028</t>
  </si>
  <si>
    <t>Oracle Financial Services Software Limited</t>
  </si>
  <si>
    <t>INE881D01027</t>
  </si>
  <si>
    <t>Oil India Limited</t>
  </si>
  <si>
    <t>INE274J01014</t>
  </si>
  <si>
    <t>OILCOUNTUB</t>
  </si>
  <si>
    <t>Oil Country Tubular Limited</t>
  </si>
  <si>
    <t>INE591A01010</t>
  </si>
  <si>
    <t>OLAELEC</t>
  </si>
  <si>
    <t>Ola Electric Mobility Limited</t>
  </si>
  <si>
    <t>INE0LXG01040</t>
  </si>
  <si>
    <t>Olectra Greentech Limited</t>
  </si>
  <si>
    <t>INE260D01016</t>
  </si>
  <si>
    <t>OMAXAUTO</t>
  </si>
  <si>
    <t>Omax Autos Limited</t>
  </si>
  <si>
    <t>INE090B01011</t>
  </si>
  <si>
    <t>Omaxe Limited</t>
  </si>
  <si>
    <t>INE800H01010</t>
  </si>
  <si>
    <t>OM INFRA LIMITED</t>
  </si>
  <si>
    <t>INE239D01028</t>
  </si>
  <si>
    <t>OMKARCHEM</t>
  </si>
  <si>
    <t>Omkar Speciality Chemicals Limited</t>
  </si>
  <si>
    <t>INE474L01016</t>
  </si>
  <si>
    <t>ONELIFECAP</t>
  </si>
  <si>
    <t>Onelife Capital Advisors Limited</t>
  </si>
  <si>
    <t>INE912L01015</t>
  </si>
  <si>
    <t>One Point One Solutions Limited</t>
  </si>
  <si>
    <t>INE840Y01029</t>
  </si>
  <si>
    <t>ONESOURCE</t>
  </si>
  <si>
    <t>Onesource Specialty Pharma Limited</t>
  </si>
  <si>
    <t>INE013P01021</t>
  </si>
  <si>
    <t>Oil &amp; Natural Gas Corporation Limited</t>
  </si>
  <si>
    <t>INE213A01029</t>
  </si>
  <si>
    <t>OnMobile Global Limited</t>
  </si>
  <si>
    <t>INE809I01019</t>
  </si>
  <si>
    <t>Onward Technologies Limited</t>
  </si>
  <si>
    <t>INE229A01017</t>
  </si>
  <si>
    <t>Optiemus Infracom Limited</t>
  </si>
  <si>
    <t>INE350C01017</t>
  </si>
  <si>
    <t>ORBTEXP</t>
  </si>
  <si>
    <t>Orbit Exports Limited</t>
  </si>
  <si>
    <t>INE231G01010</t>
  </si>
  <si>
    <t>ORCHASP</t>
  </si>
  <si>
    <t>Orchasp Limited</t>
  </si>
  <si>
    <t>INE215B01022</t>
  </si>
  <si>
    <t>Orchid Pharma Limited</t>
  </si>
  <si>
    <t>INE191A01027</t>
  </si>
  <si>
    <t>Oricon Enterprises Limited</t>
  </si>
  <si>
    <t>INE730A01022</t>
  </si>
  <si>
    <t>ORIENTALTL</t>
  </si>
  <si>
    <t>Oriental Trimex Limited</t>
  </si>
  <si>
    <t>INE998H01012</t>
  </si>
  <si>
    <t>Orient Bell Limited</t>
  </si>
  <si>
    <t>INE607D01018</t>
  </si>
  <si>
    <t>Orient Cement Limited</t>
  </si>
  <si>
    <t>INE876N01018</t>
  </si>
  <si>
    <t>ORIENT CERATECH LIMITED</t>
  </si>
  <si>
    <t>INE569C01020</t>
  </si>
  <si>
    <t>Orient Electric Limited</t>
  </si>
  <si>
    <t>INE142Z01019</t>
  </si>
  <si>
    <t>Oriental Hotels Limited</t>
  </si>
  <si>
    <t>INE750A01020</t>
  </si>
  <si>
    <t>ORIENTLTD</t>
  </si>
  <si>
    <t>Orient Press Limited</t>
  </si>
  <si>
    <t>INE609C01024</t>
  </si>
  <si>
    <t>Orient Paper &amp; Industries Limited</t>
  </si>
  <si>
    <t>INE592A01026</t>
  </si>
  <si>
    <t>ORIENTTECH</t>
  </si>
  <si>
    <t>Orient Technologies Limited</t>
  </si>
  <si>
    <t>INE0PPK01015</t>
  </si>
  <si>
    <t>The Orissa Minerals Development Company Limited</t>
  </si>
  <si>
    <t>INE725E01024</t>
  </si>
  <si>
    <t>ORTEL</t>
  </si>
  <si>
    <t>Ortel Communications Limited</t>
  </si>
  <si>
    <t>INE849L01019</t>
  </si>
  <si>
    <t>ORTINGLOBE</t>
  </si>
  <si>
    <t>ORTIN GLOBAL LIMITED</t>
  </si>
  <si>
    <t>INE749B01020</t>
  </si>
  <si>
    <t>OSIAHYPER</t>
  </si>
  <si>
    <t>Osia Hyper Retail Limited</t>
  </si>
  <si>
    <t>INE06IR01021</t>
  </si>
  <si>
    <t>Oswal Agro Mills Limited</t>
  </si>
  <si>
    <t>INE142A01012</t>
  </si>
  <si>
    <t>Oswal Greentech Limited</t>
  </si>
  <si>
    <t>INE143A01010</t>
  </si>
  <si>
    <t>OSWALPUMPS</t>
  </si>
  <si>
    <t>Oswal Pumps Limited</t>
  </si>
  <si>
    <t>INE0BYP01024</t>
  </si>
  <si>
    <t>OSWALSEEDS</t>
  </si>
  <si>
    <t>ShreeOswal Seeds And Chemicals Limited</t>
  </si>
  <si>
    <t>INE00IK01029</t>
  </si>
  <si>
    <t>Page Industries Limited</t>
  </si>
  <si>
    <t>INE761H01022</t>
  </si>
  <si>
    <t>Paisalo Digital Limited</t>
  </si>
  <si>
    <t>INE420C01059</t>
  </si>
  <si>
    <t>PAKKA LIMITED</t>
  </si>
  <si>
    <t>INE551D01018</t>
  </si>
  <si>
    <t>PALASHSECU</t>
  </si>
  <si>
    <t>Palash Securities Limited</t>
  </si>
  <si>
    <t>INE471W01019</t>
  </si>
  <si>
    <t>PALREDTEC</t>
  </si>
  <si>
    <t>Palred Technologies Limited</t>
  </si>
  <si>
    <t>INE218G01033</t>
  </si>
  <si>
    <t>Panacea Biotec Limited</t>
  </si>
  <si>
    <t>INE922B01023</t>
  </si>
  <si>
    <t>PANACHE</t>
  </si>
  <si>
    <t>Panache Digilife Limited</t>
  </si>
  <si>
    <t>INE895W01019</t>
  </si>
  <si>
    <t>Panama Petrochem Limited</t>
  </si>
  <si>
    <t>INE305C01029</t>
  </si>
  <si>
    <t>PANSARI</t>
  </si>
  <si>
    <t>Pansari Developers Limited</t>
  </si>
  <si>
    <t>INE697V01011</t>
  </si>
  <si>
    <t>PAR</t>
  </si>
  <si>
    <t>Par Drugs And Chemicals Limited</t>
  </si>
  <si>
    <t>INE04LG01015</t>
  </si>
  <si>
    <t>Paramount Communications Limited</t>
  </si>
  <si>
    <t>INE074B01023</t>
  </si>
  <si>
    <t>Paradeep Phosphates Limited</t>
  </si>
  <si>
    <t>INE088F01024</t>
  </si>
  <si>
    <t>Parag Milk Foods Limited</t>
  </si>
  <si>
    <t>INE883N01014</t>
  </si>
  <si>
    <t>Paras Defence and Space Technologies Limited</t>
  </si>
  <si>
    <t>INE045601023</t>
  </si>
  <si>
    <t>PARASPETRO</t>
  </si>
  <si>
    <t>Paras Petrofils Limited</t>
  </si>
  <si>
    <t>INE162C01024</t>
  </si>
  <si>
    <t>Apeejay Surrendra Park Hotels Limited</t>
  </si>
  <si>
    <t>INE988S01028</t>
  </si>
  <si>
    <t>Parsvnath Developers Limited</t>
  </si>
  <si>
    <t>INE561H01026</t>
  </si>
  <si>
    <t>Pashupati Cotspin Limited</t>
  </si>
  <si>
    <t>INE124Y01010</t>
  </si>
  <si>
    <t>PASUPTAC</t>
  </si>
  <si>
    <t>Pasupati Acrylon Limited</t>
  </si>
  <si>
    <t>INE818B01023</t>
  </si>
  <si>
    <t>Patanjali Foods Limited</t>
  </si>
  <si>
    <t>INE619A01035</t>
  </si>
  <si>
    <t>Patel Engineering Limited</t>
  </si>
  <si>
    <t>INE244B01030</t>
  </si>
  <si>
    <t>PATELRMART</t>
  </si>
  <si>
    <t>Patel Retail Limited</t>
  </si>
  <si>
    <t>INE0R8B01010</t>
  </si>
  <si>
    <t>PATINTLOG</t>
  </si>
  <si>
    <t>Patel Integrated Logistics Limited</t>
  </si>
  <si>
    <t>INE529D01014</t>
  </si>
  <si>
    <t>Pavna Industries Limited</t>
  </si>
  <si>
    <t>INE07S101038</t>
  </si>
  <si>
    <t>One 97 Communications Limited</t>
  </si>
  <si>
    <t>INE982J01020</t>
  </si>
  <si>
    <t>PCBL Chemical Limited</t>
  </si>
  <si>
    <t>INE602A01031</t>
  </si>
  <si>
    <t>PC Jeweller Limited</t>
  </si>
  <si>
    <t>INE785M01021</t>
  </si>
  <si>
    <t>Pudumjee Paper Products Limited</t>
  </si>
  <si>
    <t>INE865T01018</t>
  </si>
  <si>
    <t>PDS Limited</t>
  </si>
  <si>
    <t>INE111Q01021</t>
  </si>
  <si>
    <t>PEARLPOLY</t>
  </si>
  <si>
    <t>Pearl Polymers Limited</t>
  </si>
  <si>
    <t>INE844A01013</t>
  </si>
  <si>
    <t>Piramal Enterprises Limited</t>
  </si>
  <si>
    <t>INE140A01024</t>
  </si>
  <si>
    <t>Pennar Industries Limited</t>
  </si>
  <si>
    <t>INE932A01024</t>
  </si>
  <si>
    <t>Peninsula Land Limited</t>
  </si>
  <si>
    <t>INE138A01028</t>
  </si>
  <si>
    <t>Persistent Systems Limited</t>
  </si>
  <si>
    <t>INE262H01021</t>
  </si>
  <si>
    <t>Petronet LNG Limited</t>
  </si>
  <si>
    <t>INE347G01014</t>
  </si>
  <si>
    <t>Power Finance Corporation Limited</t>
  </si>
  <si>
    <t>INE134E01011</t>
  </si>
  <si>
    <t>Pfizer Limited</t>
  </si>
  <si>
    <t>INE182A01018</t>
  </si>
  <si>
    <t>Prime Focus Limited</t>
  </si>
  <si>
    <t>INE367G01038</t>
  </si>
  <si>
    <t>PTC India Financial Services Limited</t>
  </si>
  <si>
    <t>INE560K01014</t>
  </si>
  <si>
    <t>PG Electroplast Limited</t>
  </si>
  <si>
    <t>INE457L01029</t>
  </si>
  <si>
    <t>Procter &amp; Gamble Hygiene and Health Care Limited</t>
  </si>
  <si>
    <t>INE179A01014</t>
  </si>
  <si>
    <t>Procter &amp; Gamble Health Limited</t>
  </si>
  <si>
    <t>INE199A01012</t>
  </si>
  <si>
    <t>Pearl Global Industries Limited</t>
  </si>
  <si>
    <t>INE940H01022</t>
  </si>
  <si>
    <t>The Phoenix Mills Limited</t>
  </si>
  <si>
    <t>INE211B01039</t>
  </si>
  <si>
    <t>Piccadily Agro Industries Limited</t>
  </si>
  <si>
    <t>INE546C01010</t>
  </si>
  <si>
    <t>Pidilite Industries Limited</t>
  </si>
  <si>
    <t>INE318A01026</t>
  </si>
  <si>
    <t>PIGL</t>
  </si>
  <si>
    <t>Power &amp; Instrumentation (Gujarat) Limited</t>
  </si>
  <si>
    <t>INE557Z01018</t>
  </si>
  <si>
    <t>PI Industries Limited</t>
  </si>
  <si>
    <t>INE603J01030</t>
  </si>
  <si>
    <t>Pilani Investment and Industries Corporation Limited</t>
  </si>
  <si>
    <t>INE417C01014</t>
  </si>
  <si>
    <t>PILITA</t>
  </si>
  <si>
    <t>PIL ITALICA LIFESTYLE LIMITED</t>
  </si>
  <si>
    <t>INE600A01035</t>
  </si>
  <si>
    <t>PIONEEREMB</t>
  </si>
  <si>
    <t>Pioneer Embroideries Limited</t>
  </si>
  <si>
    <t>INE156C01018</t>
  </si>
  <si>
    <t>Pitti Engineering Limited</t>
  </si>
  <si>
    <t>INE450D01021</t>
  </si>
  <si>
    <t>Pix Transmissions Limited</t>
  </si>
  <si>
    <t>INE751B01018</t>
  </si>
  <si>
    <t>PKTEA</t>
  </si>
  <si>
    <t>The Peria Karamalai Tea &amp; Produce Company Limited</t>
  </si>
  <si>
    <t>INE431F01018</t>
  </si>
  <si>
    <t>Plastiblends India Limited</t>
  </si>
  <si>
    <t>INE083C01022</t>
  </si>
  <si>
    <t>Platinum Industries Limited</t>
  </si>
  <si>
    <t>INE0PT501018</t>
  </si>
  <si>
    <t>PLAZACABLE</t>
  </si>
  <si>
    <t>Plaza Wires Limited</t>
  </si>
  <si>
    <t>INE0INJ01017</t>
  </si>
  <si>
    <t>Punjab National Bank</t>
  </si>
  <si>
    <t>INE160A01022</t>
  </si>
  <si>
    <t>PNB Gilts Limited</t>
  </si>
  <si>
    <t>INE859A01011</t>
  </si>
  <si>
    <t>PNB Housing Finance Limited</t>
  </si>
  <si>
    <t>INE572E01012</t>
  </si>
  <si>
    <t>PNC</t>
  </si>
  <si>
    <t>Pritish Nandy Communications Limited</t>
  </si>
  <si>
    <t>INE392B01011</t>
  </si>
  <si>
    <t>PNC Infratech Limited</t>
  </si>
  <si>
    <t>INE195J01029</t>
  </si>
  <si>
    <t>PNGJL</t>
  </si>
  <si>
    <t>P N Gadgil Jewellers Limited</t>
  </si>
  <si>
    <t>INE953R01016</t>
  </si>
  <si>
    <t>Pondy Oxides &amp; Chemicals Limited</t>
  </si>
  <si>
    <t>INE063E01053</t>
  </si>
  <si>
    <t>PODDARMENT</t>
  </si>
  <si>
    <t>Poddar Pigments Limited</t>
  </si>
  <si>
    <t>INE371C01013</t>
  </si>
  <si>
    <t>Pokarna Limited</t>
  </si>
  <si>
    <t>INE637C01025</t>
  </si>
  <si>
    <t>PB Fintech Limited</t>
  </si>
  <si>
    <t>INE417T01026</t>
  </si>
  <si>
    <t>Polycab India Limited</t>
  </si>
  <si>
    <t>INE455K01017</t>
  </si>
  <si>
    <t>Poly Medicure Limited</t>
  </si>
  <si>
    <t>INE205C01021</t>
  </si>
  <si>
    <t>Polyplex Corporation Limited</t>
  </si>
  <si>
    <t>INE633B01018</t>
  </si>
  <si>
    <t>PONNIERODE</t>
  </si>
  <si>
    <t>Ponni Sugars (Erode) Limited</t>
  </si>
  <si>
    <t>INE838E01017</t>
  </si>
  <si>
    <t>Poonawalla Fincorp Limited</t>
  </si>
  <si>
    <t>INE511C01022</t>
  </si>
  <si>
    <t>Power Grid Corporation of India Limited</t>
  </si>
  <si>
    <t>INE752E01010</t>
  </si>
  <si>
    <t>Hitachi Energy India Limited</t>
  </si>
  <si>
    <t>INE07Y701011</t>
  </si>
  <si>
    <t>Power Mech Projects Limited</t>
  </si>
  <si>
    <t>INE211R01019</t>
  </si>
  <si>
    <t>PPAP</t>
  </si>
  <si>
    <t>PPAP Automotive Limited</t>
  </si>
  <si>
    <t>INE095I01015</t>
  </si>
  <si>
    <t>Prakash Pipes Limited</t>
  </si>
  <si>
    <t>INE050001010</t>
  </si>
  <si>
    <t>Piramal Pharma Limited</t>
  </si>
  <si>
    <t>INE0DK501011</t>
  </si>
  <si>
    <t>PRABHA</t>
  </si>
  <si>
    <t>Prabha Energy Limited</t>
  </si>
  <si>
    <t>INE0I0M01023</t>
  </si>
  <si>
    <t>PRAENG</t>
  </si>
  <si>
    <t>Prajay Engineers Syndicate Limited</t>
  </si>
  <si>
    <t>INE505C01016</t>
  </si>
  <si>
    <t>Praj Industries Limited</t>
  </si>
  <si>
    <t>INE074A01025</t>
  </si>
  <si>
    <t>Prakash Industries Limited</t>
  </si>
  <si>
    <t>INE603A01013</t>
  </si>
  <si>
    <t>PRAKASHSTL</t>
  </si>
  <si>
    <t>Prakash Steelage Limited</t>
  </si>
  <si>
    <t>INE696K01024</t>
  </si>
  <si>
    <t>PRAXIS</t>
  </si>
  <si>
    <t>Praxis Home Retail Limited</t>
  </si>
  <si>
    <t>INE546Y01022</t>
  </si>
  <si>
    <t>Precision Camshafts Limited</t>
  </si>
  <si>
    <t>INE484I01029</t>
  </si>
  <si>
    <t>Precot Limited</t>
  </si>
  <si>
    <t>INE283A01014</t>
  </si>
  <si>
    <t>Precision Wires India Limited</t>
  </si>
  <si>
    <t>INE372C01037</t>
  </si>
  <si>
    <t>Premier Explosives Limited</t>
  </si>
  <si>
    <t>INE863B01029</t>
  </si>
  <si>
    <t>PREMIER</t>
  </si>
  <si>
    <t>Premier Limited</t>
  </si>
  <si>
    <t>INE342A01018</t>
  </si>
  <si>
    <t>PREMIERENE</t>
  </si>
  <si>
    <t>Premier Energies Limited</t>
  </si>
  <si>
    <t>INE0BS701011</t>
  </si>
  <si>
    <t>PREMIERPOL</t>
  </si>
  <si>
    <t>Premier Polyfilm Limited</t>
  </si>
  <si>
    <t>INE309M01020</t>
  </si>
  <si>
    <t>Prestige Estates Projects Limited</t>
  </si>
  <si>
    <t>INE811K01011</t>
  </si>
  <si>
    <t>Pricol Limited</t>
  </si>
  <si>
    <t>INE726V01018</t>
  </si>
  <si>
    <t>Prime Securities Limited</t>
  </si>
  <si>
    <t>INE032B01021</t>
  </si>
  <si>
    <t>PRIMO</t>
  </si>
  <si>
    <t>Primo Chemicals Limited</t>
  </si>
  <si>
    <t>INE607A01022</t>
  </si>
  <si>
    <t>Prince Pipes And Fittings Limited</t>
  </si>
  <si>
    <t>INE689W01016</t>
  </si>
  <si>
    <t>PRITI</t>
  </si>
  <si>
    <t>Priti International Limited</t>
  </si>
  <si>
    <t>INE974Z01015</t>
  </si>
  <si>
    <t>PRITIKAUTO</t>
  </si>
  <si>
    <t>Pritika Auto Industries Limited</t>
  </si>
  <si>
    <t>INE583R01029</t>
  </si>
  <si>
    <t>Privi Speciality Chemicals Limited</t>
  </si>
  <si>
    <t>INE959A01019</t>
  </si>
  <si>
    <t>PROSTARM</t>
  </si>
  <si>
    <t>Prostarm Info Systems Limited</t>
  </si>
  <si>
    <t>INE0BX301013</t>
  </si>
  <si>
    <t>Protean eGov Technologies Limited</t>
  </si>
  <si>
    <t>INE004A01022</t>
  </si>
  <si>
    <t>PROZONER</t>
  </si>
  <si>
    <t>Prozone Realty Limited</t>
  </si>
  <si>
    <t>INE195N01013</t>
  </si>
  <si>
    <t>Prism Johnson Limited</t>
  </si>
  <si>
    <t>INE010A01011</t>
  </si>
  <si>
    <t>Prudent Corporate Advisory Services Limited</t>
  </si>
  <si>
    <t>INE00F201020</t>
  </si>
  <si>
    <t>PRUDMOULI</t>
  </si>
  <si>
    <t>Prudential Sugar Corporation Limited</t>
  </si>
  <si>
    <t>INE024D01016</t>
  </si>
  <si>
    <t>Punjab &amp; Sind Bank</t>
  </si>
  <si>
    <t>INE608A01012</t>
  </si>
  <si>
    <t>PSP Projects Limited</t>
  </si>
  <si>
    <t>INE488V01015</t>
  </si>
  <si>
    <t>PTC India Limited</t>
  </si>
  <si>
    <t>INE877F01012</t>
  </si>
  <si>
    <t>PTC Industries Limited</t>
  </si>
  <si>
    <t>INE596F01018</t>
  </si>
  <si>
    <t>PTL Enterprises Limited</t>
  </si>
  <si>
    <t>INE034D01049</t>
  </si>
  <si>
    <t>Punjab Chemicals &amp; Crop Protection Limited</t>
  </si>
  <si>
    <t>INE277B01014</t>
  </si>
  <si>
    <t>Puravankara Limited</t>
  </si>
  <si>
    <t>INE323I01011</t>
  </si>
  <si>
    <t>PVP Ventures Limited</t>
  </si>
  <si>
    <t>INE362A01016</t>
  </si>
  <si>
    <t>PVR INOX Limited</t>
  </si>
  <si>
    <t>INE191H01014</t>
  </si>
  <si>
    <t>Popular Vehicles and Services Limited</t>
  </si>
  <si>
    <t>INE772T01024</t>
  </si>
  <si>
    <t>Pyramid Technoplast Limited</t>
  </si>
  <si>
    <t>INE0MIS01010</t>
  </si>
  <si>
    <t>Quality Power Electrical Equipments Limited</t>
  </si>
  <si>
    <t>INE0SII01026</t>
  </si>
  <si>
    <t>QUADFUTURE</t>
  </si>
  <si>
    <t>Quadrant Future Tek Limited</t>
  </si>
  <si>
    <t>INE0LRY01011</t>
  </si>
  <si>
    <t>Quess Corp Limited</t>
  </si>
  <si>
    <t>INE615P01015</t>
  </si>
  <si>
    <t>Quick Heal Technologies Limited</t>
  </si>
  <si>
    <t>INE306L01010</t>
  </si>
  <si>
    <t>Race Eco Chain Limited</t>
  </si>
  <si>
    <t>INE084Q01012</t>
  </si>
  <si>
    <t>RACL Geartech Limited</t>
  </si>
  <si>
    <t>INE704B01017</t>
  </si>
  <si>
    <t>RADAAN</t>
  </si>
  <si>
    <t>Radaan Mediaworks India Limited</t>
  </si>
  <si>
    <t>INE874F01027</t>
  </si>
  <si>
    <t>Radhika Jeweltech Limited</t>
  </si>
  <si>
    <t>INE583V01021</t>
  </si>
  <si>
    <t>Radiant Cash Management Services Limited</t>
  </si>
  <si>
    <t>INE855R01021</t>
  </si>
  <si>
    <t>Radico Khaitan Limited</t>
  </si>
  <si>
    <t>INE944F01028</t>
  </si>
  <si>
    <t>Music Broadcast Limited</t>
  </si>
  <si>
    <t>INE919I01024</t>
  </si>
  <si>
    <t>Railtel Corporation Of India Limited</t>
  </si>
  <si>
    <t>INE0DD101019</t>
  </si>
  <si>
    <t>Rain Industries Limited</t>
  </si>
  <si>
    <t>INE855B01025</t>
  </si>
  <si>
    <t>Rainbow Childrens Medicare Limited</t>
  </si>
  <si>
    <t>INE961O01016</t>
  </si>
  <si>
    <t>Rajesh Exports Limited</t>
  </si>
  <si>
    <t>INE343B01030</t>
  </si>
  <si>
    <t>RAJMET</t>
  </si>
  <si>
    <t>Rajnandini Metal Limited</t>
  </si>
  <si>
    <t>INE00KV01022</t>
  </si>
  <si>
    <t>Rajoo Engineers Limited</t>
  </si>
  <si>
    <t>INE535F01024</t>
  </si>
  <si>
    <t>Rajratan Global Wire Limited</t>
  </si>
  <si>
    <t>INE451D01029</t>
  </si>
  <si>
    <t>Raj Rayon Industries Limited</t>
  </si>
  <si>
    <t>INE533D01032</t>
  </si>
  <si>
    <t>RAJSREESUG</t>
  </si>
  <si>
    <t>Rajshree Sugars &amp; Chemicals Limited</t>
  </si>
  <si>
    <t>INE562B01019</t>
  </si>
  <si>
    <t>Raj Television Network Limited</t>
  </si>
  <si>
    <t>INE952H01027</t>
  </si>
  <si>
    <t>Rallis India Limited</t>
  </si>
  <si>
    <t>INE613A01020</t>
  </si>
  <si>
    <t>RAMANEWS</t>
  </si>
  <si>
    <t>Shree Rama Newsprint Limited</t>
  </si>
  <si>
    <t>INE278B01020</t>
  </si>
  <si>
    <t>RAMAPHO</t>
  </si>
  <si>
    <t>Rama Phosphates Limited</t>
  </si>
  <si>
    <t>INE809A01032</t>
  </si>
  <si>
    <t>Rama Steel Tubes Limited</t>
  </si>
  <si>
    <t>INE230R01035</t>
  </si>
  <si>
    <t>The Ramco Cements Limited</t>
  </si>
  <si>
    <t>INE331A01037</t>
  </si>
  <si>
    <t>Ramco Industries Limited</t>
  </si>
  <si>
    <t>INE614A01028</t>
  </si>
  <si>
    <t>Ramco Systems Limited</t>
  </si>
  <si>
    <t>INE246B01019</t>
  </si>
  <si>
    <t>Ramky Infrastructure Limited</t>
  </si>
  <si>
    <t>INE874I01013</t>
  </si>
  <si>
    <t>Ram Ratna Wires Limited</t>
  </si>
  <si>
    <t>INE207E01023</t>
  </si>
  <si>
    <t>RANASUG</t>
  </si>
  <si>
    <t>Rana Sugars Limited</t>
  </si>
  <si>
    <t>INE625B01014</t>
  </si>
  <si>
    <t>Rane Holdings Limited</t>
  </si>
  <si>
    <t>INE384A01010</t>
  </si>
  <si>
    <t>Rategain Travel Technologies Limited</t>
  </si>
  <si>
    <t>INE0CLI01024</t>
  </si>
  <si>
    <t>Ratnamani Metals &amp; Tubes Limited</t>
  </si>
  <si>
    <t>INE703B01027</t>
  </si>
  <si>
    <t>Ratnaveer Precision Engineering Limited</t>
  </si>
  <si>
    <t>INE05CZ01011</t>
  </si>
  <si>
    <t>Raymond Limited</t>
  </si>
  <si>
    <t>INE301A01014</t>
  </si>
  <si>
    <t>RAYMONDLSL</t>
  </si>
  <si>
    <t>Raymond Lifestyle Limited</t>
  </si>
  <si>
    <t>INE02ID01020</t>
  </si>
  <si>
    <t>RAYMONDREL</t>
  </si>
  <si>
    <t>Raymond Realty Limited</t>
  </si>
  <si>
    <t>INE1SY401010</t>
  </si>
  <si>
    <t>Restaurant Brands Asia Limited</t>
  </si>
  <si>
    <t>INE07T201019</t>
  </si>
  <si>
    <t>RBL Bank Limited</t>
  </si>
  <si>
    <t>INE976G01028</t>
  </si>
  <si>
    <t>RBZ Jewellers Limited</t>
  </si>
  <si>
    <t>INE0PEQ01016</t>
  </si>
  <si>
    <t>Rashtriya Chemicals and Fertilizers Limited</t>
  </si>
  <si>
    <t>INE027A01015</t>
  </si>
  <si>
    <t>Reliance Communications Limited</t>
  </si>
  <si>
    <t>INE330H01018</t>
  </si>
  <si>
    <t>REC Limited</t>
  </si>
  <si>
    <t>INE020B01018</t>
  </si>
  <si>
    <t>Redington Limited</t>
  </si>
  <si>
    <t>INE891D01026</t>
  </si>
  <si>
    <t>Redtape Limited</t>
  </si>
  <si>
    <t>INE0LXT01019</t>
  </si>
  <si>
    <t>Refex Industries Limited</t>
  </si>
  <si>
    <t>INE056I01025</t>
  </si>
  <si>
    <t>REGAAL</t>
  </si>
  <si>
    <t>Regaal Resources Limited</t>
  </si>
  <si>
    <t>INE0MHO01029</t>
  </si>
  <si>
    <t>REGENCERAM</t>
  </si>
  <si>
    <t>Regency Ceramics Limited</t>
  </si>
  <si>
    <t>INE277C01012</t>
  </si>
  <si>
    <t>Relaxo Footwears Limited</t>
  </si>
  <si>
    <t>INE131B01039</t>
  </si>
  <si>
    <t>RELCHEMQ</t>
  </si>
  <si>
    <t>Reliance Chemotex Industries Limited</t>
  </si>
  <si>
    <t>INE750D01016</t>
  </si>
  <si>
    <t>RELIABLE</t>
  </si>
  <si>
    <t>Reliable Data Services Limited</t>
  </si>
  <si>
    <t>INE375Y01018</t>
  </si>
  <si>
    <t>Reliance Industries Limited</t>
  </si>
  <si>
    <t>INE002A01018</t>
  </si>
  <si>
    <t>Religare Enterprises Limited</t>
  </si>
  <si>
    <t>INE621H01010</t>
  </si>
  <si>
    <t>Reliance Infrastructure Limited</t>
  </si>
  <si>
    <t>INE036A01016</t>
  </si>
  <si>
    <t>RELTD</t>
  </si>
  <si>
    <t>Ravindra Energy Limited</t>
  </si>
  <si>
    <t>INE206N01018</t>
  </si>
  <si>
    <t>REMSONSIND</t>
  </si>
  <si>
    <t>Remsons Industries Limited</t>
  </si>
  <si>
    <t>INE474C01023</t>
  </si>
  <si>
    <t>Shree Renuka Sugars Limited</t>
  </si>
  <si>
    <t>INE087H01022</t>
  </si>
  <si>
    <t>Repco Home Finance Limited</t>
  </si>
  <si>
    <t>INE612J01015</t>
  </si>
  <si>
    <t>REPL</t>
  </si>
  <si>
    <t>Rudrabhishek Enterprises Limited</t>
  </si>
  <si>
    <t>INE364Z01019</t>
  </si>
  <si>
    <t>Repro India Limited</t>
  </si>
  <si>
    <t>INE461B01014</t>
  </si>
  <si>
    <t>Responsive Industries Limited</t>
  </si>
  <si>
    <t>INE688D01026</t>
  </si>
  <si>
    <t>RETAIL</t>
  </si>
  <si>
    <t>JHS Svendgaard Retail Ventures Limited</t>
  </si>
  <si>
    <t>INE03DD01011</t>
  </si>
  <si>
    <t>Renaissance Global Limited</t>
  </si>
  <si>
    <t>INE722H01024</t>
  </si>
  <si>
    <t>RHFL</t>
  </si>
  <si>
    <t>Reliance Home Finance Limited</t>
  </si>
  <si>
    <t>INE217K01011</t>
  </si>
  <si>
    <t>RHI MAGNESITA INDIA LIMITED</t>
  </si>
  <si>
    <t>INE743M01012</t>
  </si>
  <si>
    <t>RHL</t>
  </si>
  <si>
    <t>Robust Hotels Limited</t>
  </si>
  <si>
    <t>INE508K01013</t>
  </si>
  <si>
    <t>Rico Auto Industries Limited</t>
  </si>
  <si>
    <t>INE209B01025</t>
  </si>
  <si>
    <t>Reliance Industrial Infrastructure Limited</t>
  </si>
  <si>
    <t>INE046A01015</t>
  </si>
  <si>
    <t>Rishabh Instruments Limited</t>
  </si>
  <si>
    <t>INE0N2P01017</t>
  </si>
  <si>
    <t>Ritco Logistics Limited</t>
  </si>
  <si>
    <t>INE01EG01016</t>
  </si>
  <si>
    <t>RITES Limited</t>
  </si>
  <si>
    <t>INE320J01015</t>
  </si>
  <si>
    <t>RKDL</t>
  </si>
  <si>
    <t>Ravi Kumar Distilleries Limited</t>
  </si>
  <si>
    <t>INE722J01012</t>
  </si>
  <si>
    <t>RKEC</t>
  </si>
  <si>
    <t>RKEC Projects Limited</t>
  </si>
  <si>
    <t>INE786W01010</t>
  </si>
  <si>
    <t>Ramkrishna Forgings Limited</t>
  </si>
  <si>
    <t>INE399G01023</t>
  </si>
  <si>
    <t>R K Swamy Limited</t>
  </si>
  <si>
    <t>INE0NQ801033</t>
  </si>
  <si>
    <t>RMDRIP</t>
  </si>
  <si>
    <t>R M Drip and Sprinklers Systems Limited</t>
  </si>
  <si>
    <t>INE219Y01018</t>
  </si>
  <si>
    <t>Rane (Madras) Limited</t>
  </si>
  <si>
    <t>INE050H01012</t>
  </si>
  <si>
    <t>R&amp;B Denims Limited</t>
  </si>
  <si>
    <t>INE012Q01021</t>
  </si>
  <si>
    <t>Royal Orchid Hotels Limited</t>
  </si>
  <si>
    <t>INE283H01019</t>
  </si>
  <si>
    <t>Rolex Rings Limited</t>
  </si>
  <si>
    <t>INE645S01016</t>
  </si>
  <si>
    <t>ROLLT</t>
  </si>
  <si>
    <t>Rollatainers Limited</t>
  </si>
  <si>
    <t>INE927A01040</t>
  </si>
  <si>
    <t>ROLTA</t>
  </si>
  <si>
    <t>Rolta India Limited</t>
  </si>
  <si>
    <t>INE293A01013</t>
  </si>
  <si>
    <t>ROML</t>
  </si>
  <si>
    <t>Raj Oil Mills Limited</t>
  </si>
  <si>
    <t>INE294G01026</t>
  </si>
  <si>
    <t>Rossari Biotech Limited</t>
  </si>
  <si>
    <t>INE02A801020</t>
  </si>
  <si>
    <t>Rossell India Limited</t>
  </si>
  <si>
    <t>INE847C01020</t>
  </si>
  <si>
    <t>ROSSTECH</t>
  </si>
  <si>
    <t>Rossell Techsys Limited</t>
  </si>
  <si>
    <t>INE0OJW01016</t>
  </si>
  <si>
    <t>Roto Pumps Limited</t>
  </si>
  <si>
    <t>INE535D01037</t>
  </si>
  <si>
    <t>ROUTE MOBILE LIMITED</t>
  </si>
  <si>
    <t>INE450U01017</t>
  </si>
  <si>
    <t>RPEL</t>
  </si>
  <si>
    <t>Raghav Productivity Enhancers Limited</t>
  </si>
  <si>
    <t>INE912T01018</t>
  </si>
  <si>
    <t>RPG Life Sciences Limited</t>
  </si>
  <si>
    <t>INE105J01010</t>
  </si>
  <si>
    <t>Reliance Power Limited</t>
  </si>
  <si>
    <t>INE614G01033</t>
  </si>
  <si>
    <t>R.P.P. Infra Projects Limited</t>
  </si>
  <si>
    <t>INE324L01013</t>
  </si>
  <si>
    <t>RPPL</t>
  </si>
  <si>
    <t>Rajshree Polypack Limited</t>
  </si>
  <si>
    <t>INE760W01023</t>
  </si>
  <si>
    <t>RPSG VENTURES LIMITED</t>
  </si>
  <si>
    <t>INE425Y01011</t>
  </si>
  <si>
    <t>Rashi Peripherals Limited</t>
  </si>
  <si>
    <t>INE0J1F01024</t>
  </si>
  <si>
    <t>R R Kabel Limited</t>
  </si>
  <si>
    <t>INE777K01022</t>
  </si>
  <si>
    <t>R. S. Software (India) Limited</t>
  </si>
  <si>
    <t>INE165B01029</t>
  </si>
  <si>
    <t>RSWM Limited</t>
  </si>
  <si>
    <t>INE611A01016</t>
  </si>
  <si>
    <t>R Systems International Limited</t>
  </si>
  <si>
    <t>INE411H01032</t>
  </si>
  <si>
    <t>RattanIndia Enterprises Limited</t>
  </si>
  <si>
    <t>INE834M01019</t>
  </si>
  <si>
    <t>RattanIndia Power Limited</t>
  </si>
  <si>
    <t>INE399K01017</t>
  </si>
  <si>
    <t>RUBFILA</t>
  </si>
  <si>
    <t>Rubfila International Limited</t>
  </si>
  <si>
    <t>INE642C01025</t>
  </si>
  <si>
    <t>The Ruby Mills Limited</t>
  </si>
  <si>
    <t>INE301D01026</t>
  </si>
  <si>
    <t>RUCHINFRA</t>
  </si>
  <si>
    <t>Ruchi Infrastructure Limited</t>
  </si>
  <si>
    <t>INE413B01023</t>
  </si>
  <si>
    <t>RUCHIRA</t>
  </si>
  <si>
    <t>Ruchira Papers Limited</t>
  </si>
  <si>
    <t>INE803H01014</t>
  </si>
  <si>
    <t>Rupa &amp; Company Limited</t>
  </si>
  <si>
    <t>INE895B01021</t>
  </si>
  <si>
    <t>Rushil Decor Limited</t>
  </si>
  <si>
    <t>INE573K01025</t>
  </si>
  <si>
    <t>Keystone Realtors Limited</t>
  </si>
  <si>
    <t>INE263M01029</t>
  </si>
  <si>
    <t>RVHL</t>
  </si>
  <si>
    <t>Ravinder Heights Limited</t>
  </si>
  <si>
    <t>INE09E501017</t>
  </si>
  <si>
    <t>Rail Vikas Nigam Limited</t>
  </si>
  <si>
    <t>INE415G01027</t>
  </si>
  <si>
    <t>RVTH</t>
  </si>
  <si>
    <t>Revathi Equipment India Limited</t>
  </si>
  <si>
    <t>INE0DAB01012</t>
  </si>
  <si>
    <t>S&amp;SPOWER</t>
  </si>
  <si>
    <t>S&amp;S Power Switchgears Limited</t>
  </si>
  <si>
    <t>INE902B01017</t>
  </si>
  <si>
    <t>SABEVENTS</t>
  </si>
  <si>
    <t>Sab Events &amp; Governance Now Media Limited</t>
  </si>
  <si>
    <t>INE860T01019</t>
  </si>
  <si>
    <t>SABTNL</t>
  </si>
  <si>
    <t>Sri Adhikari Brothers Television Network Limited</t>
  </si>
  <si>
    <t>INE416A01044</t>
  </si>
  <si>
    <t>Sadbhav Engineering Limited</t>
  </si>
  <si>
    <t>INE226H01026</t>
  </si>
  <si>
    <t>SADBHIN</t>
  </si>
  <si>
    <t>Sadbhav Infrastructure Project Limited</t>
  </si>
  <si>
    <t>INE764L01010</t>
  </si>
  <si>
    <t>Sadhana Nitrochem Limited</t>
  </si>
  <si>
    <t>INE888C01040</t>
  </si>
  <si>
    <t>Safari Industries (India) Limited</t>
  </si>
  <si>
    <t>INE429E01023</t>
  </si>
  <si>
    <t>SAGARDEEP</t>
  </si>
  <si>
    <t>Sagardeep Alloys Limited</t>
  </si>
  <si>
    <t>INE976T01013</t>
  </si>
  <si>
    <t>Sagar Cements Limited</t>
  </si>
  <si>
    <t>INE229C01021</t>
  </si>
  <si>
    <t>SAGILITY</t>
  </si>
  <si>
    <t>Sagility India Limited</t>
  </si>
  <si>
    <t>INE0W2G01015</t>
  </si>
  <si>
    <t>SAHYADRI</t>
  </si>
  <si>
    <t>Sahyadri Industries Limited</t>
  </si>
  <si>
    <t>INE280H01015</t>
  </si>
  <si>
    <t>Steel Authority of India Limited</t>
  </si>
  <si>
    <t>INE114A01011</t>
  </si>
  <si>
    <t>SAILIFE</t>
  </si>
  <si>
    <t>Sai Life Sciences Limited</t>
  </si>
  <si>
    <t>INE570L01029</t>
  </si>
  <si>
    <t>Sakar Healthcare Limited</t>
  </si>
  <si>
    <t>INE732S01012</t>
  </si>
  <si>
    <t>SAKHTISUG</t>
  </si>
  <si>
    <t>Sakthi Sugars Limited</t>
  </si>
  <si>
    <t>INE623A01011</t>
  </si>
  <si>
    <t>Saksoft Limited</t>
  </si>
  <si>
    <t>INE667G01023</t>
  </si>
  <si>
    <t>Sakuma Exports Limited</t>
  </si>
  <si>
    <t>INE190H01024</t>
  </si>
  <si>
    <t>Salasar Techno Engineering Limited</t>
  </si>
  <si>
    <t>INE170V01027</t>
  </si>
  <si>
    <t>SALONA</t>
  </si>
  <si>
    <t>Salona Cotspin Limited</t>
  </si>
  <si>
    <t>INE498E01010</t>
  </si>
  <si>
    <t>SALSTEEL</t>
  </si>
  <si>
    <t>S.A.L. Steel Limited</t>
  </si>
  <si>
    <t>INE658G01014</t>
  </si>
  <si>
    <t>Salzer Electronics Limited</t>
  </si>
  <si>
    <t>INE457F01013</t>
  </si>
  <si>
    <t>SAMBHAAV</t>
  </si>
  <si>
    <t>Sambhaav Media Limited</t>
  </si>
  <si>
    <t>INE699B01027</t>
  </si>
  <si>
    <t>SAMBHV</t>
  </si>
  <si>
    <t>Sambhv Steel Tubes Limited</t>
  </si>
  <si>
    <t>INE12NJ01018</t>
  </si>
  <si>
    <t>Samhi Hotels Limited</t>
  </si>
  <si>
    <t>INE08U801020</t>
  </si>
  <si>
    <t>SAMMAANCAP</t>
  </si>
  <si>
    <t>Sammaan Capital Limited</t>
  </si>
  <si>
    <t>INE148I01020</t>
  </si>
  <si>
    <t>SAMPANN</t>
  </si>
  <si>
    <t>Sampann Utpadan India Limited</t>
  </si>
  <si>
    <t>INE735M01018</t>
  </si>
  <si>
    <t>SANATHAN</t>
  </si>
  <si>
    <t>Sanathan Textiles Limited</t>
  </si>
  <si>
    <t>INE0JPD01013</t>
  </si>
  <si>
    <t>SANCO</t>
  </si>
  <si>
    <t>Sanco Industries Limited</t>
  </si>
  <si>
    <t>INE782L01012</t>
  </si>
  <si>
    <t>The Sandesh Limited</t>
  </si>
  <si>
    <t>INE583B01015</t>
  </si>
  <si>
    <t>Sandhar Technologies Limited</t>
  </si>
  <si>
    <t>INE278H01035</t>
  </si>
  <si>
    <t>Sandur Manganese &amp; Iron Ores Limited</t>
  </si>
  <si>
    <t>INE149K01016</t>
  </si>
  <si>
    <t>Sangam (India) Limited</t>
  </si>
  <si>
    <t>INE495C01010</t>
  </si>
  <si>
    <t>Sanghi Industries Limited</t>
  </si>
  <si>
    <t>INE999B01013</t>
  </si>
  <si>
    <t>Sanghvi Movers Limited</t>
  </si>
  <si>
    <t>INE989A01032</t>
  </si>
  <si>
    <t>SANGINITA</t>
  </si>
  <si>
    <t>Sanginita Chemicals Limited</t>
  </si>
  <si>
    <t>INE753W01010</t>
  </si>
  <si>
    <t>Sanofi India Limited</t>
  </si>
  <si>
    <t>INE058A01010</t>
  </si>
  <si>
    <t>SANOFICONR</t>
  </si>
  <si>
    <t>Sanofi Consumer Healthcare India Limited</t>
  </si>
  <si>
    <t>INE0UOS01011</t>
  </si>
  <si>
    <t>Sansera Engineering Limited</t>
  </si>
  <si>
    <t>INE953O01021</t>
  </si>
  <si>
    <t>SANSTAR</t>
  </si>
  <si>
    <t>Sanstar Limited</t>
  </si>
  <si>
    <t>INE08NE01025</t>
  </si>
  <si>
    <t>SANWARIA</t>
  </si>
  <si>
    <t>Sanwaria Consumer Limited</t>
  </si>
  <si>
    <t>INE890C01046</t>
  </si>
  <si>
    <t>Sapphire Foods India Limited</t>
  </si>
  <si>
    <t>INE806T01020</t>
  </si>
  <si>
    <t>Sarda Energy &amp; Minerals Limited</t>
  </si>
  <si>
    <t>INE385C01021</t>
  </si>
  <si>
    <t>Saregama India Limited</t>
  </si>
  <si>
    <t>INE979A01025</t>
  </si>
  <si>
    <t>Sarla Performance Fibers Limited</t>
  </si>
  <si>
    <t>INE453D01025</t>
  </si>
  <si>
    <t>SARVES-RE</t>
  </si>
  <si>
    <t>Sarveshwar Foods Limited-RE</t>
  </si>
  <si>
    <t>INE324X20018</t>
  </si>
  <si>
    <t>Sarveshwar Foods Limited</t>
  </si>
  <si>
    <t>INE324X01026</t>
  </si>
  <si>
    <t>Sasken Technologies Limited</t>
  </si>
  <si>
    <t>INE231F01020</t>
  </si>
  <si>
    <t>Sastasundar Ventures Limited</t>
  </si>
  <si>
    <t>INE019J01013</t>
  </si>
  <si>
    <t>Satia Industries Limited</t>
  </si>
  <si>
    <t>INE170E01023</t>
  </si>
  <si>
    <t>Satin Creditcare Network Limited</t>
  </si>
  <si>
    <t>INE836B01017</t>
  </si>
  <si>
    <t>Saurashtra Cement Limited</t>
  </si>
  <si>
    <t>INE626A01014</t>
  </si>
  <si>
    <t>SBC Exports Limited</t>
  </si>
  <si>
    <t>INE04AK01028</t>
  </si>
  <si>
    <t>Shivalik Bimetal Controls Limited</t>
  </si>
  <si>
    <t>INE386D01027</t>
  </si>
  <si>
    <t>SBFC Finance Limited</t>
  </si>
  <si>
    <t>INE423Y01016</t>
  </si>
  <si>
    <t>Suratwwala Business Group Limited</t>
  </si>
  <si>
    <t>INE05ST01028</t>
  </si>
  <si>
    <t>SBI Cards and Payment Services Limited</t>
  </si>
  <si>
    <t>INE018E01016</t>
  </si>
  <si>
    <t>SBI Life Insurance Company Limited</t>
  </si>
  <si>
    <t>INE123W01016</t>
  </si>
  <si>
    <t>State Bank of India</t>
  </si>
  <si>
    <t>INE062A01020</t>
  </si>
  <si>
    <t>Schaeffler India Limited</t>
  </si>
  <si>
    <t>INE513A01022</t>
  </si>
  <si>
    <t>S Chand And Company Limited</t>
  </si>
  <si>
    <t>INE807K01035</t>
  </si>
  <si>
    <t>Schneider Electric Infrastructure Limited</t>
  </si>
  <si>
    <t>INE839M01018</t>
  </si>
  <si>
    <t>Shipping Corporation Of India Limited</t>
  </si>
  <si>
    <t>INE109A01011</t>
  </si>
  <si>
    <t>Shipping Corporation of India Land and Assets Limited</t>
  </si>
  <si>
    <t>INE0PB301013</t>
  </si>
  <si>
    <t>SCODATUBES</t>
  </si>
  <si>
    <t>Scoda Tubes Limited</t>
  </si>
  <si>
    <t>INE090501011</t>
  </si>
  <si>
    <t>Sheetal Cool Products Limited</t>
  </si>
  <si>
    <t>INE501Y01019</t>
  </si>
  <si>
    <t>Som Distilleries &amp; Breweries Limited</t>
  </si>
  <si>
    <t>INE480C01038</t>
  </si>
  <si>
    <t>Seamec Limited</t>
  </si>
  <si>
    <t>INE497B01018</t>
  </si>
  <si>
    <t>SECMARK</t>
  </si>
  <si>
    <t>SecMark Consultancy Limited</t>
  </si>
  <si>
    <t>INE0BTM01013</t>
  </si>
  <si>
    <t>SECURKLOUD</t>
  </si>
  <si>
    <t>SECUREKLOUD TECHNOLOGIES LIMITED</t>
  </si>
  <si>
    <t>INE650K01021</t>
  </si>
  <si>
    <t>SEJALLTD</t>
  </si>
  <si>
    <t>Sejal Glass Limited</t>
  </si>
  <si>
    <t>INE955I01044</t>
  </si>
  <si>
    <t>Selan Exploration Technology Limited</t>
  </si>
  <si>
    <t>INE818A01017</t>
  </si>
  <si>
    <t>SELMC</t>
  </si>
  <si>
    <t>SEL Manufacturing Company Limited</t>
  </si>
  <si>
    <t>INE105I01020</t>
  </si>
  <si>
    <t>SEMAC</t>
  </si>
  <si>
    <t>Semac Construction Limited</t>
  </si>
  <si>
    <t>INE617A01013</t>
  </si>
  <si>
    <t>Senco Gold Limited</t>
  </si>
  <si>
    <t>INE602W01027</t>
  </si>
  <si>
    <t>SENORES</t>
  </si>
  <si>
    <t>Senores Pharmaceuticals Limited</t>
  </si>
  <si>
    <t>INE0RB801010</t>
  </si>
  <si>
    <t>SEPC Limited</t>
  </si>
  <si>
    <t>INE964H01014</t>
  </si>
  <si>
    <t>Sequent Scientific Limited</t>
  </si>
  <si>
    <t>INE807F01027</t>
  </si>
  <si>
    <t>Servotech Renewable Power System Limited</t>
  </si>
  <si>
    <t>INE782X01033</t>
  </si>
  <si>
    <t>Seshasayee Paper and Boards Limited</t>
  </si>
  <si>
    <t>INE630A01024</t>
  </si>
  <si>
    <t>SETCO</t>
  </si>
  <si>
    <t>Setco Automotive Limited</t>
  </si>
  <si>
    <t>INE878E01021</t>
  </si>
  <si>
    <t>SEYAIND</t>
  </si>
  <si>
    <t>Seya Industries Limited</t>
  </si>
  <si>
    <t>INE573R01012</t>
  </si>
  <si>
    <t>Sheela Foam Limited</t>
  </si>
  <si>
    <t>INE916U01025</t>
  </si>
  <si>
    <t>SGFIN</t>
  </si>
  <si>
    <t>SG Finserve Limited</t>
  </si>
  <si>
    <t>INE618R01015</t>
  </si>
  <si>
    <t>Synergy Green Industries Limited</t>
  </si>
  <si>
    <t>INE00QT01015</t>
  </si>
  <si>
    <t>SGL</t>
  </si>
  <si>
    <t>STL Global Limited</t>
  </si>
  <si>
    <t>INE353H01010</t>
  </si>
  <si>
    <t>SGLTL</t>
  </si>
  <si>
    <t>Standard Glass Lining Technology Limited</t>
  </si>
  <si>
    <t>INE0M4D01010</t>
  </si>
  <si>
    <t>SHAH</t>
  </si>
  <si>
    <t>Shah Metacorp Limited</t>
  </si>
  <si>
    <t>INE482J01021</t>
  </si>
  <si>
    <t>SHAHALLOYS</t>
  </si>
  <si>
    <t>Shah Alloys Limited</t>
  </si>
  <si>
    <t>INE640C01011</t>
  </si>
  <si>
    <t>Shaily Engineering Plastics Limited</t>
  </si>
  <si>
    <t>INE151G01028</t>
  </si>
  <si>
    <t>Shakti Pumps (India) Limited</t>
  </si>
  <si>
    <t>INE908D01010</t>
  </si>
  <si>
    <t>Shalby Limited</t>
  </si>
  <si>
    <t>INE597J01018</t>
  </si>
  <si>
    <t>Shalimar Paints Limited</t>
  </si>
  <si>
    <t>INE849C01026</t>
  </si>
  <si>
    <t>Shankara Building Products Limited</t>
  </si>
  <si>
    <t>INE274V01019</t>
  </si>
  <si>
    <t>SHANTI</t>
  </si>
  <si>
    <t>Shanti Overseas (India) Limited</t>
  </si>
  <si>
    <t>INE933X01016</t>
  </si>
  <si>
    <t>Shanthi Gears Limited</t>
  </si>
  <si>
    <t>INE631A01022</t>
  </si>
  <si>
    <t>SHANTIGOLD</t>
  </si>
  <si>
    <t>Shanti Gold International Limited</t>
  </si>
  <si>
    <t>INE06ZD01017</t>
  </si>
  <si>
    <t>Sharda Cropchem Limited</t>
  </si>
  <si>
    <t>INE221J01015</t>
  </si>
  <si>
    <t>Sharda Motor Industries Limited</t>
  </si>
  <si>
    <t>INE597I01028</t>
  </si>
  <si>
    <t>Share India Securities Limited</t>
  </si>
  <si>
    <t>INE932X01026</t>
  </si>
  <si>
    <t>SHEKHAWATI</t>
  </si>
  <si>
    <t>Shekhawati Industries Limited</t>
  </si>
  <si>
    <t>INE268L01046</t>
  </si>
  <si>
    <t>SHEMAROO</t>
  </si>
  <si>
    <t>Shemaroo Entertainment Limited</t>
  </si>
  <si>
    <t>INE363M01019</t>
  </si>
  <si>
    <t>Shilpa Medicare Limited</t>
  </si>
  <si>
    <t>INE790G01031</t>
  </si>
  <si>
    <t>Shivalik Rasayan Limited</t>
  </si>
  <si>
    <t>INE788J01021</t>
  </si>
  <si>
    <t>Shivam Autotech Limited</t>
  </si>
  <si>
    <t>INE637H01024</t>
  </si>
  <si>
    <t>SHIVAMILLS</t>
  </si>
  <si>
    <t>Shiva Mills Limited</t>
  </si>
  <si>
    <t>INE644Y01017</t>
  </si>
  <si>
    <t>SHIVATEX</t>
  </si>
  <si>
    <t>Shiva Texyarn Limited</t>
  </si>
  <si>
    <t>INE705C01020</t>
  </si>
  <si>
    <t>S H Kelkar and Company Limited</t>
  </si>
  <si>
    <t>INE500L01026</t>
  </si>
  <si>
    <t>Shoppers Stop Limited</t>
  </si>
  <si>
    <t>INE498B01024</t>
  </si>
  <si>
    <t>SHRADHA</t>
  </si>
  <si>
    <t>Shradha Infraprojects Limited</t>
  </si>
  <si>
    <t>INE715Y01031</t>
  </si>
  <si>
    <t>Shree Digvijay Cement Co.Ltd</t>
  </si>
  <si>
    <t>INE232A01011</t>
  </si>
  <si>
    <t>SHREE CEMENT LIMITED</t>
  </si>
  <si>
    <t>INE070A01015</t>
  </si>
  <si>
    <t>SHREEJISPG</t>
  </si>
  <si>
    <t>Shreeji Shipping Global Limited</t>
  </si>
  <si>
    <t>INE1B6101010</t>
  </si>
  <si>
    <t>Shree Pushkar Chemicals &amp; Fertilisers Limited</t>
  </si>
  <si>
    <t>INE712K01011</t>
  </si>
  <si>
    <t>SHREERAMA</t>
  </si>
  <si>
    <t>Shree Rama Multi-Tech Limited</t>
  </si>
  <si>
    <t>INE879A01019</t>
  </si>
  <si>
    <t>SHRENIK</t>
  </si>
  <si>
    <t>Shrenik Limited</t>
  </si>
  <si>
    <t>INE632X01030</t>
  </si>
  <si>
    <t>SHREYANIND</t>
  </si>
  <si>
    <t>Shreyans Industries Limited</t>
  </si>
  <si>
    <t>INE231C01019</t>
  </si>
  <si>
    <t>Shriram Pistons &amp; Rings Limited</t>
  </si>
  <si>
    <t>INE526E01018</t>
  </si>
  <si>
    <t>Shriram Finance Limited</t>
  </si>
  <si>
    <t>INE721A01047</t>
  </si>
  <si>
    <t>Shriram Properties Limited</t>
  </si>
  <si>
    <t>INE217L01019</t>
  </si>
  <si>
    <t>SHYAMCENT</t>
  </si>
  <si>
    <t>Shyam Century Ferrous Limited</t>
  </si>
  <si>
    <t>INE979R01011</t>
  </si>
  <si>
    <t>Shyam Metalics and Energy Limited</t>
  </si>
  <si>
    <t>INE810G01011</t>
  </si>
  <si>
    <t>SHYAMTEL</t>
  </si>
  <si>
    <t>Shyam Telecom Limited</t>
  </si>
  <si>
    <t>INE635A01023</t>
  </si>
  <si>
    <t>Sical Logistics Limited</t>
  </si>
  <si>
    <t>INE075B01020</t>
  </si>
  <si>
    <t>Siemens Limited</t>
  </si>
  <si>
    <t>INE003A01024</t>
  </si>
  <si>
    <t>Sigachi Industries Limited</t>
  </si>
  <si>
    <t>INE0D0K01022</t>
  </si>
  <si>
    <t>SIGIND</t>
  </si>
  <si>
    <t>Signet Industries Limited</t>
  </si>
  <si>
    <t>INE529F01035</t>
  </si>
  <si>
    <t>SIGMA</t>
  </si>
  <si>
    <t>Sigma Solve Limited</t>
  </si>
  <si>
    <t>INE0A0S01010</t>
  </si>
  <si>
    <t>Signatureglobal (India) Limited</t>
  </si>
  <si>
    <t>INE903U01023</t>
  </si>
  <si>
    <t>Signpost India Limited</t>
  </si>
  <si>
    <t>INE0KGZ01021</t>
  </si>
  <si>
    <t>SIKKO</t>
  </si>
  <si>
    <t>Sikko Industries Limited</t>
  </si>
  <si>
    <t>INE112X01017</t>
  </si>
  <si>
    <t>SIL</t>
  </si>
  <si>
    <t>Standard Industries Limited</t>
  </si>
  <si>
    <t>INE173A01025</t>
  </si>
  <si>
    <t>SILGO</t>
  </si>
  <si>
    <t>Silgo Retail Limited</t>
  </si>
  <si>
    <t>INE01II01013</t>
  </si>
  <si>
    <t>SIL Investments Limited</t>
  </si>
  <si>
    <t>INE923A01015</t>
  </si>
  <si>
    <t>SILLYMONKS</t>
  </si>
  <si>
    <t>Silly Monks Entertainment Limited</t>
  </si>
  <si>
    <t>INE203Y01012</t>
  </si>
  <si>
    <t>Silver Touch Technologies Limited</t>
  </si>
  <si>
    <t>INE625X01018</t>
  </si>
  <si>
    <t>SIMBHALS</t>
  </si>
  <si>
    <t>Simbhaoli Sugars Limited</t>
  </si>
  <si>
    <t>INE748T01016</t>
  </si>
  <si>
    <t>Simplex Infrastructures Limited</t>
  </si>
  <si>
    <t>INE059B01024</t>
  </si>
  <si>
    <t>Sinclairs Hotels Limited</t>
  </si>
  <si>
    <t>INE985A01022</t>
  </si>
  <si>
    <t>Sindhu Trade Links Limited</t>
  </si>
  <si>
    <t>INE325D01025</t>
  </si>
  <si>
    <t>SINTERCOM</t>
  </si>
  <si>
    <t>Sintercom India Limited</t>
  </si>
  <si>
    <t>INE129Z01016</t>
  </si>
  <si>
    <t>Sirca Paints India Limited</t>
  </si>
  <si>
    <t>INE792Z01011</t>
  </si>
  <si>
    <t>SIS LIMITED</t>
  </si>
  <si>
    <t>INE285J01028</t>
  </si>
  <si>
    <t>SITINET</t>
  </si>
  <si>
    <t>Siti Networks Limited</t>
  </si>
  <si>
    <t>INE965H01011</t>
  </si>
  <si>
    <t>Siyaram Silk Mills Limited</t>
  </si>
  <si>
    <t>INE076B01028</t>
  </si>
  <si>
    <t>S.J.S. Enterprises Limited</t>
  </si>
  <si>
    <t>INE284S01014</t>
  </si>
  <si>
    <t>SJVN Limited</t>
  </si>
  <si>
    <t>INE002L01015</t>
  </si>
  <si>
    <t>SKF India Limited</t>
  </si>
  <si>
    <t>INE640A01023</t>
  </si>
  <si>
    <t>Skipper Limited</t>
  </si>
  <si>
    <t>INE439E01022</t>
  </si>
  <si>
    <t>SKM Egg Products Export (India) Limited</t>
  </si>
  <si>
    <t>INE411D01015</t>
  </si>
  <si>
    <t>SKY GOLD AND DIAMONDS LIMITED</t>
  </si>
  <si>
    <t>INE01IU01018</t>
  </si>
  <si>
    <t>SMARTLINK</t>
  </si>
  <si>
    <t>Smartlink Holdings Limited</t>
  </si>
  <si>
    <t>INE178C01020</t>
  </si>
  <si>
    <t>SMARTWORKS</t>
  </si>
  <si>
    <t>Smartworks Coworking Spaces Limited</t>
  </si>
  <si>
    <t>INE0NAZ01010</t>
  </si>
  <si>
    <t>SMC Global Securities Limited</t>
  </si>
  <si>
    <t>INE103C01036</t>
  </si>
  <si>
    <t>SML Isuzu Limited</t>
  </si>
  <si>
    <t>INE294B01019</t>
  </si>
  <si>
    <t>SMLT</t>
  </si>
  <si>
    <t>Sarthak Metals Limited</t>
  </si>
  <si>
    <t>INE017W01010</t>
  </si>
  <si>
    <t>SMSLIFE</t>
  </si>
  <si>
    <t>SMS Lifesciences India Limited</t>
  </si>
  <si>
    <t>INE320X01016</t>
  </si>
  <si>
    <t>SMS Pharmaceuticals Limited</t>
  </si>
  <si>
    <t>INE812G01025</t>
  </si>
  <si>
    <t>Snowman Logistics Limited</t>
  </si>
  <si>
    <t>INE734N01019</t>
  </si>
  <si>
    <t>Sobha Limited</t>
  </si>
  <si>
    <t>INE671H01015</t>
  </si>
  <si>
    <t>SOFTTECH</t>
  </si>
  <si>
    <t>Softtech Engineers Limited</t>
  </si>
  <si>
    <t>INE728Z01015</t>
  </si>
  <si>
    <t>Solara Active Pharma Sciences Limited</t>
  </si>
  <si>
    <t>INE624Z01016</t>
  </si>
  <si>
    <t>Solar Industries India Limited</t>
  </si>
  <si>
    <t>INE343H01029</t>
  </si>
  <si>
    <t>Somany Ceramics Limited</t>
  </si>
  <si>
    <t>INE355A01028</t>
  </si>
  <si>
    <t>SOMATEX</t>
  </si>
  <si>
    <t>Soma Textiles &amp; Industries Limited</t>
  </si>
  <si>
    <t>INE314C01013</t>
  </si>
  <si>
    <t>SOMICONVEY</t>
  </si>
  <si>
    <t>Somi Conveyor Beltings Limited</t>
  </si>
  <si>
    <t>INE323J01019</t>
  </si>
  <si>
    <t>Sona BLW Precision Forgings Limited</t>
  </si>
  <si>
    <t>INE073K01018</t>
  </si>
  <si>
    <t>SONAMLTD</t>
  </si>
  <si>
    <t>SONAM LIMITED</t>
  </si>
  <si>
    <t>INE00LM01029</t>
  </si>
  <si>
    <t>Sonata Software Limited</t>
  </si>
  <si>
    <t>INE269A01021</t>
  </si>
  <si>
    <t>Savita Oil Technologies Limited</t>
  </si>
  <si>
    <t>INE035D01020</t>
  </si>
  <si>
    <t>The South Indian Bank Limited</t>
  </si>
  <si>
    <t>INE683A01023</t>
  </si>
  <si>
    <t>SOUTHWEST</t>
  </si>
  <si>
    <t>South West Pinnacle Exploration Limited</t>
  </si>
  <si>
    <t>INE980Y01015</t>
  </si>
  <si>
    <t>S. P. Apparels Limited</t>
  </si>
  <si>
    <t>INE212I01016</t>
  </si>
  <si>
    <t>Spandana Sphoorty Financial Limited</t>
  </si>
  <si>
    <t>INE572J01011</t>
  </si>
  <si>
    <t>Sun Pharma Advanced Research Company Limited</t>
  </si>
  <si>
    <t>INE232I01014</t>
  </si>
  <si>
    <t>Spacenet Enterprises India Limited</t>
  </si>
  <si>
    <t>INE970N01027</t>
  </si>
  <si>
    <t>Speciality Restaurants Limited</t>
  </si>
  <si>
    <t>INE247M01014</t>
  </si>
  <si>
    <t>Spectrum Electrical Industries Limited</t>
  </si>
  <si>
    <t>INE01EO01010</t>
  </si>
  <si>
    <t>Spencer's Retail Limited</t>
  </si>
  <si>
    <t>INE020801028</t>
  </si>
  <si>
    <t>Southern Petrochemicals Industries Corporation  Limited</t>
  </si>
  <si>
    <t>INE147A01011</t>
  </si>
  <si>
    <t>SPLIL</t>
  </si>
  <si>
    <t>SPL Industries Limited</t>
  </si>
  <si>
    <t>INE978G01016</t>
  </si>
  <si>
    <t>Supreme Petrochem Limited</t>
  </si>
  <si>
    <t>INE663A01033</t>
  </si>
  <si>
    <t>SPML Infra Limited</t>
  </si>
  <si>
    <t>INE937A01023</t>
  </si>
  <si>
    <t>Sportking India Limited</t>
  </si>
  <si>
    <t>INE885H01029</t>
  </si>
  <si>
    <t>SRD</t>
  </si>
  <si>
    <t>Shankar Lal Rampal Dye-Chem Limited</t>
  </si>
  <si>
    <t>INE01NE01012</t>
  </si>
  <si>
    <t>Sreeleathers Limited</t>
  </si>
  <si>
    <t>INE099F01013</t>
  </si>
  <si>
    <t>SRF Limited</t>
  </si>
  <si>
    <t>INE647A01010</t>
  </si>
  <si>
    <t>SRG Housing Finance Limited</t>
  </si>
  <si>
    <t>INE559N01010</t>
  </si>
  <si>
    <t>Sree Rayalaseema Hi-Strength Hypo Limited</t>
  </si>
  <si>
    <t>INE917H01012</t>
  </si>
  <si>
    <t>SRM Contractors Limited</t>
  </si>
  <si>
    <t>INE0R6Z01013</t>
  </si>
  <si>
    <t>SRPL</t>
  </si>
  <si>
    <t>Shree Ram Proteins Limited</t>
  </si>
  <si>
    <t>INE008Z01020</t>
  </si>
  <si>
    <t>SSDL</t>
  </si>
  <si>
    <t>Saraswati Saree Depot Limited</t>
  </si>
  <si>
    <t>INE0PQ101010</t>
  </si>
  <si>
    <t>Steel Strips Wheels Limited</t>
  </si>
  <si>
    <t>INE802C01033</t>
  </si>
  <si>
    <t>Stallion India Fluorochemicals Limited</t>
  </si>
  <si>
    <t>INE0RYC01010</t>
  </si>
  <si>
    <t>Stanley Lifestyles Limited</t>
  </si>
  <si>
    <t>INE01A001028</t>
  </si>
  <si>
    <t>Strides Pharma Science Limited</t>
  </si>
  <si>
    <t>INE939A01011</t>
  </si>
  <si>
    <t>Star Cement Limited</t>
  </si>
  <si>
    <t>INE460H01021</t>
  </si>
  <si>
    <t>Star Health and Allied Insurance Company Limited</t>
  </si>
  <si>
    <t>INE575P01011</t>
  </si>
  <si>
    <t>STARPAPER</t>
  </si>
  <si>
    <t>Star Paper Mills Limited</t>
  </si>
  <si>
    <t>INE733A01018</t>
  </si>
  <si>
    <t>STARTECK</t>
  </si>
  <si>
    <t>Starteck Finance Limited</t>
  </si>
  <si>
    <t>INE992I01013</t>
  </si>
  <si>
    <t>The State Trading Corporation of India Limited</t>
  </si>
  <si>
    <t>INE655A01013</t>
  </si>
  <si>
    <t>Steelcast Limited</t>
  </si>
  <si>
    <t>INE124E01038</t>
  </si>
  <si>
    <t>STEELCITY</t>
  </si>
  <si>
    <t>Steel City Securities Limited</t>
  </si>
  <si>
    <t>INE395H01011</t>
  </si>
  <si>
    <t>STEEL EXCHANGE INDIA LIMITED</t>
  </si>
  <si>
    <t>INE503B01021</t>
  </si>
  <si>
    <t>Stel Holdings Limited</t>
  </si>
  <si>
    <t>INE577L01016</t>
  </si>
  <si>
    <t>Sterling Tools Limited</t>
  </si>
  <si>
    <t>INE334A01023</t>
  </si>
  <si>
    <t>STLNETWORK</t>
  </si>
  <si>
    <t>STL Networks Limited</t>
  </si>
  <si>
    <t>INE1VXE01018</t>
  </si>
  <si>
    <t>Sterlite Technologies Limited</t>
  </si>
  <si>
    <t>INE089C01029</t>
  </si>
  <si>
    <t>Stove Kraft Limited</t>
  </si>
  <si>
    <t>INE00IN01015</t>
  </si>
  <si>
    <t>Stylam Industries Limited</t>
  </si>
  <si>
    <t>INE239C01020</t>
  </si>
  <si>
    <t>Baazar Style Retail Limited</t>
  </si>
  <si>
    <t>INE01FR01028</t>
  </si>
  <si>
    <t>Styrenix Performance Materials Limited</t>
  </si>
  <si>
    <t>INE189B01011</t>
  </si>
  <si>
    <t>Subex Limited</t>
  </si>
  <si>
    <t>INE754A01055</t>
  </si>
  <si>
    <t>Subros Limited</t>
  </si>
  <si>
    <t>INE287B01021</t>
  </si>
  <si>
    <t>Sudarshan Chemical Industries Limited</t>
  </si>
  <si>
    <t>INE659A01023</t>
  </si>
  <si>
    <t>Sukhjit Starch &amp; Chemicals Limited</t>
  </si>
  <si>
    <t>INE450E01029</t>
  </si>
  <si>
    <t>Sula Vineyards Limited</t>
  </si>
  <si>
    <t>INE142Q01026</t>
  </si>
  <si>
    <t>SUMEETINDS</t>
  </si>
  <si>
    <t>Sumeet Industries Limited</t>
  </si>
  <si>
    <t>INE235C01028</t>
  </si>
  <si>
    <t>Sumitomo Chemical India Limited</t>
  </si>
  <si>
    <t>INE258G01013</t>
  </si>
  <si>
    <t>SUMIT</t>
  </si>
  <si>
    <t>Sumit Woods Limited</t>
  </si>
  <si>
    <t>INE748Z01013</t>
  </si>
  <si>
    <t>Summit Securities Limited</t>
  </si>
  <si>
    <t>INE519C01017</t>
  </si>
  <si>
    <t>Sundaram Clayton Limited</t>
  </si>
  <si>
    <t>INE0Q3R01026</t>
  </si>
  <si>
    <t>SUNDARAM</t>
  </si>
  <si>
    <t>Sundaram Multi Pap Limited</t>
  </si>
  <si>
    <t>INE108E01023</t>
  </si>
  <si>
    <t>Sundaram Finance Limited</t>
  </si>
  <si>
    <t>INE660A01013</t>
  </si>
  <si>
    <t>Sundaram Finance Holdings Limited</t>
  </si>
  <si>
    <t>INE202Z01029</t>
  </si>
  <si>
    <t>SUNDRMBRAK</t>
  </si>
  <si>
    <t>Sundaram Brake Linings Limited</t>
  </si>
  <si>
    <t>INE073D01013</t>
  </si>
  <si>
    <t>Sundram Fasteners Limited</t>
  </si>
  <si>
    <t>INE387A01021</t>
  </si>
  <si>
    <t>SUNDROP</t>
  </si>
  <si>
    <t>Sundrop Brands Limited</t>
  </si>
  <si>
    <t>INE209A01019</t>
  </si>
  <si>
    <t>Sunflag Iron And Steel Company Limited</t>
  </si>
  <si>
    <t>INE947A01014</t>
  </si>
  <si>
    <t>Sun Pharmaceutical Industries Limited</t>
  </si>
  <si>
    <t>INE044A01036</t>
  </si>
  <si>
    <t>Sunteck Realty Limited</t>
  </si>
  <si>
    <t>INE805D01034</t>
  </si>
  <si>
    <t>Sun TV Network Limited</t>
  </si>
  <si>
    <t>INE424H01027</t>
  </si>
  <si>
    <t>SUPERHOUSE</t>
  </si>
  <si>
    <t>Superhouse Limited</t>
  </si>
  <si>
    <t>INE712B01010</t>
  </si>
  <si>
    <t>SUPERSPIN</t>
  </si>
  <si>
    <t>Super Spinning Mills Limited</t>
  </si>
  <si>
    <t>INE662A01027</t>
  </si>
  <si>
    <t>Suprajit Engineering Limited</t>
  </si>
  <si>
    <t>INE399C01030</t>
  </si>
  <si>
    <t>SUPREME</t>
  </si>
  <si>
    <t>Supreme Holdings &amp; Hospitality (India) Limited</t>
  </si>
  <si>
    <t>INE822E01011</t>
  </si>
  <si>
    <t>Supreme Industries Limited</t>
  </si>
  <si>
    <t>INE195A01028</t>
  </si>
  <si>
    <t>SUPREMEINF</t>
  </si>
  <si>
    <t>Supreme Infrastructure India Limited</t>
  </si>
  <si>
    <t>INE550H01011</t>
  </si>
  <si>
    <t>Supriya Lifescience Limited</t>
  </si>
  <si>
    <t>INE07RO01027</t>
  </si>
  <si>
    <t>Suraj Estate Developers Limited</t>
  </si>
  <si>
    <t>INE843S01025</t>
  </si>
  <si>
    <t>SURAJLTD</t>
  </si>
  <si>
    <t>Suraj Limited</t>
  </si>
  <si>
    <t>INE713C01016</t>
  </si>
  <si>
    <t>SURAKSHA</t>
  </si>
  <si>
    <t>Suraksha Diagnostic Limited</t>
  </si>
  <si>
    <t>INE877V01027</t>
  </si>
  <si>
    <t>SURANASOL</t>
  </si>
  <si>
    <t>Surana Solar Limited</t>
  </si>
  <si>
    <t>INE272L01022</t>
  </si>
  <si>
    <t>SURANAT&amp;P</t>
  </si>
  <si>
    <t>Surana Telecom and Power Limited</t>
  </si>
  <si>
    <t>INE130B01031</t>
  </si>
  <si>
    <t>SURYALAXMI</t>
  </si>
  <si>
    <t>Suryalakshmi Cotton Mills Limited</t>
  </si>
  <si>
    <t>INE713B01026</t>
  </si>
  <si>
    <t>Surya Roshni Limited</t>
  </si>
  <si>
    <t>INE335A01020</t>
  </si>
  <si>
    <t>Suryoday Small Finance Bank Limited</t>
  </si>
  <si>
    <t>INE428Q01011</t>
  </si>
  <si>
    <t>Sutlej Textiles and Industries Limited</t>
  </si>
  <si>
    <t>INE645H01027</t>
  </si>
  <si>
    <t>Suven Life Sciences Limited</t>
  </si>
  <si>
    <t>INE495B01038</t>
  </si>
  <si>
    <t>SUVIDHAA</t>
  </si>
  <si>
    <t>Suvidhaa Infoserve Limited</t>
  </si>
  <si>
    <t>INE018401013</t>
  </si>
  <si>
    <t>Suyog Telematics Limited</t>
  </si>
  <si>
    <t>INE442P01014</t>
  </si>
  <si>
    <t>Suzlon Energy Limited</t>
  </si>
  <si>
    <t>INE040H01021</t>
  </si>
  <si>
    <t>SVLL</t>
  </si>
  <si>
    <t>Shree Vasu Logistics Limited</t>
  </si>
  <si>
    <t>INE00CE01017</t>
  </si>
  <si>
    <t>SVPGLOB</t>
  </si>
  <si>
    <t>SVP GLOBAL TEXTILES LIMITED</t>
  </si>
  <si>
    <t>INE308E01029</t>
  </si>
  <si>
    <t>SWANCORP</t>
  </si>
  <si>
    <t>SWAN CORP LIMITED</t>
  </si>
  <si>
    <t>INE665A01038</t>
  </si>
  <si>
    <t>SWANDEF</t>
  </si>
  <si>
    <t>Swan Defence and Heavy Industries Limited</t>
  </si>
  <si>
    <t>INE542F01020</t>
  </si>
  <si>
    <t>Swaraj Engines Limited</t>
  </si>
  <si>
    <t>INE277A01016</t>
  </si>
  <si>
    <t>Swelect Energy Systems Limited</t>
  </si>
  <si>
    <t>INE409B01013</t>
  </si>
  <si>
    <t>SWIGGY</t>
  </si>
  <si>
    <t>Swiggy Limited</t>
  </si>
  <si>
    <t>INE00H001014</t>
  </si>
  <si>
    <t>Sterling and Wilson Renewable Energy Limited</t>
  </si>
  <si>
    <t>INE00M201021</t>
  </si>
  <si>
    <t>Symphony Limited</t>
  </si>
  <si>
    <t>INE225D01027</t>
  </si>
  <si>
    <t>Syncom Formulations (India) Limited</t>
  </si>
  <si>
    <t>INE312C01025</t>
  </si>
  <si>
    <t>Syngene International Limited</t>
  </si>
  <si>
    <t>INE398R01022</t>
  </si>
  <si>
    <t>Syrma SGS Technology Limited</t>
  </si>
  <si>
    <t>INE0DYJ01015</t>
  </si>
  <si>
    <t>TAINWALCHM</t>
  </si>
  <si>
    <t>Tainwala Chemical and Plastic (I) Limited</t>
  </si>
  <si>
    <t>INE123C01018</t>
  </si>
  <si>
    <t>Taj GVK Hotels &amp; Resorts Limited</t>
  </si>
  <si>
    <t>INE586B01026</t>
  </si>
  <si>
    <t>TAKE</t>
  </si>
  <si>
    <t>Take Solutions Limited</t>
  </si>
  <si>
    <t>INE142I01023</t>
  </si>
  <si>
    <t>Talbros Automotive Components Limited</t>
  </si>
  <si>
    <t>INE187D01029</t>
  </si>
  <si>
    <t>Tanla Platforms Limited</t>
  </si>
  <si>
    <t>INE483C01032</t>
  </si>
  <si>
    <t>Tara Chand InfraLogistic Solutions Limited</t>
  </si>
  <si>
    <t>INE555Z01020</t>
  </si>
  <si>
    <t>TARAPUR</t>
  </si>
  <si>
    <t>Tarapur Transformers Limited</t>
  </si>
  <si>
    <t>INE747K01017</t>
  </si>
  <si>
    <t>TARC Limited</t>
  </si>
  <si>
    <t>INE0EK901012</t>
  </si>
  <si>
    <t>TARIL</t>
  </si>
  <si>
    <t>Transformers And Rectifiers (India) Limited</t>
  </si>
  <si>
    <t>INE763I01026</t>
  </si>
  <si>
    <t>TARMAT</t>
  </si>
  <si>
    <t>Tarmat Limited</t>
  </si>
  <si>
    <t>INE924H01018</t>
  </si>
  <si>
    <t>Tarsons Products Limited</t>
  </si>
  <si>
    <t>INE144Z01023</t>
  </si>
  <si>
    <t>Tasty Bite Eatables Limited</t>
  </si>
  <si>
    <t>INE488B01017</t>
  </si>
  <si>
    <t>Tata Chemicals Limited</t>
  </si>
  <si>
    <t>INE092A01019</t>
  </si>
  <si>
    <t>Tata Communications Limited</t>
  </si>
  <si>
    <t>INE151A01013</t>
  </si>
  <si>
    <t>TATA CONSUMER PRODUCTS LIMITED</t>
  </si>
  <si>
    <t>INE192A01025</t>
  </si>
  <si>
    <t>Tata Elxsi Limited</t>
  </si>
  <si>
    <t>INE670A01012</t>
  </si>
  <si>
    <t>Tata Investment Corporation Limited</t>
  </si>
  <si>
    <t>INE672A01018</t>
  </si>
  <si>
    <t>Tata Motors Limited</t>
  </si>
  <si>
    <t>INE155A01022</t>
  </si>
  <si>
    <t>Tata Power Company Limited</t>
  </si>
  <si>
    <t>INE245A01021</t>
  </si>
  <si>
    <t>Tata Steel Limited</t>
  </si>
  <si>
    <t>INE081A01020</t>
  </si>
  <si>
    <t>Tata Technologies Limited</t>
  </si>
  <si>
    <t>INE142M01025</t>
  </si>
  <si>
    <t>Tatva Chintan Pharma Chem Limited</t>
  </si>
  <si>
    <t>INE0GK401011</t>
  </si>
  <si>
    <t>TBO Tek Limited</t>
  </si>
  <si>
    <t>INE673O01025</t>
  </si>
  <si>
    <t>Tribhovandas Bhimji Zaveri Limited</t>
  </si>
  <si>
    <t>INE760L01018</t>
  </si>
  <si>
    <t>Transport Corporation of India Limited</t>
  </si>
  <si>
    <t>INE688A01022</t>
  </si>
  <si>
    <t>TCI Express Limited</t>
  </si>
  <si>
    <t>INE586V01016</t>
  </si>
  <si>
    <t>TCIFINANCE</t>
  </si>
  <si>
    <t>TCI Finance Limited</t>
  </si>
  <si>
    <t>INE911B01018</t>
  </si>
  <si>
    <t>TCPL Packaging Limited</t>
  </si>
  <si>
    <t>INE822C01015</t>
  </si>
  <si>
    <t>Tata Consultancy Services Limited</t>
  </si>
  <si>
    <t>INE467B01029</t>
  </si>
  <si>
    <t>TD Power Systems Limited</t>
  </si>
  <si>
    <t>INE419M01027</t>
  </si>
  <si>
    <t>TEAMGTY</t>
  </si>
  <si>
    <t>Team India Guaranty Limited</t>
  </si>
  <si>
    <t>INE289C01025</t>
  </si>
  <si>
    <t>Teamlease Services Limited</t>
  </si>
  <si>
    <t>INE985S01024</t>
  </si>
  <si>
    <t>Tech Mahindra Limited</t>
  </si>
  <si>
    <t>INE669C01036</t>
  </si>
  <si>
    <t>Techno Electric &amp; Engineering Company Limited</t>
  </si>
  <si>
    <t>INE285K01026</t>
  </si>
  <si>
    <t>TECILCHEM</t>
  </si>
  <si>
    <t>TECIL Chemicals and Hydro Power Limited</t>
  </si>
  <si>
    <t>INE014B01011</t>
  </si>
  <si>
    <t>Tega Industries Limited</t>
  </si>
  <si>
    <t>INE011K01018</t>
  </si>
  <si>
    <t>Tejas Networks Limited</t>
  </si>
  <si>
    <t>INE010J01012</t>
  </si>
  <si>
    <t>TEMBO</t>
  </si>
  <si>
    <t>Tembo Global Industries Limited</t>
  </si>
  <si>
    <t>INE869Y01010</t>
  </si>
  <si>
    <t>TERASOFT</t>
  </si>
  <si>
    <t>Tera Software Limited</t>
  </si>
  <si>
    <t>INE482B01010</t>
  </si>
  <si>
    <t>Texmaco Infrastructure &amp; Holdings Limited</t>
  </si>
  <si>
    <t>INE435C01024</t>
  </si>
  <si>
    <t>TEXMOPIPES</t>
  </si>
  <si>
    <t>Texmo Pipes and Products Limited</t>
  </si>
  <si>
    <t>INE141K01013</t>
  </si>
  <si>
    <t>Texmaco Rail &amp; Engineering Limited</t>
  </si>
  <si>
    <t>INE621L01012</t>
  </si>
  <si>
    <t>Tourism Finance Corporation of India Limited</t>
  </si>
  <si>
    <t>INE305A01015</t>
  </si>
  <si>
    <t>TFL</t>
  </si>
  <si>
    <t>Transwarranty Finance Limited</t>
  </si>
  <si>
    <t>INE804H01012</t>
  </si>
  <si>
    <t>TGBHOTELS</t>
  </si>
  <si>
    <t>TGB Banquets And Hotels Limited</t>
  </si>
  <si>
    <t>INE797H01018</t>
  </si>
  <si>
    <t>Thangamayil Jewellery Limited</t>
  </si>
  <si>
    <t>INE085J01014</t>
  </si>
  <si>
    <t>The Investment Trust Of India Limited</t>
  </si>
  <si>
    <t>INE924D01017</t>
  </si>
  <si>
    <t>Thejo Engineering Limited</t>
  </si>
  <si>
    <t>INE121N01019</t>
  </si>
  <si>
    <t>THELEELA</t>
  </si>
  <si>
    <t>Schloss Bangalore Limited</t>
  </si>
  <si>
    <t>INE0AQ201015</t>
  </si>
  <si>
    <t>Themis Medicare Limited</t>
  </si>
  <si>
    <t>INE083B01024</t>
  </si>
  <si>
    <t>Thermax Limited</t>
  </si>
  <si>
    <t>INE152A01029</t>
  </si>
  <si>
    <t>Thomas Cook  (India)  Limited</t>
  </si>
  <si>
    <t>INE332A01027</t>
  </si>
  <si>
    <t>THOMASCOTT</t>
  </si>
  <si>
    <t>Thomas Scott (India) Limited</t>
  </si>
  <si>
    <t>INE480M01011</t>
  </si>
  <si>
    <t>Thyrocare Technologies Limited</t>
  </si>
  <si>
    <t>INE594H01019</t>
  </si>
  <si>
    <t>Tilaknagar Industries Limited</t>
  </si>
  <si>
    <t>INE133E01013</t>
  </si>
  <si>
    <t>TICL</t>
  </si>
  <si>
    <t>Twamev Construction and Infrastructure Limited</t>
  </si>
  <si>
    <t>INE388G01026</t>
  </si>
  <si>
    <t>Technocraft Industries (India) Limited</t>
  </si>
  <si>
    <t>INE545H01011</t>
  </si>
  <si>
    <t>Tube Investments of India Limited</t>
  </si>
  <si>
    <t>INE974X01010</t>
  </si>
  <si>
    <t>TIJARIA</t>
  </si>
  <si>
    <t>Tijaria Polypipes Limited</t>
  </si>
  <si>
    <t>INE440L01017</t>
  </si>
  <si>
    <t>TIL Limited</t>
  </si>
  <si>
    <t>INE806C01018</t>
  </si>
  <si>
    <t>Time Technoplast Limited</t>
  </si>
  <si>
    <t>INE508G01029</t>
  </si>
  <si>
    <t>Timken India Limited</t>
  </si>
  <si>
    <t>INE325A01013</t>
  </si>
  <si>
    <t>Tinna Rubber and Infrastructure Limited</t>
  </si>
  <si>
    <t>INE015C01016</t>
  </si>
  <si>
    <t>TIPSFILMS</t>
  </si>
  <si>
    <t>Tips Films Limited</t>
  </si>
  <si>
    <t>INE0LQS01015</t>
  </si>
  <si>
    <t>TIPSMUSIC</t>
  </si>
  <si>
    <t>Tips Music Limited</t>
  </si>
  <si>
    <t>INE716B01029</t>
  </si>
  <si>
    <t>Thirumalai Chemicals Limited</t>
  </si>
  <si>
    <t>INE338A01024</t>
  </si>
  <si>
    <t>TIRUPATIFL</t>
  </si>
  <si>
    <t>Tirupati Forge Limited</t>
  </si>
  <si>
    <t>INE319Y01024</t>
  </si>
  <si>
    <t>TITAGARH RAIL SYSTEMS LIMITED</t>
  </si>
  <si>
    <t>INE615H01020</t>
  </si>
  <si>
    <t>Titan Company Limited</t>
  </si>
  <si>
    <t>INE280A01028</t>
  </si>
  <si>
    <t>Tamilnad Mercantile Bank Limited</t>
  </si>
  <si>
    <t>INE668A01016</t>
  </si>
  <si>
    <t>Tamilnadu PetroProducts Limited</t>
  </si>
  <si>
    <t>INE148A01019</t>
  </si>
  <si>
    <t>Tamil Nadu Newsprint &amp; Papers Limited</t>
  </si>
  <si>
    <t>INE107A01015</t>
  </si>
  <si>
    <t>TNTELE</t>
  </si>
  <si>
    <t>Tamilnadu Telecommunication Limited</t>
  </si>
  <si>
    <t>INE141D01018</t>
  </si>
  <si>
    <t>TOKYOPLAST</t>
  </si>
  <si>
    <t>Tokyo Plast International Limited</t>
  </si>
  <si>
    <t>INE932C01012</t>
  </si>
  <si>
    <t>TOLINS</t>
  </si>
  <si>
    <t>Tolins Tyres Limited</t>
  </si>
  <si>
    <t>INE0RWQ01014</t>
  </si>
  <si>
    <t>Torrent Pharmaceuticals Limited</t>
  </si>
  <si>
    <t>INE685A01028</t>
  </si>
  <si>
    <t>Torrent Power Limited</t>
  </si>
  <si>
    <t>INE813H01021</t>
  </si>
  <si>
    <t>TOTAL</t>
  </si>
  <si>
    <t>Total Transport Systems Limited</t>
  </si>
  <si>
    <t>INE336X01012</t>
  </si>
  <si>
    <t>TOUCHWOOD</t>
  </si>
  <si>
    <t>Touchwood Entertainment Limited</t>
  </si>
  <si>
    <t>INE486Y01013</t>
  </si>
  <si>
    <t>TPHQ</t>
  </si>
  <si>
    <t>Teamo Productions HQ Limited</t>
  </si>
  <si>
    <t>INE065J01024</t>
  </si>
  <si>
    <t>TPL Plastech Limited</t>
  </si>
  <si>
    <t>INE413G01022</t>
  </si>
  <si>
    <t>Tracxn Technologies Limited</t>
  </si>
  <si>
    <t>INE0HMF01019</t>
  </si>
  <si>
    <t>TRANSRAILL</t>
  </si>
  <si>
    <t>Transrail Lighting Limited</t>
  </si>
  <si>
    <t>INE454P01035</t>
  </si>
  <si>
    <t>TRANSWORLD</t>
  </si>
  <si>
    <t>TRANSWORLD SHIPPING LINES LIMITED</t>
  </si>
  <si>
    <t>INE757B01015</t>
  </si>
  <si>
    <t>TRAVELFOOD</t>
  </si>
  <si>
    <t>Travel Food Services Limited</t>
  </si>
  <si>
    <t>INE103V01028</t>
  </si>
  <si>
    <t>TREEHOUSE</t>
  </si>
  <si>
    <t>Tree House Education &amp; Accessories Limited</t>
  </si>
  <si>
    <t>INE040M01013</t>
  </si>
  <si>
    <t>TREJHARA</t>
  </si>
  <si>
    <t>TREJHARA SOLUTIONS LIMITED</t>
  </si>
  <si>
    <t>INE00CA01015</t>
  </si>
  <si>
    <t>Transindia Real Estate Limited</t>
  </si>
  <si>
    <t>INE0O3901029</t>
  </si>
  <si>
    <t>Trent Limited</t>
  </si>
  <si>
    <t>INE849A01020</t>
  </si>
  <si>
    <t>TRF Limited</t>
  </si>
  <si>
    <t>INE391D01019</t>
  </si>
  <si>
    <t>Trident Limited</t>
  </si>
  <si>
    <t>INE064C01022</t>
  </si>
  <si>
    <t>TRIGYN</t>
  </si>
  <si>
    <t>Trigyn Technologies Limited</t>
  </si>
  <si>
    <t>INE948A01012</t>
  </si>
  <si>
    <t>Triveni Turbine Limited</t>
  </si>
  <si>
    <t>INE152M01016</t>
  </si>
  <si>
    <t>Triveni Engineering &amp; Industries Limited</t>
  </si>
  <si>
    <t>INE256C01024</t>
  </si>
  <si>
    <t>TruCap Finance Limited</t>
  </si>
  <si>
    <t>INE615R01029</t>
  </si>
  <si>
    <t>TTK Healthcare Limited</t>
  </si>
  <si>
    <t>INE910C01018</t>
  </si>
  <si>
    <t>TTK Prestige Limited</t>
  </si>
  <si>
    <t>INE690A01028</t>
  </si>
  <si>
    <t>TTL</t>
  </si>
  <si>
    <t>T T Limited</t>
  </si>
  <si>
    <t>INE592B01024</t>
  </si>
  <si>
    <t>Tata Teleservices (Maharashtra) Limited</t>
  </si>
  <si>
    <t>INE517B01013</t>
  </si>
  <si>
    <t>TVS Electronics Limited</t>
  </si>
  <si>
    <t>INE236G01019</t>
  </si>
  <si>
    <t>TVS Holdings Limited</t>
  </si>
  <si>
    <t>INE105A01035</t>
  </si>
  <si>
    <t>TVS Motor Company Limited</t>
  </si>
  <si>
    <t>INE494B01023</t>
  </si>
  <si>
    <t>TVS Supply Chain Solutions Limited</t>
  </si>
  <si>
    <t>INE395N01027</t>
  </si>
  <si>
    <t>TVS Srichakra Limited</t>
  </si>
  <si>
    <t>INE421C01016</t>
  </si>
  <si>
    <t>TV Today Network Limited</t>
  </si>
  <si>
    <t>INE038F01029</t>
  </si>
  <si>
    <t>TVVISION</t>
  </si>
  <si>
    <t>TV Vision Limited</t>
  </si>
  <si>
    <t>INE871L01013</t>
  </si>
  <si>
    <t>United Breweries Limited</t>
  </si>
  <si>
    <t>INE686F01025</t>
  </si>
  <si>
    <t>UCAL</t>
  </si>
  <si>
    <t>UCAL LIMITED</t>
  </si>
  <si>
    <t>INE139B01016</t>
  </si>
  <si>
    <t>UCO Bank</t>
  </si>
  <si>
    <t>INE691A01018</t>
  </si>
  <si>
    <t>Updater Services Limited</t>
  </si>
  <si>
    <t>INE851I01011</t>
  </si>
  <si>
    <t>UFLEX Limited</t>
  </si>
  <si>
    <t>INE516A01017</t>
  </si>
  <si>
    <t>UFO Moviez India Limited</t>
  </si>
  <si>
    <t>INE527H01019</t>
  </si>
  <si>
    <t>The Ugar Sugar Works Limited</t>
  </si>
  <si>
    <t>INE071E01023</t>
  </si>
  <si>
    <t>Ugro Capital Limited</t>
  </si>
  <si>
    <t>INE583D01011</t>
  </si>
  <si>
    <t>Ujjivan Small Finance Bank Limited</t>
  </si>
  <si>
    <t>INE551W01018</t>
  </si>
  <si>
    <t>UltraTech Cement Limited</t>
  </si>
  <si>
    <t>INE481G01011</t>
  </si>
  <si>
    <t>UMAEXPORTS</t>
  </si>
  <si>
    <t>Uma Exports Limited</t>
  </si>
  <si>
    <t>INE0GIU01018</t>
  </si>
  <si>
    <t>UMESLTD</t>
  </si>
  <si>
    <t>Usha Martin Education &amp; Solutions Limited</t>
  </si>
  <si>
    <t>INE240C01028</t>
  </si>
  <si>
    <t>UMIYA-MRO</t>
  </si>
  <si>
    <t>UMIYA BUILDCON LIMITED</t>
  </si>
  <si>
    <t>INE398B01018</t>
  </si>
  <si>
    <t>Unichem Laboratories Limited</t>
  </si>
  <si>
    <t>INE351A01035</t>
  </si>
  <si>
    <t>UNIDT</t>
  </si>
  <si>
    <t>United Drilling Tools Limited</t>
  </si>
  <si>
    <t>INE961D01019</t>
  </si>
  <si>
    <t>UNIECOM</t>
  </si>
  <si>
    <t>Unicommerce Esolutions Limited</t>
  </si>
  <si>
    <t>INE00U401027</t>
  </si>
  <si>
    <t>Uniphos Enterprises Limited</t>
  </si>
  <si>
    <t>INE037A01022</t>
  </si>
  <si>
    <t>UNIINFO</t>
  </si>
  <si>
    <t>Uniinfo Telecom Services Limited</t>
  </si>
  <si>
    <t>INE481Z01011</t>
  </si>
  <si>
    <t>UNIMECH</t>
  </si>
  <si>
    <t>Unimech Aerospace and Manufacturing Limited</t>
  </si>
  <si>
    <t>INE0U3I01011</t>
  </si>
  <si>
    <t>Union Bank of India</t>
  </si>
  <si>
    <t>INE692A01016</t>
  </si>
  <si>
    <t>Uniparts India Limited</t>
  </si>
  <si>
    <t>INE244O01017</t>
  </si>
  <si>
    <t>United Spirits Limited</t>
  </si>
  <si>
    <t>INE854D01024</t>
  </si>
  <si>
    <t>Unitech Limited</t>
  </si>
  <si>
    <t>INE694A01020</t>
  </si>
  <si>
    <t>UNITEDPOLY</t>
  </si>
  <si>
    <t>United Polyfab Gujarat Limited</t>
  </si>
  <si>
    <t>INE368U01029</t>
  </si>
  <si>
    <t>UNITEDTEA</t>
  </si>
  <si>
    <t>The United Nilgiri Tea Estates Company Limited</t>
  </si>
  <si>
    <t>INE458F01011</t>
  </si>
  <si>
    <t>UNIVASTU</t>
  </si>
  <si>
    <t>Univastu India Limited</t>
  </si>
  <si>
    <t>INE562X01013</t>
  </si>
  <si>
    <t>Universal Cables Limited</t>
  </si>
  <si>
    <t>INE279A01012</t>
  </si>
  <si>
    <t>UNIVPHOTO</t>
  </si>
  <si>
    <t>Universus Photo Imagings Limited</t>
  </si>
  <si>
    <t>INE03V001013</t>
  </si>
  <si>
    <t>UNO Minda Limited</t>
  </si>
  <si>
    <t>INE405E01023</t>
  </si>
  <si>
    <t>UPL Limited</t>
  </si>
  <si>
    <t>INE628A01036</t>
  </si>
  <si>
    <t>URAVIDEF</t>
  </si>
  <si>
    <t>Uravi Defence and Technology Limited</t>
  </si>
  <si>
    <t>INE568Z01015</t>
  </si>
  <si>
    <t>Urja Global Limited</t>
  </si>
  <si>
    <t>INE550C01020</t>
  </si>
  <si>
    <t>Usha Martin Limited</t>
  </si>
  <si>
    <t>INE228A01035</t>
  </si>
  <si>
    <t>USK</t>
  </si>
  <si>
    <t>Udayshivakumar Infra Limited</t>
  </si>
  <si>
    <t>INE0N0Y01013</t>
  </si>
  <si>
    <t>UTI Asset Management Company Limited</t>
  </si>
  <si>
    <t>INE094J01016</t>
  </si>
  <si>
    <t>Utkarsh Small Finance Bank Limited</t>
  </si>
  <si>
    <t>INE735W01017</t>
  </si>
  <si>
    <t>Uttam Sugar Mills Limited</t>
  </si>
  <si>
    <t>INE786F01031</t>
  </si>
  <si>
    <t>UYFINCORP</t>
  </si>
  <si>
    <t>U. Y. Fincorp Limited</t>
  </si>
  <si>
    <t>INE152C01025</t>
  </si>
  <si>
    <t>V2 Retail Limited</t>
  </si>
  <si>
    <t>INE945H01013</t>
  </si>
  <si>
    <t>Vadilal Industries Limited</t>
  </si>
  <si>
    <t>INE694D01016</t>
  </si>
  <si>
    <t>Vaibhav Global Limited</t>
  </si>
  <si>
    <t>INE884A01027</t>
  </si>
  <si>
    <t>VAISHALI</t>
  </si>
  <si>
    <t>Vaishali Pharma Limited</t>
  </si>
  <si>
    <t>INE972X01022</t>
  </si>
  <si>
    <t>Vakrangee Limited</t>
  </si>
  <si>
    <t>INE051B01021</t>
  </si>
  <si>
    <t>Valiant Laboratories Limited</t>
  </si>
  <si>
    <t>INE0JWS01017</t>
  </si>
  <si>
    <t>Valiant Organics Limited</t>
  </si>
  <si>
    <t>INE565V01010</t>
  </si>
  <si>
    <t>VARDHACRLC</t>
  </si>
  <si>
    <t>Vardhman Acrylics Limited</t>
  </si>
  <si>
    <t>INE116G01013</t>
  </si>
  <si>
    <t>VARDMNPOLY</t>
  </si>
  <si>
    <t>Vardhman Polytex Limited</t>
  </si>
  <si>
    <t>INE835A01029</t>
  </si>
  <si>
    <t>Varroc Engineering Limited</t>
  </si>
  <si>
    <t>INE665L01035</t>
  </si>
  <si>
    <t>Vascon Engineers Limited</t>
  </si>
  <si>
    <t>INE893I01013</t>
  </si>
  <si>
    <t>VASWANI</t>
  </si>
  <si>
    <t>Vaswani Industries Limited</t>
  </si>
  <si>
    <t>INE590L01019</t>
  </si>
  <si>
    <t>Varun Beverages Limited</t>
  </si>
  <si>
    <t>INE200M01039</t>
  </si>
  <si>
    <t>VCL</t>
  </si>
  <si>
    <t>Vaxtex Cotfab Limited</t>
  </si>
  <si>
    <t>INE098201036</t>
  </si>
  <si>
    <t>Vedanta Limited</t>
  </si>
  <si>
    <t>INE205A01025</t>
  </si>
  <si>
    <t>VEEDOL</t>
  </si>
  <si>
    <t>Veedol Corporation Limited</t>
  </si>
  <si>
    <t>INE484C01030</t>
  </si>
  <si>
    <t>Venky's (India) Limited</t>
  </si>
  <si>
    <t>INE398A01010</t>
  </si>
  <si>
    <t>VENTIVE</t>
  </si>
  <si>
    <t>Ventive Hospitality Limited</t>
  </si>
  <si>
    <t>INE781S01027</t>
  </si>
  <si>
    <t>Venus Pipes &amp; Tubes Limited</t>
  </si>
  <si>
    <t>INE0JA001018</t>
  </si>
  <si>
    <t>Venus Remedies Limited</t>
  </si>
  <si>
    <t>INE411B01019</t>
  </si>
  <si>
    <t>Veranda Learning Solutions Limited</t>
  </si>
  <si>
    <t>INE0IQ001011</t>
  </si>
  <si>
    <t>VERTOZ</t>
  </si>
  <si>
    <t>Vertoz Limited</t>
  </si>
  <si>
    <t>INE188Y01031</t>
  </si>
  <si>
    <t>Vesuvius India Limited</t>
  </si>
  <si>
    <t>INE386A01023</t>
  </si>
  <si>
    <t>VETO</t>
  </si>
  <si>
    <t>Veto Switchgears And Cables Limited</t>
  </si>
  <si>
    <t>INE918N01018</t>
  </si>
  <si>
    <t>V-Guard Industries Limited</t>
  </si>
  <si>
    <t>INE951I01027</t>
  </si>
  <si>
    <t>Vardhman Holdings Limited</t>
  </si>
  <si>
    <t>INE701A01023</t>
  </si>
  <si>
    <t>Viceroy Hotels Limited</t>
  </si>
  <si>
    <t>INE048C01025</t>
  </si>
  <si>
    <t>Vidhi Specialty Food Ingredients Limited</t>
  </si>
  <si>
    <t>INE632C01026</t>
  </si>
  <si>
    <t>Vijaya Diagnostic Centre Limited</t>
  </si>
  <si>
    <t>INE043W01024</t>
  </si>
  <si>
    <t>VIJIFIN</t>
  </si>
  <si>
    <t>Viji Finance Limited</t>
  </si>
  <si>
    <t>INE159N01027</t>
  </si>
  <si>
    <t>Vikas EcoTech Limited</t>
  </si>
  <si>
    <t>INE806A01020</t>
  </si>
  <si>
    <t>Vikas Lifecare Limited</t>
  </si>
  <si>
    <t>INE161L01027</t>
  </si>
  <si>
    <t>VIKRAMSOLR</t>
  </si>
  <si>
    <t>Vikram Solar Limited</t>
  </si>
  <si>
    <t>INE078V01014</t>
  </si>
  <si>
    <t>VIKRAN</t>
  </si>
  <si>
    <t>Vikran Engineering Limited</t>
  </si>
  <si>
    <t>INE01R501028</t>
  </si>
  <si>
    <t>Vimta Labs Limited</t>
  </si>
  <si>
    <t>INE579C01029</t>
  </si>
  <si>
    <t>Vinati Organics Limited</t>
  </si>
  <si>
    <t>INE410B01037</t>
  </si>
  <si>
    <t>Vintage Coffee And Beverages Limited</t>
  </si>
  <si>
    <t>INE498Q01014</t>
  </si>
  <si>
    <t>Vindhya Telelinks Limited</t>
  </si>
  <si>
    <t>INE707A01012</t>
  </si>
  <si>
    <t>VINEETLAB</t>
  </si>
  <si>
    <t>Vineet Laboratories Limited</t>
  </si>
  <si>
    <t>INE505Y01010</t>
  </si>
  <si>
    <t>VINNY</t>
  </si>
  <si>
    <t>Vinny Overseas Limited</t>
  </si>
  <si>
    <t>INE01KI01027</t>
  </si>
  <si>
    <t>Vinyl Chemicals (India) Limited</t>
  </si>
  <si>
    <t>INE250B01029</t>
  </si>
  <si>
    <t>VIPCLOTHNG</t>
  </si>
  <si>
    <t>VIP Clothing Limited</t>
  </si>
  <si>
    <t>INE450G01024</t>
  </si>
  <si>
    <t>VIP Industries Limited</t>
  </si>
  <si>
    <t>INE054A01027</t>
  </si>
  <si>
    <t>Vipul Limited</t>
  </si>
  <si>
    <t>INE946H01037</t>
  </si>
  <si>
    <t>VIRINCHI</t>
  </si>
  <si>
    <t>Virinchi Limited</t>
  </si>
  <si>
    <t>INE539B01017</t>
  </si>
  <si>
    <t>Visaka Industries Limited</t>
  </si>
  <si>
    <t>INE392A01021</t>
  </si>
  <si>
    <t>VISASTEEL</t>
  </si>
  <si>
    <t>Visa Steel Limited</t>
  </si>
  <si>
    <t>INE286H01012</t>
  </si>
  <si>
    <t>Vishnu Chemicals Limited</t>
  </si>
  <si>
    <t>INE270I01022</t>
  </si>
  <si>
    <t>VISHWARAJ</t>
  </si>
  <si>
    <t>Vishwaraj Sugar Industries Limited</t>
  </si>
  <si>
    <t>INE430N01022</t>
  </si>
  <si>
    <t>VIVIDHA</t>
  </si>
  <si>
    <t>Visagar Polytex Limited</t>
  </si>
  <si>
    <t>INE370E01029</t>
  </si>
  <si>
    <t>VL E-Governance &amp; IT Solutions Limited</t>
  </si>
  <si>
    <t>INE03HW01020</t>
  </si>
  <si>
    <t>VLS Finance Limited</t>
  </si>
  <si>
    <t>INE709A01018</t>
  </si>
  <si>
    <t>V-Mart Retail Limited</t>
  </si>
  <si>
    <t>INE665J01013</t>
  </si>
  <si>
    <t>VMM</t>
  </si>
  <si>
    <t>Vishal Mega Mart Limited</t>
  </si>
  <si>
    <t>INE01EA01019</t>
  </si>
  <si>
    <t>Voltamp Transformers Limited</t>
  </si>
  <si>
    <t>INE540H01012</t>
  </si>
  <si>
    <t>Voltas Limited</t>
  </si>
  <si>
    <t>INE226A01021</t>
  </si>
  <si>
    <t>Vishnu Prakash R Punglia Limited</t>
  </si>
  <si>
    <t>INE0AE001013</t>
  </si>
  <si>
    <t>Vraj Iron and Steel Limited</t>
  </si>
  <si>
    <t>INE0S2V01010</t>
  </si>
  <si>
    <t>VRL Logistics Limited</t>
  </si>
  <si>
    <t>INE366I01010</t>
  </si>
  <si>
    <t>Vardhman Special Steels Limited</t>
  </si>
  <si>
    <t>INE050M01012</t>
  </si>
  <si>
    <t>VST Industries Limited</t>
  </si>
  <si>
    <t>INE710A01016</t>
  </si>
  <si>
    <t>VSTL</t>
  </si>
  <si>
    <t>Vibhor Steel Tubes Limited</t>
  </si>
  <si>
    <t>INE0QTF01015</t>
  </si>
  <si>
    <t>V.S.T Tillers Tractors Limited</t>
  </si>
  <si>
    <t>INE764D01017</t>
  </si>
  <si>
    <t>Vardhman Textiles Limited</t>
  </si>
  <si>
    <t>INE825A01020</t>
  </si>
  <si>
    <t>WAAREEENER</t>
  </si>
  <si>
    <t>Waaree Energies Limited</t>
  </si>
  <si>
    <t>INE377N01017</t>
  </si>
  <si>
    <t>WAAREERTL</t>
  </si>
  <si>
    <t>Waaree Renewable Technologies Limited</t>
  </si>
  <si>
    <t>INE299N01021</t>
  </si>
  <si>
    <t>VA Tech Wabag Limited</t>
  </si>
  <si>
    <t>INE956G01038</t>
  </si>
  <si>
    <t>Walchandnagar Industries Limited</t>
  </si>
  <si>
    <t>INE711A01022</t>
  </si>
  <si>
    <t>Wanbury Limited</t>
  </si>
  <si>
    <t>INE107F01022</t>
  </si>
  <si>
    <t>WCIL</t>
  </si>
  <si>
    <t>Western Carriers (India) Limited</t>
  </si>
  <si>
    <t>INE0CJF01024</t>
  </si>
  <si>
    <t>Wealth First Portfolio Managers Limited</t>
  </si>
  <si>
    <t>INE658T01017</t>
  </si>
  <si>
    <t>Websol Energy System Limited</t>
  </si>
  <si>
    <t>INE855C01015</t>
  </si>
  <si>
    <t>WEIZMANIND</t>
  </si>
  <si>
    <t>Weizmann Limited</t>
  </si>
  <si>
    <t>INE080A01014</t>
  </si>
  <si>
    <t>Wonder Electricals Limited</t>
  </si>
  <si>
    <t>INE02WG01024</t>
  </si>
  <si>
    <t>Welspun Corp Limited</t>
  </si>
  <si>
    <t>INE191B01025</t>
  </si>
  <si>
    <t>Welspun Enterprises Limited</t>
  </si>
  <si>
    <t>INE625G01013</t>
  </si>
  <si>
    <t>WELINV</t>
  </si>
  <si>
    <t>Welspun Investments and Commercials Limited</t>
  </si>
  <si>
    <t>INE389K01018</t>
  </si>
  <si>
    <t>Welspun Living Limited</t>
  </si>
  <si>
    <t>INE192B01031</t>
  </si>
  <si>
    <t>Wendt (India) Limited</t>
  </si>
  <si>
    <t>INE274C01019</t>
  </si>
  <si>
    <t>WESTLIFE FOODWORLD LIMITED</t>
  </si>
  <si>
    <t>INE274F01020</t>
  </si>
  <si>
    <t>WEWIN</t>
  </si>
  <si>
    <t>WE WIN LIMITED</t>
  </si>
  <si>
    <t>INE082W01014</t>
  </si>
  <si>
    <t>Wheels India Limited</t>
  </si>
  <si>
    <t>INE715A01015</t>
  </si>
  <si>
    <t>Whirlpool of India Limited</t>
  </si>
  <si>
    <t>INE716A01013</t>
  </si>
  <si>
    <t>WILLAMAGOR</t>
  </si>
  <si>
    <t>Williamson Magor &amp; Company Limited</t>
  </si>
  <si>
    <t>INE210A01017</t>
  </si>
  <si>
    <t>Windlas Biotech Limited</t>
  </si>
  <si>
    <t>INE0H5O01029</t>
  </si>
  <si>
    <t>Windsor Machines Limited</t>
  </si>
  <si>
    <t>INE052A01021</t>
  </si>
  <si>
    <t>WINSOME</t>
  </si>
  <si>
    <t>Winsome Yarns Limited</t>
  </si>
  <si>
    <t>INE784B01035</t>
  </si>
  <si>
    <t>WIPL</t>
  </si>
  <si>
    <t>The Western India Plywoods Limited</t>
  </si>
  <si>
    <t>INE215F01023</t>
  </si>
  <si>
    <t>Wipro Limited</t>
  </si>
  <si>
    <t>INE075A01022</t>
  </si>
  <si>
    <t>Wockhardt Limited</t>
  </si>
  <si>
    <t>INE049B01025</t>
  </si>
  <si>
    <t>Wonderla Holidays Limited</t>
  </si>
  <si>
    <t>INE066O01014</t>
  </si>
  <si>
    <t>WORTH</t>
  </si>
  <si>
    <t>Worth Peripherals Limited</t>
  </si>
  <si>
    <t>INE196Y01018</t>
  </si>
  <si>
    <t>W S Industries (I) Limited</t>
  </si>
  <si>
    <t>INE100D01014</t>
  </si>
  <si>
    <t>West Coast Paper Mills Limited</t>
  </si>
  <si>
    <t>INE976A01021</t>
  </si>
  <si>
    <t>Xchanging Solutions Limited</t>
  </si>
  <si>
    <t>INE692G01013</t>
  </si>
  <si>
    <t>XELPMOC</t>
  </si>
  <si>
    <t>Xelpmoc Design And Tech Limited</t>
  </si>
  <si>
    <t>INE01P501012</t>
  </si>
  <si>
    <t>Xpro India Limited</t>
  </si>
  <si>
    <t>INE445C01015</t>
  </si>
  <si>
    <t>XTGLOBAL</t>
  </si>
  <si>
    <t>Xtglobal Infotech Limited</t>
  </si>
  <si>
    <t>INE547B01028</t>
  </si>
  <si>
    <t>YAARI</t>
  </si>
  <si>
    <t>Yaari Digital Integrated Services Limited</t>
  </si>
  <si>
    <t>INE126M01010</t>
  </si>
  <si>
    <t>Yasho Industries Limited</t>
  </si>
  <si>
    <t>INE616Z01012</t>
  </si>
  <si>
    <t>Yatharth Hospital &amp; Trauma Care Services Limited</t>
  </si>
  <si>
    <t>INE0JO301016</t>
  </si>
  <si>
    <t>Yatra Online Limited</t>
  </si>
  <si>
    <t>INE0JR601024</t>
  </si>
  <si>
    <t>Yes Bank Limited</t>
  </si>
  <si>
    <t>INE528G01035</t>
  </si>
  <si>
    <t>Yuken India Limited</t>
  </si>
  <si>
    <t>INE384C01016</t>
  </si>
  <si>
    <t>Zaggle Prepaid Ocean Services Limited</t>
  </si>
  <si>
    <t>INE07K301024</t>
  </si>
  <si>
    <t>Zee Entertainment Enterprises Limited</t>
  </si>
  <si>
    <t>INE256A01028</t>
  </si>
  <si>
    <t>ZEELEARN</t>
  </si>
  <si>
    <t>Zee Learn Limited</t>
  </si>
  <si>
    <t>INE565L01011</t>
  </si>
  <si>
    <t>Zee Media Corporation Limited</t>
  </si>
  <si>
    <t>INE966H01019</t>
  </si>
  <si>
    <t>ZENITHEXPO</t>
  </si>
  <si>
    <t>Zenith Exports Limited</t>
  </si>
  <si>
    <t>INE058B01018</t>
  </si>
  <si>
    <t>ZENITHSTL</t>
  </si>
  <si>
    <t>Zenith Steel Pipes &amp; Industries Limited</t>
  </si>
  <si>
    <t>INE318D01020</t>
  </si>
  <si>
    <t>Zensar Technologies Limited</t>
  </si>
  <si>
    <t>INE520A01027</t>
  </si>
  <si>
    <t>Zen Technologies Limited</t>
  </si>
  <si>
    <t>INE251B01027</t>
  </si>
  <si>
    <t>ZF Commercial Vehicle Control Systems India Limited</t>
  </si>
  <si>
    <t>INE342J01019</t>
  </si>
  <si>
    <t>Zim Laboratories Limited</t>
  </si>
  <si>
    <t>INE518E01015</t>
  </si>
  <si>
    <t>Zodiac Energy Limited</t>
  </si>
  <si>
    <t>INE761Y01019</t>
  </si>
  <si>
    <t>ZODIACLOTH</t>
  </si>
  <si>
    <t>Zodiac Clothing Company Limited</t>
  </si>
  <si>
    <t>INE206B01013</t>
  </si>
  <si>
    <t>Zota Health Care LImited</t>
  </si>
  <si>
    <t>INE358U01012</t>
  </si>
  <si>
    <t>Zuari Agro Chemicals Limited</t>
  </si>
  <si>
    <t>INE840M01016</t>
  </si>
  <si>
    <t>ZUARI INDUSTRIES LIMITED</t>
  </si>
  <si>
    <t>INE217A01012</t>
  </si>
  <si>
    <t>Zydus Lifesciences Limited</t>
  </si>
  <si>
    <t>INE010B01027</t>
  </si>
  <si>
    <t>Zydus Wellness Limited</t>
  </si>
  <si>
    <t>INE768C01010</t>
  </si>
  <si>
    <t>alert_price</t>
  </si>
  <si>
    <t>condition</t>
  </si>
  <si>
    <t>&gt;=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</si>
</sst>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gt;9999999]##\,##\,##\,##0.00;[&gt;99999]##\,##\,##0.00;##,##0.00"/>
  </numFmts>
  <fonts count="15" x14ac:knownFonts="1">
    <font>
      <sz val="10"/>
      <color rgb="FF000000"/>
      <name val="Arial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b/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1"/>
      <name val="Bookman Old Style"/>
      <family val="1"/>
    </font>
    <font>
      <sz val="12"/>
      <color rgb="FF000000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DE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1" fillId="0" borderId="0"/>
  </cellStyleXfs>
  <cellXfs count="64">
    <xf numFmtId="0" fontId="0" fillId="0" borderId="0" xfId="0"/>
    <xf numFmtId="0" fontId="2" fillId="0" borderId="0" xfId="0" applyFont="1"/>
    <xf numFmtId="0" fontId="3" fillId="0" borderId="0" xfId="0" applyFont="1"/>
    <xf numFmtId="0" fontId="6" fillId="0" borderId="0" xfId="0" applyFont="1"/>
    <xf numFmtId="3" fontId="6" fillId="0" borderId="0" xfId="0" applyNumberFormat="1" applyFont="1"/>
    <xf numFmtId="0" fontId="5" fillId="3" borderId="2" xfId="0" applyFont="1" applyFill="1" applyBorder="1" applyAlignment="1">
      <alignment horizontal="center"/>
    </xf>
    <xf numFmtId="10" fontId="5" fillId="3" borderId="2" xfId="1" applyNumberFormat="1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164" fontId="8" fillId="0" borderId="3" xfId="0" applyNumberFormat="1" applyFont="1" applyBorder="1"/>
    <xf numFmtId="10" fontId="6" fillId="2" borderId="3" xfId="1" applyNumberFormat="1" applyFont="1" applyFill="1" applyBorder="1"/>
    <xf numFmtId="2" fontId="8" fillId="2" borderId="3" xfId="0" applyNumberFormat="1" applyFont="1" applyFill="1" applyBorder="1" applyAlignment="1">
      <alignment horizontal="right"/>
    </xf>
    <xf numFmtId="3" fontId="6" fillId="7" borderId="3" xfId="0" applyNumberFormat="1" applyFont="1" applyFill="1" applyBorder="1"/>
    <xf numFmtId="3" fontId="6" fillId="5" borderId="3" xfId="0" applyNumberFormat="1" applyFont="1" applyFill="1" applyBorder="1"/>
    <xf numFmtId="3" fontId="6" fillId="6" borderId="3" xfId="0" applyNumberFormat="1" applyFont="1" applyFill="1" applyBorder="1"/>
    <xf numFmtId="10" fontId="6" fillId="2" borderId="1" xfId="1" applyNumberFormat="1" applyFont="1" applyFill="1" applyBorder="1"/>
    <xf numFmtId="0" fontId="6" fillId="0" borderId="0" xfId="0" applyFont="1" applyAlignment="1">
      <alignment horizontal="center"/>
    </xf>
    <xf numFmtId="10" fontId="6" fillId="0" borderId="0" xfId="1" applyNumberFormat="1" applyFont="1" applyFill="1"/>
    <xf numFmtId="0" fontId="9" fillId="0" borderId="0" xfId="0" applyFont="1"/>
    <xf numFmtId="0" fontId="10" fillId="0" borderId="0" xfId="0" applyFont="1"/>
    <xf numFmtId="3" fontId="6" fillId="0" borderId="0" xfId="0" applyNumberFormat="1" applyFont="1" applyAlignment="1">
      <alignment horizontal="center"/>
    </xf>
    <xf numFmtId="0" fontId="1" fillId="0" borderId="0" xfId="0" applyFont="1"/>
    <xf numFmtId="0" fontId="12" fillId="8" borderId="1" xfId="2" applyFont="1" applyFill="1" applyBorder="1" applyAlignment="1">
      <alignment horizontal="center" vertical="center" wrapText="1"/>
    </xf>
    <xf numFmtId="0" fontId="12" fillId="8" borderId="4" xfId="2" applyFont="1" applyFill="1" applyBorder="1" applyAlignment="1">
      <alignment vertical="center" wrapText="1"/>
    </xf>
    <xf numFmtId="0" fontId="12" fillId="8" borderId="1" xfId="2" applyFont="1" applyFill="1" applyBorder="1" applyAlignment="1">
      <alignment horizontal="center" vertical="center"/>
    </xf>
    <xf numFmtId="0" fontId="11" fillId="0" borderId="0" xfId="2"/>
    <xf numFmtId="0" fontId="12" fillId="8" borderId="3" xfId="2" applyFont="1" applyFill="1" applyBorder="1" applyAlignment="1">
      <alignment horizontal="center" vertical="center" wrapText="1"/>
    </xf>
    <xf numFmtId="0" fontId="12" fillId="9" borderId="1" xfId="2" applyFont="1" applyFill="1" applyBorder="1" applyAlignment="1">
      <alignment horizontal="center" vertical="center" wrapText="1"/>
    </xf>
    <xf numFmtId="0" fontId="12" fillId="10" borderId="1" xfId="2" applyFont="1" applyFill="1" applyBorder="1" applyAlignment="1">
      <alignment horizontal="center" vertical="center" wrapText="1"/>
    </xf>
    <xf numFmtId="0" fontId="12" fillId="11" borderId="1" xfId="2" applyFont="1" applyFill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Border="1" applyAlignment="1">
      <alignment horizontal="right" vertical="center"/>
    </xf>
    <xf numFmtId="2" fontId="13" fillId="0" borderId="1" xfId="2" applyNumberFormat="1" applyFont="1" applyBorder="1" applyAlignment="1">
      <alignment horizontal="right" vertical="center"/>
    </xf>
    <xf numFmtId="2" fontId="13" fillId="0" borderId="1" xfId="2" applyNumberFormat="1" applyFont="1" applyBorder="1"/>
    <xf numFmtId="0" fontId="13" fillId="12" borderId="1" xfId="2" applyFont="1" applyFill="1" applyBorder="1"/>
    <xf numFmtId="2" fontId="13" fillId="0" borderId="1" xfId="2" applyNumberFormat="1" applyFont="1" applyBorder="1" applyAlignment="1">
      <alignment horizontal="left" vertical="center"/>
    </xf>
    <xf numFmtId="10" fontId="8" fillId="0" borderId="3" xfId="1" applyNumberFormat="1" applyFont="1" applyBorder="1"/>
    <xf numFmtId="0" fontId="5" fillId="13" borderId="2" xfId="0" applyFont="1" applyFill="1" applyBorder="1" applyAlignment="1">
      <alignment horizontal="center"/>
    </xf>
    <xf numFmtId="0" fontId="14" fillId="0" borderId="0" xfId="0" applyFont="1"/>
    <xf numFmtId="15" fontId="14" fillId="0" borderId="0" xfId="0" applyNumberFormat="1" applyFont="1"/>
    <xf numFmtId="164" fontId="8" fillId="4" borderId="3" xfId="0" applyNumberFormat="1" applyFont="1" applyFill="1" applyBorder="1" applyAlignment="1">
      <alignment horizontal="left"/>
    </xf>
    <xf numFmtId="10" fontId="6" fillId="0" borderId="0" xfId="1" applyNumberFormat="1" applyFont="1"/>
    <xf numFmtId="3" fontId="5" fillId="13" borderId="2" xfId="0" applyNumberFormat="1" applyFont="1" applyFill="1" applyBorder="1" applyAlignment="1">
      <alignment horizontal="center"/>
    </xf>
    <xf numFmtId="3" fontId="8" fillId="0" borderId="3" xfId="0" applyNumberFormat="1" applyFont="1" applyBorder="1"/>
    <xf numFmtId="3" fontId="8" fillId="0" borderId="1" xfId="0" applyNumberFormat="1" applyFont="1" applyBorder="1"/>
    <xf numFmtId="4" fontId="5" fillId="13" borderId="2" xfId="0" applyNumberFormat="1" applyFont="1" applyFill="1" applyBorder="1" applyAlignment="1">
      <alignment horizontal="center"/>
    </xf>
    <xf numFmtId="4" fontId="8" fillId="0" borderId="3" xfId="0" applyNumberFormat="1" applyFont="1" applyBorder="1"/>
    <xf numFmtId="4" fontId="8" fillId="0" borderId="1" xfId="0" applyNumberFormat="1" applyFont="1" applyBorder="1"/>
    <xf numFmtId="4" fontId="6" fillId="0" borderId="0" xfId="0" applyNumberFormat="1" applyFont="1"/>
    <xf numFmtId="4" fontId="8" fillId="2" borderId="3" xfId="0" applyNumberFormat="1" applyFont="1" applyFill="1" applyBorder="1"/>
    <xf numFmtId="3" fontId="5" fillId="3" borderId="2" xfId="0" applyNumberFormat="1" applyFont="1" applyFill="1" applyBorder="1" applyAlignment="1">
      <alignment horizontal="center"/>
    </xf>
    <xf numFmtId="4" fontId="5" fillId="3" borderId="2" xfId="0" applyNumberFormat="1" applyFont="1" applyFill="1" applyBorder="1" applyAlignment="1">
      <alignment horizontal="center"/>
    </xf>
    <xf numFmtId="3" fontId="6" fillId="2" borderId="3" xfId="0" applyNumberFormat="1" applyFont="1" applyFill="1" applyBorder="1"/>
    <xf numFmtId="3" fontId="8" fillId="2" borderId="3" xfId="0" applyNumberFormat="1" applyFont="1" applyFill="1" applyBorder="1"/>
    <xf numFmtId="3" fontId="6" fillId="2" borderId="1" xfId="0" applyNumberFormat="1" applyFont="1" applyFill="1" applyBorder="1"/>
    <xf numFmtId="3" fontId="8" fillId="2" borderId="1" xfId="0" applyNumberFormat="1" applyFont="1" applyFill="1" applyBorder="1"/>
    <xf numFmtId="0" fontId="12" fillId="11" borderId="1" xfId="2" applyFont="1" applyFill="1" applyBorder="1" applyAlignment="1">
      <alignment horizontal="center" vertical="center"/>
    </xf>
    <xf numFmtId="0" fontId="12" fillId="8" borderId="1" xfId="2" applyFont="1" applyFill="1" applyBorder="1" applyAlignment="1">
      <alignment horizontal="center" vertical="center" wrapText="1"/>
    </xf>
    <xf numFmtId="0" fontId="12" fillId="9" borderId="1" xfId="2" applyFont="1" applyFill="1" applyBorder="1" applyAlignment="1">
      <alignment horizontal="center" vertical="center"/>
    </xf>
    <xf numFmtId="0" fontId="12" fillId="10" borderId="1" xfId="2" applyFont="1" applyFill="1" applyBorder="1" applyAlignment="1">
      <alignment horizontal="center" vertical="center"/>
    </xf>
    <xf numFmtId="3" fontId="8" fillId="0" borderId="3" xfId="0" applyNumberFormat="1" applyFont="1" applyBorder="1" applyAlignment="1">
      <alignment horizontal="center"/>
    </xf>
  </cellXfs>
  <cellStyles count="3">
    <cellStyle name="Normal" xfId="0" builtinId="0"/>
    <cellStyle name="Normal 2" xfId="2" xr:uid="{29D94873-B0E5-CE44-91D4-02FB15B2F8A1}"/>
    <cellStyle name="Per cent" xfId="1" builtinId="5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79998168889431442"/>
        </patternFill>
      </fill>
    </dxf>
    <dxf>
      <font>
        <color theme="1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79998168889431442"/>
        </patternFill>
      </fill>
    </dxf>
    <dxf>
      <font>
        <color theme="1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2F3FF"/>
      <color rgb="FFFFEDE1"/>
      <color rgb="FFF3E1D4"/>
      <color rgb="FFEFE3FF"/>
      <color rgb="FFC8A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A38C6-150F-8D49-8F0D-370BB15F521F}">
  <dimension ref="A1:H2153"/>
  <sheetViews>
    <sheetView zoomScale="249" zoomScaleNormal="249" workbookViewId="0">
      <selection activeCell="A2" sqref="A2"/>
    </sheetView>
  </sheetViews>
  <sheetFormatPr baseColWidth="10" defaultRowHeight="13" x14ac:dyDescent="0.15"/>
  <cols>
    <col min="1" max="1" width="13.6640625" customWidth="1"/>
    <col min="2" max="2" width="36.6640625" customWidth="1"/>
  </cols>
  <sheetData>
    <row r="1" spans="1:8" ht="16" x14ac:dyDescent="0.2">
      <c r="A1" s="20" t="s">
        <v>3481</v>
      </c>
      <c r="B1" s="20" t="s">
        <v>3482</v>
      </c>
      <c r="C1" s="20" t="s">
        <v>3483</v>
      </c>
      <c r="D1" s="20" t="s">
        <v>3484</v>
      </c>
      <c r="E1" s="20" t="s">
        <v>3485</v>
      </c>
      <c r="F1" s="20" t="s">
        <v>3486</v>
      </c>
      <c r="G1" s="20" t="s">
        <v>3487</v>
      </c>
      <c r="H1" s="20" t="s">
        <v>3488</v>
      </c>
    </row>
    <row r="2" spans="1:8" ht="16" x14ac:dyDescent="0.2">
      <c r="A2" s="41" t="s">
        <v>0</v>
      </c>
      <c r="B2" s="41" t="s">
        <v>3489</v>
      </c>
      <c r="C2" s="41" t="s">
        <v>3490</v>
      </c>
      <c r="D2" s="42">
        <v>39727</v>
      </c>
      <c r="E2" s="41">
        <v>5</v>
      </c>
      <c r="F2" s="41">
        <v>1</v>
      </c>
      <c r="G2" s="41" t="s">
        <v>3491</v>
      </c>
      <c r="H2" s="41">
        <v>5</v>
      </c>
    </row>
    <row r="3" spans="1:8" ht="16" x14ac:dyDescent="0.2">
      <c r="A3" s="41" t="s">
        <v>3492</v>
      </c>
      <c r="B3" s="41" t="s">
        <v>3493</v>
      </c>
      <c r="C3" s="41" t="s">
        <v>3490</v>
      </c>
      <c r="D3" s="42">
        <v>34822</v>
      </c>
      <c r="E3" s="41">
        <v>10</v>
      </c>
      <c r="F3" s="41">
        <v>1</v>
      </c>
      <c r="G3" s="41" t="s">
        <v>3494</v>
      </c>
      <c r="H3" s="41">
        <v>10</v>
      </c>
    </row>
    <row r="4" spans="1:8" ht="16" x14ac:dyDescent="0.2">
      <c r="A4" s="41" t="s">
        <v>1</v>
      </c>
      <c r="B4" s="41" t="s">
        <v>3495</v>
      </c>
      <c r="C4" s="41" t="s">
        <v>3490</v>
      </c>
      <c r="D4" s="42">
        <v>43727</v>
      </c>
      <c r="E4" s="41">
        <v>1</v>
      </c>
      <c r="F4" s="41">
        <v>1</v>
      </c>
      <c r="G4" s="41" t="s">
        <v>3496</v>
      </c>
      <c r="H4" s="41">
        <v>1</v>
      </c>
    </row>
    <row r="5" spans="1:8" ht="16" x14ac:dyDescent="0.2">
      <c r="A5" s="41" t="s">
        <v>2</v>
      </c>
      <c r="B5" s="41" t="s">
        <v>3497</v>
      </c>
      <c r="C5" s="41" t="s">
        <v>3490</v>
      </c>
      <c r="D5" s="42">
        <v>44491</v>
      </c>
      <c r="E5" s="41">
        <v>10</v>
      </c>
      <c r="F5" s="41">
        <v>1</v>
      </c>
      <c r="G5" s="41" t="s">
        <v>3498</v>
      </c>
      <c r="H5" s="41">
        <v>10</v>
      </c>
    </row>
    <row r="6" spans="1:8" ht="16" x14ac:dyDescent="0.2">
      <c r="A6" s="41" t="s">
        <v>3</v>
      </c>
      <c r="B6" s="41" t="s">
        <v>3499</v>
      </c>
      <c r="C6" s="41" t="s">
        <v>3490</v>
      </c>
      <c r="D6" s="42">
        <v>38212</v>
      </c>
      <c r="E6" s="41">
        <v>10</v>
      </c>
      <c r="F6" s="41">
        <v>1</v>
      </c>
      <c r="G6" s="41" t="s">
        <v>3500</v>
      </c>
      <c r="H6" s="41">
        <v>10</v>
      </c>
    </row>
    <row r="7" spans="1:8" ht="16" x14ac:dyDescent="0.2">
      <c r="A7" s="41" t="s">
        <v>3501</v>
      </c>
      <c r="B7" s="41" t="s">
        <v>3502</v>
      </c>
      <c r="C7" s="41" t="s">
        <v>3490</v>
      </c>
      <c r="D7" s="42">
        <v>34899</v>
      </c>
      <c r="E7" s="41">
        <v>2</v>
      </c>
      <c r="F7" s="41">
        <v>1</v>
      </c>
      <c r="G7" s="41" t="s">
        <v>3503</v>
      </c>
      <c r="H7" s="41">
        <v>2</v>
      </c>
    </row>
    <row r="8" spans="1:8" ht="16" x14ac:dyDescent="0.2">
      <c r="A8" s="41" t="s">
        <v>4</v>
      </c>
      <c r="B8" s="41" t="s">
        <v>3504</v>
      </c>
      <c r="C8" s="41" t="s">
        <v>3490</v>
      </c>
      <c r="D8" s="42">
        <v>43055</v>
      </c>
      <c r="E8" s="41">
        <v>10</v>
      </c>
      <c r="F8" s="41">
        <v>1</v>
      </c>
      <c r="G8" s="41" t="s">
        <v>3505</v>
      </c>
      <c r="H8" s="41">
        <v>10</v>
      </c>
    </row>
    <row r="9" spans="1:8" ht="16" x14ac:dyDescent="0.2">
      <c r="A9" s="41" t="s">
        <v>5</v>
      </c>
      <c r="B9" s="41" t="s">
        <v>3506</v>
      </c>
      <c r="C9" s="41" t="s">
        <v>3490</v>
      </c>
      <c r="D9" s="42">
        <v>38523</v>
      </c>
      <c r="E9" s="41">
        <v>2</v>
      </c>
      <c r="F9" s="41">
        <v>1</v>
      </c>
      <c r="G9" s="41" t="s">
        <v>3507</v>
      </c>
      <c r="H9" s="41">
        <v>2</v>
      </c>
    </row>
    <row r="10" spans="1:8" ht="16" x14ac:dyDescent="0.2">
      <c r="A10" s="41" t="s">
        <v>3508</v>
      </c>
      <c r="B10" s="41" t="s">
        <v>3509</v>
      </c>
      <c r="C10" s="41" t="s">
        <v>3510</v>
      </c>
      <c r="D10" s="42">
        <v>40535</v>
      </c>
      <c r="E10" s="41">
        <v>10</v>
      </c>
      <c r="F10" s="41">
        <v>1</v>
      </c>
      <c r="G10" s="41" t="s">
        <v>3511</v>
      </c>
      <c r="H10" s="41">
        <v>10</v>
      </c>
    </row>
    <row r="11" spans="1:8" ht="16" x14ac:dyDescent="0.2">
      <c r="A11" s="41" t="s">
        <v>3512</v>
      </c>
      <c r="B11" s="41" t="s">
        <v>3513</v>
      </c>
      <c r="C11" s="41" t="s">
        <v>3490</v>
      </c>
      <c r="D11" s="42">
        <v>44893</v>
      </c>
      <c r="E11" s="41">
        <v>10</v>
      </c>
      <c r="F11" s="41">
        <v>1</v>
      </c>
      <c r="G11" s="41" t="s">
        <v>3514</v>
      </c>
      <c r="H11" s="41">
        <v>10</v>
      </c>
    </row>
    <row r="12" spans="1:8" ht="16" x14ac:dyDescent="0.2">
      <c r="A12" s="41" t="s">
        <v>6</v>
      </c>
      <c r="B12" s="41" t="s">
        <v>3515</v>
      </c>
      <c r="C12" s="41" t="s">
        <v>3490</v>
      </c>
      <c r="D12" s="42">
        <v>45427</v>
      </c>
      <c r="E12" s="41">
        <v>10</v>
      </c>
      <c r="F12" s="41">
        <v>1</v>
      </c>
      <c r="G12" s="41" t="s">
        <v>3516</v>
      </c>
      <c r="H12" s="41">
        <v>10</v>
      </c>
    </row>
    <row r="13" spans="1:8" ht="16" x14ac:dyDescent="0.2">
      <c r="A13" s="41" t="s">
        <v>3517</v>
      </c>
      <c r="B13" s="41" t="s">
        <v>3518</v>
      </c>
      <c r="C13" s="41" t="s">
        <v>3510</v>
      </c>
      <c r="D13" s="42">
        <v>44103</v>
      </c>
      <c r="E13" s="41">
        <v>1</v>
      </c>
      <c r="F13" s="41">
        <v>1</v>
      </c>
      <c r="G13" s="41" t="s">
        <v>3519</v>
      </c>
      <c r="H13" s="41">
        <v>1</v>
      </c>
    </row>
    <row r="14" spans="1:8" ht="16" x14ac:dyDescent="0.2">
      <c r="A14" s="41" t="s">
        <v>3520</v>
      </c>
      <c r="B14" s="41" t="s">
        <v>3521</v>
      </c>
      <c r="C14" s="41" t="s">
        <v>3510</v>
      </c>
      <c r="D14" s="42">
        <v>44414</v>
      </c>
      <c r="E14" s="41">
        <v>10</v>
      </c>
      <c r="F14" s="41">
        <v>1</v>
      </c>
      <c r="G14" s="41" t="s">
        <v>3522</v>
      </c>
      <c r="H14" s="41">
        <v>10</v>
      </c>
    </row>
    <row r="15" spans="1:8" ht="16" x14ac:dyDescent="0.2">
      <c r="A15" s="41" t="s">
        <v>3523</v>
      </c>
      <c r="B15" s="41" t="s">
        <v>3524</v>
      </c>
      <c r="C15" s="41" t="s">
        <v>3490</v>
      </c>
      <c r="D15" s="42">
        <v>44141</v>
      </c>
      <c r="E15" s="41">
        <v>10</v>
      </c>
      <c r="F15" s="41">
        <v>1</v>
      </c>
      <c r="G15" s="41" t="s">
        <v>3525</v>
      </c>
      <c r="H15" s="41">
        <v>10</v>
      </c>
    </row>
    <row r="16" spans="1:8" ht="16" x14ac:dyDescent="0.2">
      <c r="A16" s="41" t="s">
        <v>3526</v>
      </c>
      <c r="B16" s="41" t="s">
        <v>3527</v>
      </c>
      <c r="C16" s="41" t="s">
        <v>3490</v>
      </c>
      <c r="D16" s="42">
        <v>45117</v>
      </c>
      <c r="E16" s="41">
        <v>5</v>
      </c>
      <c r="F16" s="41">
        <v>1</v>
      </c>
      <c r="G16" s="41" t="s">
        <v>3528</v>
      </c>
      <c r="H16" s="41">
        <v>5</v>
      </c>
    </row>
    <row r="17" spans="1:8" ht="16" x14ac:dyDescent="0.2">
      <c r="A17" s="41" t="s">
        <v>7</v>
      </c>
      <c r="B17" s="41" t="s">
        <v>3529</v>
      </c>
      <c r="C17" s="41" t="s">
        <v>3490</v>
      </c>
      <c r="D17" s="42">
        <v>37883</v>
      </c>
      <c r="E17" s="41">
        <v>10</v>
      </c>
      <c r="F17" s="41">
        <v>1</v>
      </c>
      <c r="G17" s="41" t="s">
        <v>3530</v>
      </c>
      <c r="H17" s="41">
        <v>10</v>
      </c>
    </row>
    <row r="18" spans="1:8" ht="16" x14ac:dyDescent="0.2">
      <c r="A18" s="41" t="s">
        <v>8</v>
      </c>
      <c r="B18" s="41" t="s">
        <v>3531</v>
      </c>
      <c r="C18" s="41" t="s">
        <v>3490</v>
      </c>
      <c r="D18" s="42">
        <v>34738</v>
      </c>
      <c r="E18" s="41">
        <v>5</v>
      </c>
      <c r="F18" s="41">
        <v>1</v>
      </c>
      <c r="G18" s="41" t="s">
        <v>3532</v>
      </c>
      <c r="H18" s="41">
        <v>5</v>
      </c>
    </row>
    <row r="19" spans="1:8" ht="16" x14ac:dyDescent="0.2">
      <c r="A19" s="41" t="s">
        <v>9</v>
      </c>
      <c r="B19" s="41" t="s">
        <v>3533</v>
      </c>
      <c r="C19" s="41" t="s">
        <v>3490</v>
      </c>
      <c r="D19" s="42">
        <v>44956</v>
      </c>
      <c r="E19" s="41">
        <v>5</v>
      </c>
      <c r="F19" s="41">
        <v>1</v>
      </c>
      <c r="G19" s="41" t="s">
        <v>3534</v>
      </c>
      <c r="H19" s="41">
        <v>5</v>
      </c>
    </row>
    <row r="20" spans="1:8" ht="16" x14ac:dyDescent="0.2">
      <c r="A20" s="41" t="s">
        <v>10</v>
      </c>
      <c r="B20" s="41" t="s">
        <v>3535</v>
      </c>
      <c r="C20" s="41" t="s">
        <v>3510</v>
      </c>
      <c r="D20" s="42">
        <v>44026</v>
      </c>
      <c r="E20" s="41">
        <v>10</v>
      </c>
      <c r="F20" s="41">
        <v>1</v>
      </c>
      <c r="G20" s="41" t="s">
        <v>3536</v>
      </c>
      <c r="H20" s="41">
        <v>10</v>
      </c>
    </row>
    <row r="21" spans="1:8" ht="16" x14ac:dyDescent="0.2">
      <c r="A21" s="41" t="s">
        <v>3537</v>
      </c>
      <c r="B21" s="41" t="s">
        <v>3538</v>
      </c>
      <c r="C21" s="41" t="s">
        <v>3510</v>
      </c>
      <c r="D21" s="42">
        <v>39042</v>
      </c>
      <c r="E21" s="41">
        <v>10</v>
      </c>
      <c r="F21" s="41">
        <v>1</v>
      </c>
      <c r="G21" s="41" t="s">
        <v>3539</v>
      </c>
      <c r="H21" s="41">
        <v>10</v>
      </c>
    </row>
    <row r="22" spans="1:8" ht="16" x14ac:dyDescent="0.2">
      <c r="A22" s="41" t="s">
        <v>3540</v>
      </c>
      <c r="B22" s="41" t="s">
        <v>3541</v>
      </c>
      <c r="C22" s="41" t="s">
        <v>3490</v>
      </c>
      <c r="D22" s="42">
        <v>44006</v>
      </c>
      <c r="E22" s="41">
        <v>10</v>
      </c>
      <c r="F22" s="41">
        <v>1</v>
      </c>
      <c r="G22" s="41" t="s">
        <v>3542</v>
      </c>
      <c r="H22" s="41">
        <v>10</v>
      </c>
    </row>
    <row r="23" spans="1:8" ht="16" x14ac:dyDescent="0.2">
      <c r="A23" s="41" t="s">
        <v>11</v>
      </c>
      <c r="B23" s="41" t="s">
        <v>3543</v>
      </c>
      <c r="C23" s="41" t="s">
        <v>3490</v>
      </c>
      <c r="D23" s="42">
        <v>43381</v>
      </c>
      <c r="E23" s="41">
        <v>10</v>
      </c>
      <c r="F23" s="41">
        <v>1</v>
      </c>
      <c r="G23" s="41" t="s">
        <v>3544</v>
      </c>
      <c r="H23" s="41">
        <v>10</v>
      </c>
    </row>
    <row r="24" spans="1:8" ht="16" x14ac:dyDescent="0.2">
      <c r="A24" s="41" t="s">
        <v>3545</v>
      </c>
      <c r="B24" s="41" t="s">
        <v>3546</v>
      </c>
      <c r="C24" s="41" t="s">
        <v>3490</v>
      </c>
      <c r="D24" s="42">
        <v>34787</v>
      </c>
      <c r="E24" s="41">
        <v>2</v>
      </c>
      <c r="F24" s="41">
        <v>1</v>
      </c>
      <c r="G24" s="41" t="s">
        <v>3547</v>
      </c>
      <c r="H24" s="41">
        <v>2</v>
      </c>
    </row>
    <row r="25" spans="1:8" ht="16" x14ac:dyDescent="0.2">
      <c r="A25" s="41" t="s">
        <v>12</v>
      </c>
      <c r="B25" s="41" t="s">
        <v>3548</v>
      </c>
      <c r="C25" s="41" t="s">
        <v>3490</v>
      </c>
      <c r="D25" s="42">
        <v>34738</v>
      </c>
      <c r="E25" s="41">
        <v>2</v>
      </c>
      <c r="F25" s="41">
        <v>1</v>
      </c>
      <c r="G25" s="41" t="s">
        <v>3549</v>
      </c>
      <c r="H25" s="41">
        <v>2</v>
      </c>
    </row>
    <row r="26" spans="1:8" ht="16" x14ac:dyDescent="0.2">
      <c r="A26" s="41" t="s">
        <v>13</v>
      </c>
      <c r="B26" s="41" t="s">
        <v>3550</v>
      </c>
      <c r="C26" s="41" t="s">
        <v>3490</v>
      </c>
      <c r="D26" s="42">
        <v>40186</v>
      </c>
      <c r="E26" s="41">
        <v>10</v>
      </c>
      <c r="F26" s="41">
        <v>1</v>
      </c>
      <c r="G26" s="41" t="s">
        <v>3551</v>
      </c>
      <c r="H26" s="41">
        <v>10</v>
      </c>
    </row>
    <row r="27" spans="1:8" ht="16" x14ac:dyDescent="0.2">
      <c r="A27" s="41" t="s">
        <v>14</v>
      </c>
      <c r="B27" s="41" t="s">
        <v>3552</v>
      </c>
      <c r="C27" s="41" t="s">
        <v>3490</v>
      </c>
      <c r="D27" s="42">
        <v>42979</v>
      </c>
      <c r="E27" s="41">
        <v>10</v>
      </c>
      <c r="F27" s="41">
        <v>1</v>
      </c>
      <c r="G27" s="41" t="s">
        <v>3553</v>
      </c>
      <c r="H27" s="41">
        <v>10</v>
      </c>
    </row>
    <row r="28" spans="1:8" ht="16" x14ac:dyDescent="0.2">
      <c r="A28" s="41" t="s">
        <v>15</v>
      </c>
      <c r="B28" s="41" t="s">
        <v>3554</v>
      </c>
      <c r="C28" s="41" t="s">
        <v>3490</v>
      </c>
      <c r="D28" s="42">
        <v>45475</v>
      </c>
      <c r="E28" s="41">
        <v>2</v>
      </c>
      <c r="F28" s="41">
        <v>1</v>
      </c>
      <c r="G28" s="41" t="s">
        <v>3555</v>
      </c>
      <c r="H28" s="41">
        <v>2</v>
      </c>
    </row>
    <row r="29" spans="1:8" ht="16" x14ac:dyDescent="0.2">
      <c r="A29" s="41" t="s">
        <v>16</v>
      </c>
      <c r="B29" s="41" t="s">
        <v>3556</v>
      </c>
      <c r="C29" s="41" t="s">
        <v>3490</v>
      </c>
      <c r="D29" s="42">
        <v>41472</v>
      </c>
      <c r="E29" s="41">
        <v>10</v>
      </c>
      <c r="F29" s="41">
        <v>1</v>
      </c>
      <c r="G29" s="41" t="s">
        <v>3557</v>
      </c>
      <c r="H29" s="41">
        <v>10</v>
      </c>
    </row>
    <row r="30" spans="1:8" ht="16" x14ac:dyDescent="0.2">
      <c r="A30" s="41" t="s">
        <v>3558</v>
      </c>
      <c r="B30" s="41" t="s">
        <v>3559</v>
      </c>
      <c r="C30" s="41" t="s">
        <v>3510</v>
      </c>
      <c r="D30" s="42">
        <v>45604</v>
      </c>
      <c r="E30" s="41">
        <v>10</v>
      </c>
      <c r="F30" s="41">
        <v>1</v>
      </c>
      <c r="G30" s="41" t="s">
        <v>3560</v>
      </c>
      <c r="H30" s="41">
        <v>10</v>
      </c>
    </row>
    <row r="31" spans="1:8" ht="16" x14ac:dyDescent="0.2">
      <c r="A31" s="41" t="s">
        <v>3561</v>
      </c>
      <c r="B31" s="41" t="s">
        <v>3562</v>
      </c>
      <c r="C31" s="41" t="s">
        <v>3490</v>
      </c>
      <c r="D31" s="42">
        <v>45831</v>
      </c>
      <c r="E31" s="41">
        <v>10</v>
      </c>
      <c r="F31" s="41">
        <v>1</v>
      </c>
      <c r="G31" s="41" t="s">
        <v>3563</v>
      </c>
      <c r="H31" s="41">
        <v>10</v>
      </c>
    </row>
    <row r="32" spans="1:8" ht="16" x14ac:dyDescent="0.2">
      <c r="A32" s="41" t="s">
        <v>3564</v>
      </c>
      <c r="B32" s="41" t="s">
        <v>3565</v>
      </c>
      <c r="C32" s="41" t="s">
        <v>3510</v>
      </c>
      <c r="D32" s="42">
        <v>44448</v>
      </c>
      <c r="E32" s="41">
        <v>10</v>
      </c>
      <c r="F32" s="41">
        <v>1</v>
      </c>
      <c r="G32" s="41" t="s">
        <v>3566</v>
      </c>
      <c r="H32" s="41">
        <v>10</v>
      </c>
    </row>
    <row r="33" spans="1:8" ht="16" x14ac:dyDescent="0.2">
      <c r="A33" s="41" t="s">
        <v>3567</v>
      </c>
      <c r="B33" s="41" t="s">
        <v>3568</v>
      </c>
      <c r="C33" s="41" t="s">
        <v>3490</v>
      </c>
      <c r="D33" s="42">
        <v>37799</v>
      </c>
      <c r="E33" s="41">
        <v>10</v>
      </c>
      <c r="F33" s="41">
        <v>1</v>
      </c>
      <c r="G33" s="41" t="s">
        <v>3569</v>
      </c>
      <c r="H33" s="41">
        <v>10</v>
      </c>
    </row>
    <row r="34" spans="1:8" ht="16" x14ac:dyDescent="0.2">
      <c r="A34" s="41" t="s">
        <v>17</v>
      </c>
      <c r="B34" s="41" t="s">
        <v>3570</v>
      </c>
      <c r="C34" s="41" t="s">
        <v>3490</v>
      </c>
      <c r="D34" s="42">
        <v>44480</v>
      </c>
      <c r="E34" s="41">
        <v>5</v>
      </c>
      <c r="F34" s="41">
        <v>1</v>
      </c>
      <c r="G34" s="41" t="s">
        <v>3571</v>
      </c>
      <c r="H34" s="41">
        <v>5</v>
      </c>
    </row>
    <row r="35" spans="1:8" ht="16" x14ac:dyDescent="0.2">
      <c r="A35" s="41" t="s">
        <v>19</v>
      </c>
      <c r="B35" s="41" t="s">
        <v>3572</v>
      </c>
      <c r="C35" s="41" t="s">
        <v>3490</v>
      </c>
      <c r="D35" s="42">
        <v>35389</v>
      </c>
      <c r="E35" s="41">
        <v>10</v>
      </c>
      <c r="F35" s="41">
        <v>1</v>
      </c>
      <c r="G35" s="41" t="s">
        <v>3573</v>
      </c>
      <c r="H35" s="41">
        <v>10</v>
      </c>
    </row>
    <row r="36" spans="1:8" ht="16" x14ac:dyDescent="0.2">
      <c r="A36" s="41" t="s">
        <v>20</v>
      </c>
      <c r="B36" s="41" t="s">
        <v>3574</v>
      </c>
      <c r="C36" s="41" t="s">
        <v>3490</v>
      </c>
      <c r="D36" s="42">
        <v>36495</v>
      </c>
      <c r="E36" s="41">
        <v>10</v>
      </c>
      <c r="F36" s="41">
        <v>1</v>
      </c>
      <c r="G36" s="41" t="s">
        <v>3575</v>
      </c>
      <c r="H36" s="41">
        <v>10</v>
      </c>
    </row>
    <row r="37" spans="1:8" ht="16" x14ac:dyDescent="0.2">
      <c r="A37" s="41" t="s">
        <v>3576</v>
      </c>
      <c r="B37" s="41" t="s">
        <v>3577</v>
      </c>
      <c r="C37" s="41" t="s">
        <v>3490</v>
      </c>
      <c r="D37" s="42">
        <v>44176</v>
      </c>
      <c r="E37" s="41">
        <v>1</v>
      </c>
      <c r="F37" s="41">
        <v>1</v>
      </c>
      <c r="G37" s="41" t="s">
        <v>3578</v>
      </c>
      <c r="H37" s="41">
        <v>1</v>
      </c>
    </row>
    <row r="38" spans="1:8" ht="16" x14ac:dyDescent="0.2">
      <c r="A38" s="41" t="s">
        <v>22</v>
      </c>
      <c r="B38" s="41" t="s">
        <v>3579</v>
      </c>
      <c r="C38" s="41" t="s">
        <v>3490</v>
      </c>
      <c r="D38" s="42">
        <v>38986</v>
      </c>
      <c r="E38" s="41">
        <v>2</v>
      </c>
      <c r="F38" s="41">
        <v>1</v>
      </c>
      <c r="G38" s="41" t="s">
        <v>3580</v>
      </c>
      <c r="H38" s="41">
        <v>2</v>
      </c>
    </row>
    <row r="39" spans="1:8" ht="16" x14ac:dyDescent="0.2">
      <c r="A39" s="41" t="s">
        <v>3581</v>
      </c>
      <c r="B39" s="41" t="s">
        <v>3582</v>
      </c>
      <c r="C39" s="41" t="s">
        <v>3490</v>
      </c>
      <c r="D39" s="42">
        <v>44869</v>
      </c>
      <c r="E39" s="41">
        <v>10</v>
      </c>
      <c r="F39" s="41">
        <v>1</v>
      </c>
      <c r="G39" s="41" t="s">
        <v>3583</v>
      </c>
      <c r="H39" s="41">
        <v>10</v>
      </c>
    </row>
    <row r="40" spans="1:8" ht="16" x14ac:dyDescent="0.2">
      <c r="A40" s="41" t="s">
        <v>23</v>
      </c>
      <c r="B40" s="41" t="s">
        <v>3584</v>
      </c>
      <c r="C40" s="41" t="s">
        <v>3490</v>
      </c>
      <c r="D40" s="42">
        <v>44886</v>
      </c>
      <c r="E40" s="41">
        <v>2</v>
      </c>
      <c r="F40" s="41">
        <v>1</v>
      </c>
      <c r="G40" s="41" t="s">
        <v>3585</v>
      </c>
      <c r="H40" s="41">
        <v>2</v>
      </c>
    </row>
    <row r="41" spans="1:8" ht="16" x14ac:dyDescent="0.2">
      <c r="A41" s="41" t="s">
        <v>24</v>
      </c>
      <c r="B41" s="41" t="s">
        <v>3586</v>
      </c>
      <c r="C41" s="41" t="s">
        <v>3510</v>
      </c>
      <c r="D41" s="42">
        <v>45056</v>
      </c>
      <c r="E41" s="41">
        <v>10</v>
      </c>
      <c r="F41" s="41">
        <v>1</v>
      </c>
      <c r="G41" s="41" t="s">
        <v>3587</v>
      </c>
      <c r="H41" s="41">
        <v>10</v>
      </c>
    </row>
    <row r="42" spans="1:8" ht="16" x14ac:dyDescent="0.2">
      <c r="A42" s="41" t="s">
        <v>25</v>
      </c>
      <c r="B42" s="41" t="s">
        <v>3588</v>
      </c>
      <c r="C42" s="41" t="s">
        <v>3490</v>
      </c>
      <c r="D42" s="42">
        <v>39000</v>
      </c>
      <c r="E42" s="41">
        <v>2</v>
      </c>
      <c r="F42" s="41">
        <v>1</v>
      </c>
      <c r="G42" s="41" t="s">
        <v>3589</v>
      </c>
      <c r="H42" s="41">
        <v>2</v>
      </c>
    </row>
    <row r="43" spans="1:8" ht="16" x14ac:dyDescent="0.2">
      <c r="A43" s="41" t="s">
        <v>3590</v>
      </c>
      <c r="B43" s="41" t="s">
        <v>3591</v>
      </c>
      <c r="C43" s="41" t="s">
        <v>3490</v>
      </c>
      <c r="D43" s="42">
        <v>45609</v>
      </c>
      <c r="E43" s="41">
        <v>2</v>
      </c>
      <c r="F43" s="41">
        <v>1</v>
      </c>
      <c r="G43" s="41" t="s">
        <v>3592</v>
      </c>
      <c r="H43" s="41">
        <v>2</v>
      </c>
    </row>
    <row r="44" spans="1:8" ht="16" x14ac:dyDescent="0.2">
      <c r="A44" s="41" t="s">
        <v>3593</v>
      </c>
      <c r="B44" s="41" t="s">
        <v>3594</v>
      </c>
      <c r="C44" s="41" t="s">
        <v>3490</v>
      </c>
      <c r="D44" s="42">
        <v>44453</v>
      </c>
      <c r="E44" s="41">
        <v>5</v>
      </c>
      <c r="F44" s="41">
        <v>1</v>
      </c>
      <c r="G44" s="41" t="s">
        <v>3595</v>
      </c>
      <c r="H44" s="41">
        <v>5</v>
      </c>
    </row>
    <row r="45" spans="1:8" ht="16" x14ac:dyDescent="0.2">
      <c r="A45" s="41" t="s">
        <v>26</v>
      </c>
      <c r="B45" s="41" t="s">
        <v>3596</v>
      </c>
      <c r="C45" s="41" t="s">
        <v>3490</v>
      </c>
      <c r="D45" s="42">
        <v>42216</v>
      </c>
      <c r="E45" s="41">
        <v>10</v>
      </c>
      <c r="F45" s="41">
        <v>1</v>
      </c>
      <c r="G45" s="41" t="s">
        <v>3597</v>
      </c>
      <c r="H45" s="41">
        <v>10</v>
      </c>
    </row>
    <row r="46" spans="1:8" ht="16" x14ac:dyDescent="0.2">
      <c r="A46" s="41" t="s">
        <v>27</v>
      </c>
      <c r="B46" s="41" t="s">
        <v>3598</v>
      </c>
      <c r="C46" s="41" t="s">
        <v>3490</v>
      </c>
      <c r="D46" s="42">
        <v>35585</v>
      </c>
      <c r="E46" s="41">
        <v>1</v>
      </c>
      <c r="F46" s="41">
        <v>1</v>
      </c>
      <c r="G46" s="41" t="s">
        <v>3599</v>
      </c>
      <c r="H46" s="41">
        <v>1</v>
      </c>
    </row>
    <row r="47" spans="1:8" ht="16" x14ac:dyDescent="0.2">
      <c r="A47" s="41" t="s">
        <v>28</v>
      </c>
      <c r="B47" s="41" t="s">
        <v>3600</v>
      </c>
      <c r="C47" s="41" t="s">
        <v>3490</v>
      </c>
      <c r="D47" s="42">
        <v>43269</v>
      </c>
      <c r="E47" s="41">
        <v>10</v>
      </c>
      <c r="F47" s="41">
        <v>1</v>
      </c>
      <c r="G47" s="41" t="s">
        <v>3601</v>
      </c>
      <c r="H47" s="41">
        <v>10</v>
      </c>
    </row>
    <row r="48" spans="1:8" ht="16" x14ac:dyDescent="0.2">
      <c r="A48" s="41" t="s">
        <v>29</v>
      </c>
      <c r="B48" s="41" t="s">
        <v>3602</v>
      </c>
      <c r="C48" s="41" t="s">
        <v>3490</v>
      </c>
      <c r="D48" s="42">
        <v>39413</v>
      </c>
      <c r="E48" s="41">
        <v>2</v>
      </c>
      <c r="F48" s="41">
        <v>1</v>
      </c>
      <c r="G48" s="41" t="s">
        <v>3603</v>
      </c>
      <c r="H48" s="41">
        <v>2</v>
      </c>
    </row>
    <row r="49" spans="1:8" ht="16" x14ac:dyDescent="0.2">
      <c r="A49" s="41" t="s">
        <v>30</v>
      </c>
      <c r="B49" s="41" t="s">
        <v>3604</v>
      </c>
      <c r="C49" s="41" t="s">
        <v>3490</v>
      </c>
      <c r="D49" s="42">
        <v>40045</v>
      </c>
      <c r="E49" s="41">
        <v>10</v>
      </c>
      <c r="F49" s="41">
        <v>1</v>
      </c>
      <c r="G49" s="41" t="s">
        <v>3605</v>
      </c>
      <c r="H49" s="41">
        <v>10</v>
      </c>
    </row>
    <row r="50" spans="1:8" ht="16" x14ac:dyDescent="0.2">
      <c r="A50" s="41" t="s">
        <v>31</v>
      </c>
      <c r="B50" s="41" t="s">
        <v>3606</v>
      </c>
      <c r="C50" s="41" t="s">
        <v>3490</v>
      </c>
      <c r="D50" s="42">
        <v>40436</v>
      </c>
      <c r="E50" s="41">
        <v>2</v>
      </c>
      <c r="F50" s="41">
        <v>1</v>
      </c>
      <c r="G50" s="41" t="s">
        <v>3607</v>
      </c>
      <c r="H50" s="41">
        <v>2</v>
      </c>
    </row>
    <row r="51" spans="1:8" ht="16" x14ac:dyDescent="0.2">
      <c r="A51" s="41" t="s">
        <v>3608</v>
      </c>
      <c r="B51" s="41" t="s">
        <v>3609</v>
      </c>
      <c r="C51" s="41" t="s">
        <v>3490</v>
      </c>
      <c r="D51" s="42">
        <v>44105</v>
      </c>
      <c r="E51" s="41">
        <v>10</v>
      </c>
      <c r="F51" s="41">
        <v>1</v>
      </c>
      <c r="G51" s="41" t="s">
        <v>3610</v>
      </c>
      <c r="H51" s="41">
        <v>10</v>
      </c>
    </row>
    <row r="52" spans="1:8" ht="16" x14ac:dyDescent="0.2">
      <c r="A52" s="41" t="s">
        <v>3611</v>
      </c>
      <c r="B52" s="41" t="s">
        <v>3612</v>
      </c>
      <c r="C52" s="41" t="s">
        <v>3490</v>
      </c>
      <c r="D52" s="42">
        <v>34829</v>
      </c>
      <c r="E52" s="41">
        <v>10</v>
      </c>
      <c r="F52" s="41">
        <v>1</v>
      </c>
      <c r="G52" s="41" t="s">
        <v>3613</v>
      </c>
      <c r="H52" s="41">
        <v>10</v>
      </c>
    </row>
    <row r="53" spans="1:8" ht="16" x14ac:dyDescent="0.2">
      <c r="A53" s="41" t="s">
        <v>3614</v>
      </c>
      <c r="B53" s="41" t="s">
        <v>3615</v>
      </c>
      <c r="C53" s="41" t="s">
        <v>3490</v>
      </c>
      <c r="D53" s="42">
        <v>35655</v>
      </c>
      <c r="E53" s="41">
        <v>10</v>
      </c>
      <c r="F53" s="41">
        <v>1</v>
      </c>
      <c r="G53" s="41" t="s">
        <v>3616</v>
      </c>
      <c r="H53" s="41">
        <v>10</v>
      </c>
    </row>
    <row r="54" spans="1:8" ht="16" x14ac:dyDescent="0.2">
      <c r="A54" s="41" t="s">
        <v>32</v>
      </c>
      <c r="B54" s="41" t="s">
        <v>3617</v>
      </c>
      <c r="C54" s="41" t="s">
        <v>3490</v>
      </c>
      <c r="D54" s="42">
        <v>39288</v>
      </c>
      <c r="E54" s="41">
        <v>5</v>
      </c>
      <c r="F54" s="41">
        <v>1</v>
      </c>
      <c r="G54" s="41" t="s">
        <v>3618</v>
      </c>
      <c r="H54" s="41">
        <v>5</v>
      </c>
    </row>
    <row r="55" spans="1:8" ht="16" x14ac:dyDescent="0.2">
      <c r="A55" s="41" t="s">
        <v>33</v>
      </c>
      <c r="B55" s="41" t="s">
        <v>3619</v>
      </c>
      <c r="C55" s="41" t="s">
        <v>3490</v>
      </c>
      <c r="D55" s="42">
        <v>39258</v>
      </c>
      <c r="E55" s="41">
        <v>2</v>
      </c>
      <c r="F55" s="41">
        <v>1</v>
      </c>
      <c r="G55" s="41" t="s">
        <v>3620</v>
      </c>
      <c r="H55" s="41">
        <v>2</v>
      </c>
    </row>
    <row r="56" spans="1:8" ht="16" x14ac:dyDescent="0.2">
      <c r="A56" s="41" t="s">
        <v>34</v>
      </c>
      <c r="B56" s="41" t="s">
        <v>3621</v>
      </c>
      <c r="C56" s="41" t="s">
        <v>3490</v>
      </c>
      <c r="D56" s="42">
        <v>42583</v>
      </c>
      <c r="E56" s="41">
        <v>2</v>
      </c>
      <c r="F56" s="41">
        <v>1</v>
      </c>
      <c r="G56" s="41" t="s">
        <v>3622</v>
      </c>
      <c r="H56" s="41">
        <v>2</v>
      </c>
    </row>
    <row r="57" spans="1:8" ht="16" x14ac:dyDescent="0.2">
      <c r="A57" s="41" t="s">
        <v>35</v>
      </c>
      <c r="B57" s="41" t="s">
        <v>3623</v>
      </c>
      <c r="C57" s="41" t="s">
        <v>3490</v>
      </c>
      <c r="D57" s="42">
        <v>35158</v>
      </c>
      <c r="E57" s="41">
        <v>1</v>
      </c>
      <c r="F57" s="41">
        <v>1</v>
      </c>
      <c r="G57" s="41" t="s">
        <v>3624</v>
      </c>
      <c r="H57" s="41">
        <v>1</v>
      </c>
    </row>
    <row r="58" spans="1:8" ht="16" x14ac:dyDescent="0.2">
      <c r="A58" s="41" t="s">
        <v>3625</v>
      </c>
      <c r="B58" s="41" t="s">
        <v>3626</v>
      </c>
      <c r="C58" s="41" t="s">
        <v>3490</v>
      </c>
      <c r="D58" s="42">
        <v>45810</v>
      </c>
      <c r="E58" s="41">
        <v>10</v>
      </c>
      <c r="F58" s="41">
        <v>1</v>
      </c>
      <c r="G58" s="41" t="s">
        <v>3627</v>
      </c>
      <c r="H58" s="41">
        <v>10</v>
      </c>
    </row>
    <row r="59" spans="1:8" ht="16" x14ac:dyDescent="0.2">
      <c r="A59" s="41" t="s">
        <v>3628</v>
      </c>
      <c r="B59" s="41" t="s">
        <v>3629</v>
      </c>
      <c r="C59" s="41" t="s">
        <v>3490</v>
      </c>
      <c r="D59" s="42">
        <v>44886</v>
      </c>
      <c r="E59" s="41">
        <v>2</v>
      </c>
      <c r="F59" s="41">
        <v>1</v>
      </c>
      <c r="G59" s="41" t="s">
        <v>3630</v>
      </c>
      <c r="H59" s="41">
        <v>2</v>
      </c>
    </row>
    <row r="60" spans="1:8" ht="16" x14ac:dyDescent="0.2">
      <c r="A60" s="41" t="s">
        <v>36</v>
      </c>
      <c r="B60" s="41" t="s">
        <v>3631</v>
      </c>
      <c r="C60" s="41" t="s">
        <v>3490</v>
      </c>
      <c r="D60" s="42">
        <v>45169</v>
      </c>
      <c r="E60" s="41">
        <v>2</v>
      </c>
      <c r="F60" s="41">
        <v>1</v>
      </c>
      <c r="G60" s="41" t="s">
        <v>3632</v>
      </c>
      <c r="H60" s="41">
        <v>2</v>
      </c>
    </row>
    <row r="61" spans="1:8" ht="16" x14ac:dyDescent="0.2">
      <c r="A61" s="41" t="s">
        <v>3633</v>
      </c>
      <c r="B61" s="41" t="s">
        <v>3634</v>
      </c>
      <c r="C61" s="41" t="s">
        <v>3510</v>
      </c>
      <c r="D61" s="42">
        <v>44938</v>
      </c>
      <c r="E61" s="41">
        <v>10</v>
      </c>
      <c r="F61" s="41">
        <v>1</v>
      </c>
      <c r="G61" s="41" t="s">
        <v>3635</v>
      </c>
      <c r="H61" s="41">
        <v>10</v>
      </c>
    </row>
    <row r="62" spans="1:8" ht="16" x14ac:dyDescent="0.2">
      <c r="A62" s="41" t="s">
        <v>37</v>
      </c>
      <c r="B62" s="41" t="s">
        <v>3636</v>
      </c>
      <c r="C62" s="41" t="s">
        <v>3490</v>
      </c>
      <c r="D62" s="42">
        <v>44715</v>
      </c>
      <c r="E62" s="41">
        <v>10</v>
      </c>
      <c r="F62" s="41">
        <v>1</v>
      </c>
      <c r="G62" s="41" t="s">
        <v>3637</v>
      </c>
      <c r="H62" s="41">
        <v>10</v>
      </c>
    </row>
    <row r="63" spans="1:8" ht="16" x14ac:dyDescent="0.2">
      <c r="A63" s="41" t="s">
        <v>3638</v>
      </c>
      <c r="B63" s="41" t="s">
        <v>3639</v>
      </c>
      <c r="C63" s="41" t="s">
        <v>3490</v>
      </c>
      <c r="D63" s="42">
        <v>45600</v>
      </c>
      <c r="E63" s="41">
        <v>10</v>
      </c>
      <c r="F63" s="41">
        <v>1</v>
      </c>
      <c r="G63" s="41" t="s">
        <v>3640</v>
      </c>
      <c r="H63" s="41">
        <v>10</v>
      </c>
    </row>
    <row r="64" spans="1:8" ht="16" x14ac:dyDescent="0.2">
      <c r="A64" s="41" t="s">
        <v>38</v>
      </c>
      <c r="B64" s="41" t="s">
        <v>3641</v>
      </c>
      <c r="C64" s="41" t="s">
        <v>3490</v>
      </c>
      <c r="D64" s="42">
        <v>43685</v>
      </c>
      <c r="E64" s="41">
        <v>2</v>
      </c>
      <c r="F64" s="41">
        <v>1</v>
      </c>
      <c r="G64" s="41" t="s">
        <v>3642</v>
      </c>
      <c r="H64" s="41">
        <v>2</v>
      </c>
    </row>
    <row r="65" spans="1:8" ht="16" x14ac:dyDescent="0.2">
      <c r="A65" s="41" t="s">
        <v>3643</v>
      </c>
      <c r="B65" s="41" t="s">
        <v>3644</v>
      </c>
      <c r="C65" s="41" t="s">
        <v>3490</v>
      </c>
      <c r="D65" s="42">
        <v>45588</v>
      </c>
      <c r="E65" s="41">
        <v>10</v>
      </c>
      <c r="F65" s="41">
        <v>1</v>
      </c>
      <c r="G65" s="41" t="s">
        <v>3645</v>
      </c>
      <c r="H65" s="41">
        <v>10</v>
      </c>
    </row>
    <row r="66" spans="1:8" ht="16" x14ac:dyDescent="0.2">
      <c r="A66" s="41" t="s">
        <v>3646</v>
      </c>
      <c r="B66" s="41" t="s">
        <v>3647</v>
      </c>
      <c r="C66" s="41" t="s">
        <v>3490</v>
      </c>
      <c r="D66" s="42">
        <v>45469</v>
      </c>
      <c r="E66" s="41">
        <v>1</v>
      </c>
      <c r="F66" s="41">
        <v>1</v>
      </c>
      <c r="G66" s="41" t="s">
        <v>3648</v>
      </c>
      <c r="H66" s="41">
        <v>1</v>
      </c>
    </row>
    <row r="67" spans="1:8" ht="16" x14ac:dyDescent="0.2">
      <c r="A67" s="41" t="s">
        <v>3649</v>
      </c>
      <c r="B67" s="41" t="s">
        <v>3650</v>
      </c>
      <c r="C67" s="41" t="s">
        <v>3490</v>
      </c>
      <c r="D67" s="42">
        <v>44918</v>
      </c>
      <c r="E67" s="41">
        <v>2</v>
      </c>
      <c r="F67" s="41">
        <v>1</v>
      </c>
      <c r="G67" s="41" t="s">
        <v>3651</v>
      </c>
      <c r="H67" s="41">
        <v>2</v>
      </c>
    </row>
    <row r="68" spans="1:8" ht="16" x14ac:dyDescent="0.2">
      <c r="A68" s="41" t="s">
        <v>39</v>
      </c>
      <c r="B68" s="41" t="s">
        <v>3652</v>
      </c>
      <c r="C68" s="41" t="s">
        <v>3490</v>
      </c>
      <c r="D68" s="42">
        <v>41785</v>
      </c>
      <c r="E68" s="41">
        <v>10</v>
      </c>
      <c r="F68" s="41">
        <v>1</v>
      </c>
      <c r="G68" s="41" t="s">
        <v>3653</v>
      </c>
      <c r="H68" s="41">
        <v>10</v>
      </c>
    </row>
    <row r="69" spans="1:8" ht="16" x14ac:dyDescent="0.2">
      <c r="A69" s="41" t="s">
        <v>3654</v>
      </c>
      <c r="B69" s="41" t="s">
        <v>3655</v>
      </c>
      <c r="C69" s="41" t="s">
        <v>3490</v>
      </c>
      <c r="D69" s="42">
        <v>45692</v>
      </c>
      <c r="E69" s="41">
        <v>1</v>
      </c>
      <c r="F69" s="41">
        <v>1</v>
      </c>
      <c r="G69" s="41" t="s">
        <v>3656</v>
      </c>
      <c r="H69" s="41">
        <v>1</v>
      </c>
    </row>
    <row r="70" spans="1:8" ht="16" x14ac:dyDescent="0.2">
      <c r="A70" s="41" t="s">
        <v>40</v>
      </c>
      <c r="B70" s="41" t="s">
        <v>3657</v>
      </c>
      <c r="C70" s="41" t="s">
        <v>3490</v>
      </c>
      <c r="D70" s="42">
        <v>36677</v>
      </c>
      <c r="E70" s="41">
        <v>2</v>
      </c>
      <c r="F70" s="41">
        <v>1</v>
      </c>
      <c r="G70" s="41" t="s">
        <v>3658</v>
      </c>
      <c r="H70" s="41">
        <v>2</v>
      </c>
    </row>
    <row r="71" spans="1:8" ht="16" x14ac:dyDescent="0.2">
      <c r="A71" s="41" t="s">
        <v>41</v>
      </c>
      <c r="B71" s="41" t="s">
        <v>3659</v>
      </c>
      <c r="C71" s="41" t="s">
        <v>3490</v>
      </c>
      <c r="D71" s="42">
        <v>45488</v>
      </c>
      <c r="E71" s="41">
        <v>5</v>
      </c>
      <c r="F71" s="41">
        <v>1</v>
      </c>
      <c r="G71" s="41" t="s">
        <v>3660</v>
      </c>
      <c r="H71" s="41">
        <v>5</v>
      </c>
    </row>
    <row r="72" spans="1:8" ht="16" x14ac:dyDescent="0.2">
      <c r="A72" s="41" t="s">
        <v>3661</v>
      </c>
      <c r="B72" s="41" t="s">
        <v>3662</v>
      </c>
      <c r="C72" s="41" t="s">
        <v>3490</v>
      </c>
      <c r="D72" s="42">
        <v>41667</v>
      </c>
      <c r="E72" s="41">
        <v>10</v>
      </c>
      <c r="F72" s="41">
        <v>1</v>
      </c>
      <c r="G72" s="41" t="s">
        <v>3663</v>
      </c>
      <c r="H72" s="41">
        <v>10</v>
      </c>
    </row>
    <row r="73" spans="1:8" ht="16" x14ac:dyDescent="0.2">
      <c r="A73" s="41" t="s">
        <v>3664</v>
      </c>
      <c r="B73" s="41" t="s">
        <v>3665</v>
      </c>
      <c r="C73" s="41" t="s">
        <v>3510</v>
      </c>
      <c r="D73" s="42">
        <v>43532</v>
      </c>
      <c r="E73" s="41">
        <v>10</v>
      </c>
      <c r="F73" s="41">
        <v>1</v>
      </c>
      <c r="G73" s="41" t="s">
        <v>3666</v>
      </c>
      <c r="H73" s="41">
        <v>10</v>
      </c>
    </row>
    <row r="74" spans="1:8" ht="16" x14ac:dyDescent="0.2">
      <c r="A74" s="41" t="s">
        <v>42</v>
      </c>
      <c r="B74" s="41" t="s">
        <v>3667</v>
      </c>
      <c r="C74" s="41" t="s">
        <v>3510</v>
      </c>
      <c r="D74" s="42">
        <v>44592</v>
      </c>
      <c r="E74" s="41">
        <v>10</v>
      </c>
      <c r="F74" s="41">
        <v>1</v>
      </c>
      <c r="G74" s="41" t="s">
        <v>3668</v>
      </c>
      <c r="H74" s="41">
        <v>10</v>
      </c>
    </row>
    <row r="75" spans="1:8" ht="16" x14ac:dyDescent="0.2">
      <c r="A75" s="41" t="s">
        <v>3669</v>
      </c>
      <c r="B75" s="41" t="s">
        <v>3670</v>
      </c>
      <c r="C75" s="41" t="s">
        <v>3510</v>
      </c>
      <c r="D75" s="42">
        <v>45903</v>
      </c>
      <c r="E75" s="41">
        <v>10</v>
      </c>
      <c r="F75" s="41">
        <v>1</v>
      </c>
      <c r="G75" s="41" t="s">
        <v>3671</v>
      </c>
      <c r="H75" s="41">
        <v>10</v>
      </c>
    </row>
    <row r="76" spans="1:8" ht="16" x14ac:dyDescent="0.2">
      <c r="A76" s="41" t="s">
        <v>3672</v>
      </c>
      <c r="B76" s="41" t="s">
        <v>3673</v>
      </c>
      <c r="C76" s="41" t="s">
        <v>3490</v>
      </c>
      <c r="D76" s="42">
        <v>44224</v>
      </c>
      <c r="E76" s="41">
        <v>10</v>
      </c>
      <c r="F76" s="41">
        <v>1</v>
      </c>
      <c r="G76" s="41" t="s">
        <v>3674</v>
      </c>
      <c r="H76" s="41">
        <v>10</v>
      </c>
    </row>
    <row r="77" spans="1:8" ht="16" x14ac:dyDescent="0.2">
      <c r="A77" s="41" t="s">
        <v>3675</v>
      </c>
      <c r="B77" s="41" t="s">
        <v>3676</v>
      </c>
      <c r="C77" s="41" t="s">
        <v>3490</v>
      </c>
      <c r="D77" s="42">
        <v>40401</v>
      </c>
      <c r="E77" s="41">
        <v>10</v>
      </c>
      <c r="F77" s="41">
        <v>1</v>
      </c>
      <c r="G77" s="41" t="s">
        <v>3677</v>
      </c>
      <c r="H77" s="41">
        <v>10</v>
      </c>
    </row>
    <row r="78" spans="1:8" ht="16" x14ac:dyDescent="0.2">
      <c r="A78" s="41" t="s">
        <v>43</v>
      </c>
      <c r="B78" s="41" t="s">
        <v>3678</v>
      </c>
      <c r="C78" s="41" t="s">
        <v>3490</v>
      </c>
      <c r="D78" s="42">
        <v>40161</v>
      </c>
      <c r="E78" s="41">
        <v>2</v>
      </c>
      <c r="F78" s="41">
        <v>1</v>
      </c>
      <c r="G78" s="41" t="s">
        <v>3679</v>
      </c>
      <c r="H78" s="41">
        <v>2</v>
      </c>
    </row>
    <row r="79" spans="1:8" ht="16" x14ac:dyDescent="0.2">
      <c r="A79" s="41" t="s">
        <v>44</v>
      </c>
      <c r="B79" s="41" t="s">
        <v>3680</v>
      </c>
      <c r="C79" s="41" t="s">
        <v>3490</v>
      </c>
      <c r="D79" s="42">
        <v>38700</v>
      </c>
      <c r="E79" s="41">
        <v>2</v>
      </c>
      <c r="F79" s="41">
        <v>1</v>
      </c>
      <c r="G79" s="41" t="s">
        <v>3681</v>
      </c>
      <c r="H79" s="41">
        <v>2</v>
      </c>
    </row>
    <row r="80" spans="1:8" ht="16" x14ac:dyDescent="0.2">
      <c r="A80" s="41" t="s">
        <v>45</v>
      </c>
      <c r="B80" s="41" t="s">
        <v>3682</v>
      </c>
      <c r="C80" s="41" t="s">
        <v>3490</v>
      </c>
      <c r="D80" s="42">
        <v>45405</v>
      </c>
      <c r="E80" s="41">
        <v>1</v>
      </c>
      <c r="F80" s="41">
        <v>1</v>
      </c>
      <c r="G80" s="41" t="s">
        <v>3683</v>
      </c>
      <c r="H80" s="41">
        <v>1</v>
      </c>
    </row>
    <row r="81" spans="1:8" ht="16" x14ac:dyDescent="0.2">
      <c r="A81" s="41" t="s">
        <v>3684</v>
      </c>
      <c r="B81" s="41" t="s">
        <v>3685</v>
      </c>
      <c r="C81" s="41" t="s">
        <v>3490</v>
      </c>
      <c r="D81" s="42">
        <v>43588</v>
      </c>
      <c r="E81" s="41">
        <v>2</v>
      </c>
      <c r="F81" s="41">
        <v>1</v>
      </c>
      <c r="G81" s="41" t="s">
        <v>3686</v>
      </c>
      <c r="H81" s="41">
        <v>2</v>
      </c>
    </row>
    <row r="82" spans="1:8" ht="16" x14ac:dyDescent="0.2">
      <c r="A82" s="41" t="s">
        <v>3687</v>
      </c>
      <c r="B82" s="41" t="s">
        <v>3688</v>
      </c>
      <c r="C82" s="41" t="s">
        <v>3490</v>
      </c>
      <c r="D82" s="42">
        <v>44482</v>
      </c>
      <c r="E82" s="41">
        <v>10</v>
      </c>
      <c r="F82" s="41">
        <v>1</v>
      </c>
      <c r="G82" s="41" t="s">
        <v>3689</v>
      </c>
      <c r="H82" s="41">
        <v>10</v>
      </c>
    </row>
    <row r="83" spans="1:8" ht="16" x14ac:dyDescent="0.2">
      <c r="A83" s="41" t="s">
        <v>47</v>
      </c>
      <c r="B83" s="41" t="s">
        <v>3690</v>
      </c>
      <c r="C83" s="41" t="s">
        <v>3490</v>
      </c>
      <c r="D83" s="42">
        <v>36675</v>
      </c>
      <c r="E83" s="41">
        <v>2</v>
      </c>
      <c r="F83" s="41">
        <v>1</v>
      </c>
      <c r="G83" s="41" t="s">
        <v>3691</v>
      </c>
      <c r="H83" s="41">
        <v>2</v>
      </c>
    </row>
    <row r="84" spans="1:8" ht="16" x14ac:dyDescent="0.2">
      <c r="A84" s="41" t="s">
        <v>3692</v>
      </c>
      <c r="B84" s="41" t="s">
        <v>3693</v>
      </c>
      <c r="C84" s="41" t="s">
        <v>3490</v>
      </c>
      <c r="D84" s="42">
        <v>45705</v>
      </c>
      <c r="E84" s="41">
        <v>1</v>
      </c>
      <c r="F84" s="41">
        <v>1</v>
      </c>
      <c r="G84" s="41" t="s">
        <v>3694</v>
      </c>
      <c r="H84" s="41">
        <v>1</v>
      </c>
    </row>
    <row r="85" spans="1:8" ht="16" x14ac:dyDescent="0.2">
      <c r="A85" s="41" t="s">
        <v>48</v>
      </c>
      <c r="B85" s="41" t="s">
        <v>3695</v>
      </c>
      <c r="C85" s="41" t="s">
        <v>3490</v>
      </c>
      <c r="D85" s="42">
        <v>39980</v>
      </c>
      <c r="E85" s="41">
        <v>10</v>
      </c>
      <c r="F85" s="41">
        <v>1</v>
      </c>
      <c r="G85" s="41" t="s">
        <v>3696</v>
      </c>
      <c r="H85" s="41">
        <v>10</v>
      </c>
    </row>
    <row r="86" spans="1:8" ht="16" x14ac:dyDescent="0.2">
      <c r="A86" s="41" t="s">
        <v>3697</v>
      </c>
      <c r="B86" s="41" t="s">
        <v>3698</v>
      </c>
      <c r="C86" s="41" t="s">
        <v>3490</v>
      </c>
      <c r="D86" s="42">
        <v>44323</v>
      </c>
      <c r="E86" s="41">
        <v>2</v>
      </c>
      <c r="F86" s="41">
        <v>1</v>
      </c>
      <c r="G86" s="41" t="s">
        <v>3699</v>
      </c>
      <c r="H86" s="41">
        <v>2</v>
      </c>
    </row>
    <row r="87" spans="1:8" ht="16" x14ac:dyDescent="0.2">
      <c r="A87" s="41" t="s">
        <v>3700</v>
      </c>
      <c r="B87" s="41" t="s">
        <v>3701</v>
      </c>
      <c r="C87" s="41" t="s">
        <v>3490</v>
      </c>
      <c r="D87" s="42">
        <v>43749</v>
      </c>
      <c r="E87" s="41">
        <v>10</v>
      </c>
      <c r="F87" s="41">
        <v>1</v>
      </c>
      <c r="G87" s="41" t="s">
        <v>3702</v>
      </c>
      <c r="H87" s="41">
        <v>10</v>
      </c>
    </row>
    <row r="88" spans="1:8" ht="16" x14ac:dyDescent="0.2">
      <c r="A88" s="41" t="s">
        <v>3703</v>
      </c>
      <c r="B88" s="41" t="s">
        <v>3704</v>
      </c>
      <c r="C88" s="41" t="s">
        <v>3490</v>
      </c>
      <c r="D88" s="42">
        <v>44243</v>
      </c>
      <c r="E88" s="41">
        <v>10</v>
      </c>
      <c r="F88" s="41">
        <v>1</v>
      </c>
      <c r="G88" s="41" t="s">
        <v>3705</v>
      </c>
      <c r="H88" s="41">
        <v>10</v>
      </c>
    </row>
    <row r="89" spans="1:8" ht="16" x14ac:dyDescent="0.2">
      <c r="A89" s="41" t="s">
        <v>3706</v>
      </c>
      <c r="B89" s="41" t="s">
        <v>3707</v>
      </c>
      <c r="C89" s="41" t="s">
        <v>3510</v>
      </c>
      <c r="D89" s="42">
        <v>45022</v>
      </c>
      <c r="E89" s="41">
        <v>2</v>
      </c>
      <c r="F89" s="41">
        <v>1</v>
      </c>
      <c r="G89" s="41" t="s">
        <v>3708</v>
      </c>
      <c r="H89" s="41">
        <v>2</v>
      </c>
    </row>
    <row r="90" spans="1:8" ht="16" x14ac:dyDescent="0.2">
      <c r="A90" s="41" t="s">
        <v>3709</v>
      </c>
      <c r="B90" s="41" t="s">
        <v>3710</v>
      </c>
      <c r="C90" s="41" t="s">
        <v>3490</v>
      </c>
      <c r="D90" s="42">
        <v>44704</v>
      </c>
      <c r="E90" s="41">
        <v>1</v>
      </c>
      <c r="F90" s="41">
        <v>1</v>
      </c>
      <c r="G90" s="41" t="s">
        <v>3711</v>
      </c>
      <c r="H90" s="41">
        <v>1</v>
      </c>
    </row>
    <row r="91" spans="1:8" ht="16" x14ac:dyDescent="0.2">
      <c r="A91" s="41" t="s">
        <v>3712</v>
      </c>
      <c r="B91" s="41" t="s">
        <v>3713</v>
      </c>
      <c r="C91" s="41" t="s">
        <v>3490</v>
      </c>
      <c r="D91" s="42">
        <v>42822</v>
      </c>
      <c r="E91" s="41">
        <v>10</v>
      </c>
      <c r="F91" s="41">
        <v>1</v>
      </c>
      <c r="G91" s="41" t="s">
        <v>3714</v>
      </c>
      <c r="H91" s="41">
        <v>10</v>
      </c>
    </row>
    <row r="92" spans="1:8" ht="16" x14ac:dyDescent="0.2">
      <c r="A92" s="41" t="s">
        <v>3715</v>
      </c>
      <c r="B92" s="41" t="s">
        <v>3716</v>
      </c>
      <c r="C92" s="41" t="s">
        <v>3490</v>
      </c>
      <c r="D92" s="42">
        <v>36756</v>
      </c>
      <c r="E92" s="41">
        <v>5</v>
      </c>
      <c r="F92" s="41">
        <v>1</v>
      </c>
      <c r="G92" s="41" t="s">
        <v>3717</v>
      </c>
      <c r="H92" s="41">
        <v>5</v>
      </c>
    </row>
    <row r="93" spans="1:8" ht="16" x14ac:dyDescent="0.2">
      <c r="A93" s="41" t="s">
        <v>3718</v>
      </c>
      <c r="B93" s="41" t="s">
        <v>3719</v>
      </c>
      <c r="C93" s="41" t="s">
        <v>3490</v>
      </c>
      <c r="D93" s="42">
        <v>45510</v>
      </c>
      <c r="E93" s="41">
        <v>2</v>
      </c>
      <c r="F93" s="41">
        <v>1</v>
      </c>
      <c r="G93" s="41" t="s">
        <v>3720</v>
      </c>
      <c r="H93" s="41">
        <v>2</v>
      </c>
    </row>
    <row r="94" spans="1:8" ht="16" x14ac:dyDescent="0.2">
      <c r="A94" s="41" t="s">
        <v>49</v>
      </c>
      <c r="B94" s="41" t="s">
        <v>3721</v>
      </c>
      <c r="C94" s="41" t="s">
        <v>3490</v>
      </c>
      <c r="D94" s="42">
        <v>37070</v>
      </c>
      <c r="E94" s="41">
        <v>10</v>
      </c>
      <c r="F94" s="41">
        <v>1</v>
      </c>
      <c r="G94" s="41" t="s">
        <v>3722</v>
      </c>
      <c r="H94" s="41">
        <v>10</v>
      </c>
    </row>
    <row r="95" spans="1:8" ht="16" x14ac:dyDescent="0.2">
      <c r="A95" s="41" t="s">
        <v>50</v>
      </c>
      <c r="B95" s="41" t="s">
        <v>3723</v>
      </c>
      <c r="C95" s="41" t="s">
        <v>3490</v>
      </c>
      <c r="D95" s="42">
        <v>42185</v>
      </c>
      <c r="E95" s="41">
        <v>1</v>
      </c>
      <c r="F95" s="41">
        <v>1</v>
      </c>
      <c r="G95" s="41" t="s">
        <v>3724</v>
      </c>
      <c r="H95" s="41">
        <v>1</v>
      </c>
    </row>
    <row r="96" spans="1:8" ht="16" x14ac:dyDescent="0.2">
      <c r="A96" s="41" t="s">
        <v>51</v>
      </c>
      <c r="B96" s="41" t="s">
        <v>3725</v>
      </c>
      <c r="C96" s="41" t="s">
        <v>3490</v>
      </c>
      <c r="D96" s="42">
        <v>42535</v>
      </c>
      <c r="E96" s="41">
        <v>10</v>
      </c>
      <c r="F96" s="41">
        <v>1</v>
      </c>
      <c r="G96" s="41" t="s">
        <v>3726</v>
      </c>
      <c r="H96" s="41">
        <v>10</v>
      </c>
    </row>
    <row r="97" spans="1:8" ht="16" x14ac:dyDescent="0.2">
      <c r="A97" s="41" t="s">
        <v>52</v>
      </c>
      <c r="B97" s="41" t="s">
        <v>3727</v>
      </c>
      <c r="C97" s="41" t="s">
        <v>3490</v>
      </c>
      <c r="D97" s="42">
        <v>36425</v>
      </c>
      <c r="E97" s="41">
        <v>2</v>
      </c>
      <c r="F97" s="41">
        <v>1</v>
      </c>
      <c r="G97" s="41" t="s">
        <v>3728</v>
      </c>
      <c r="H97" s="41">
        <v>2</v>
      </c>
    </row>
    <row r="98" spans="1:8" ht="16" x14ac:dyDescent="0.2">
      <c r="A98" s="41" t="s">
        <v>53</v>
      </c>
      <c r="B98" s="41" t="s">
        <v>3729</v>
      </c>
      <c r="C98" s="41" t="s">
        <v>3490</v>
      </c>
      <c r="D98" s="42">
        <v>38989</v>
      </c>
      <c r="E98" s="41">
        <v>5</v>
      </c>
      <c r="F98" s="41">
        <v>1</v>
      </c>
      <c r="G98" s="41" t="s">
        <v>3730</v>
      </c>
      <c r="H98" s="41">
        <v>5</v>
      </c>
    </row>
    <row r="99" spans="1:8" ht="16" x14ac:dyDescent="0.2">
      <c r="A99" s="41" t="s">
        <v>3731</v>
      </c>
      <c r="B99" s="41" t="s">
        <v>3732</v>
      </c>
      <c r="C99" s="41" t="s">
        <v>3490</v>
      </c>
      <c r="D99" s="42">
        <v>44414</v>
      </c>
      <c r="E99" s="41">
        <v>2</v>
      </c>
      <c r="F99" s="41">
        <v>1</v>
      </c>
      <c r="G99" s="41" t="s">
        <v>3733</v>
      </c>
      <c r="H99" s="41">
        <v>2</v>
      </c>
    </row>
    <row r="100" spans="1:8" ht="16" x14ac:dyDescent="0.2">
      <c r="A100" s="41" t="s">
        <v>3734</v>
      </c>
      <c r="B100" s="41" t="s">
        <v>3735</v>
      </c>
      <c r="C100" s="41" t="s">
        <v>3490</v>
      </c>
      <c r="D100" s="42">
        <v>39758</v>
      </c>
      <c r="E100" s="41">
        <v>10</v>
      </c>
      <c r="F100" s="41">
        <v>1</v>
      </c>
      <c r="G100" s="41" t="s">
        <v>3736</v>
      </c>
      <c r="H100" s="41">
        <v>10</v>
      </c>
    </row>
    <row r="101" spans="1:8" ht="16" x14ac:dyDescent="0.2">
      <c r="A101" s="41" t="s">
        <v>54</v>
      </c>
      <c r="B101" s="41" t="s">
        <v>3737</v>
      </c>
      <c r="C101" s="41" t="s">
        <v>3490</v>
      </c>
      <c r="D101" s="42">
        <v>42361</v>
      </c>
      <c r="E101" s="41">
        <v>2</v>
      </c>
      <c r="F101" s="41">
        <v>1</v>
      </c>
      <c r="G101" s="41" t="s">
        <v>3738</v>
      </c>
      <c r="H101" s="41">
        <v>2</v>
      </c>
    </row>
    <row r="102" spans="1:8" ht="16" x14ac:dyDescent="0.2">
      <c r="A102" s="41" t="s">
        <v>55</v>
      </c>
      <c r="B102" s="41" t="s">
        <v>3739</v>
      </c>
      <c r="C102" s="41" t="s">
        <v>3490</v>
      </c>
      <c r="D102" s="42">
        <v>39412</v>
      </c>
      <c r="E102" s="41">
        <v>2</v>
      </c>
      <c r="F102" s="41">
        <v>1</v>
      </c>
      <c r="G102" s="41" t="s">
        <v>3740</v>
      </c>
      <c r="H102" s="41">
        <v>2</v>
      </c>
    </row>
    <row r="103" spans="1:8" ht="16" x14ac:dyDescent="0.2">
      <c r="A103" s="41" t="s">
        <v>56</v>
      </c>
      <c r="B103" s="41" t="s">
        <v>3741</v>
      </c>
      <c r="C103" s="41" t="s">
        <v>3490</v>
      </c>
      <c r="D103" s="42">
        <v>38891</v>
      </c>
      <c r="E103" s="41">
        <v>2</v>
      </c>
      <c r="F103" s="41">
        <v>1</v>
      </c>
      <c r="G103" s="41" t="s">
        <v>3742</v>
      </c>
      <c r="H103" s="41">
        <v>2</v>
      </c>
    </row>
    <row r="104" spans="1:8" ht="16" x14ac:dyDescent="0.2">
      <c r="A104" s="41" t="s">
        <v>3743</v>
      </c>
      <c r="B104" s="41" t="s">
        <v>3744</v>
      </c>
      <c r="C104" s="41" t="s">
        <v>3490</v>
      </c>
      <c r="D104" s="42">
        <v>38481</v>
      </c>
      <c r="E104" s="41">
        <v>10</v>
      </c>
      <c r="F104" s="41">
        <v>1</v>
      </c>
      <c r="G104" s="41" t="s">
        <v>3745</v>
      </c>
      <c r="H104" s="41">
        <v>10</v>
      </c>
    </row>
    <row r="105" spans="1:8" ht="16" x14ac:dyDescent="0.2">
      <c r="A105" s="41" t="s">
        <v>3746</v>
      </c>
      <c r="B105" s="41" t="s">
        <v>3747</v>
      </c>
      <c r="C105" s="41" t="s">
        <v>3490</v>
      </c>
      <c r="D105" s="42">
        <v>45883</v>
      </c>
      <c r="E105" s="41">
        <v>2</v>
      </c>
      <c r="F105" s="41">
        <v>1</v>
      </c>
      <c r="G105" s="41" t="s">
        <v>3748</v>
      </c>
      <c r="H105" s="41">
        <v>2</v>
      </c>
    </row>
    <row r="106" spans="1:8" ht="16" x14ac:dyDescent="0.2">
      <c r="A106" s="41" t="s">
        <v>3749</v>
      </c>
      <c r="B106" s="41" t="s">
        <v>3750</v>
      </c>
      <c r="C106" s="41" t="s">
        <v>3490</v>
      </c>
      <c r="D106" s="42">
        <v>39615</v>
      </c>
      <c r="E106" s="41">
        <v>1</v>
      </c>
      <c r="F106" s="41">
        <v>1</v>
      </c>
      <c r="G106" s="41" t="s">
        <v>3751</v>
      </c>
      <c r="H106" s="41">
        <v>1</v>
      </c>
    </row>
    <row r="107" spans="1:8" ht="16" x14ac:dyDescent="0.2">
      <c r="A107" s="41" t="s">
        <v>58</v>
      </c>
      <c r="B107" s="41" t="s">
        <v>3752</v>
      </c>
      <c r="C107" s="41" t="s">
        <v>3490</v>
      </c>
      <c r="D107" s="42">
        <v>43880</v>
      </c>
      <c r="E107" s="41">
        <v>1</v>
      </c>
      <c r="F107" s="41">
        <v>1</v>
      </c>
      <c r="G107" s="41" t="s">
        <v>3753</v>
      </c>
      <c r="H107" s="41">
        <v>1</v>
      </c>
    </row>
    <row r="108" spans="1:8" ht="16" x14ac:dyDescent="0.2">
      <c r="A108" s="41" t="s">
        <v>3754</v>
      </c>
      <c r="B108" s="41" t="s">
        <v>3755</v>
      </c>
      <c r="C108" s="41" t="s">
        <v>3490</v>
      </c>
      <c r="D108" s="42">
        <v>39300</v>
      </c>
      <c r="E108" s="41">
        <v>10</v>
      </c>
      <c r="F108" s="41">
        <v>1</v>
      </c>
      <c r="G108" s="41" t="s">
        <v>3756</v>
      </c>
      <c r="H108" s="41">
        <v>10</v>
      </c>
    </row>
    <row r="109" spans="1:8" ht="16" x14ac:dyDescent="0.2">
      <c r="A109" s="41" t="s">
        <v>3757</v>
      </c>
      <c r="B109" s="41" t="s">
        <v>3758</v>
      </c>
      <c r="C109" s="41" t="s">
        <v>3490</v>
      </c>
      <c r="D109" s="42">
        <v>39213</v>
      </c>
      <c r="E109" s="41">
        <v>10</v>
      </c>
      <c r="F109" s="41">
        <v>1</v>
      </c>
      <c r="G109" s="41" t="s">
        <v>3759</v>
      </c>
      <c r="H109" s="41">
        <v>10</v>
      </c>
    </row>
    <row r="110" spans="1:8" ht="16" x14ac:dyDescent="0.2">
      <c r="A110" s="41" t="s">
        <v>3760</v>
      </c>
      <c r="B110" s="41" t="s">
        <v>3761</v>
      </c>
      <c r="C110" s="41" t="s">
        <v>3510</v>
      </c>
      <c r="D110" s="42">
        <v>35179</v>
      </c>
      <c r="E110" s="41">
        <v>10</v>
      </c>
      <c r="F110" s="41">
        <v>1</v>
      </c>
      <c r="G110" s="41" t="s">
        <v>3762</v>
      </c>
      <c r="H110" s="41">
        <v>10</v>
      </c>
    </row>
    <row r="111" spans="1:8" ht="16" x14ac:dyDescent="0.2">
      <c r="A111" s="41" t="s">
        <v>60</v>
      </c>
      <c r="B111" s="41" t="s">
        <v>3763</v>
      </c>
      <c r="C111" s="41" t="s">
        <v>3490</v>
      </c>
      <c r="D111" s="42">
        <v>43130</v>
      </c>
      <c r="E111" s="41">
        <v>10</v>
      </c>
      <c r="F111" s="41">
        <v>1</v>
      </c>
      <c r="G111" s="41" t="s">
        <v>3764</v>
      </c>
      <c r="H111" s="41">
        <v>10</v>
      </c>
    </row>
    <row r="112" spans="1:8" ht="16" x14ac:dyDescent="0.2">
      <c r="A112" s="41" t="s">
        <v>3765</v>
      </c>
      <c r="B112" s="41" t="s">
        <v>3766</v>
      </c>
      <c r="C112" s="41" t="s">
        <v>3490</v>
      </c>
      <c r="D112" s="42">
        <v>38167</v>
      </c>
      <c r="E112" s="41">
        <v>10</v>
      </c>
      <c r="F112" s="41">
        <v>1</v>
      </c>
      <c r="G112" s="41" t="s">
        <v>3767</v>
      </c>
      <c r="H112" s="41">
        <v>10</v>
      </c>
    </row>
    <row r="113" spans="1:8" ht="16" x14ac:dyDescent="0.2">
      <c r="A113" s="41" t="s">
        <v>61</v>
      </c>
      <c r="B113" s="41" t="s">
        <v>3768</v>
      </c>
      <c r="C113" s="41" t="s">
        <v>3490</v>
      </c>
      <c r="D113" s="42">
        <v>39476</v>
      </c>
      <c r="E113" s="41">
        <v>10</v>
      </c>
      <c r="F113" s="41">
        <v>1</v>
      </c>
      <c r="G113" s="41" t="s">
        <v>3769</v>
      </c>
      <c r="H113" s="41">
        <v>10</v>
      </c>
    </row>
    <row r="114" spans="1:8" ht="16" x14ac:dyDescent="0.2">
      <c r="A114" s="41" t="s">
        <v>62</v>
      </c>
      <c r="B114" s="41" t="s">
        <v>3770</v>
      </c>
      <c r="C114" s="41" t="s">
        <v>3490</v>
      </c>
      <c r="D114" s="42">
        <v>35844</v>
      </c>
      <c r="E114" s="41">
        <v>2</v>
      </c>
      <c r="F114" s="41">
        <v>1</v>
      </c>
      <c r="G114" s="41" t="s">
        <v>3771</v>
      </c>
      <c r="H114" s="41">
        <v>2</v>
      </c>
    </row>
    <row r="115" spans="1:8" ht="16" x14ac:dyDescent="0.2">
      <c r="A115" s="41" t="s">
        <v>3772</v>
      </c>
      <c r="B115" s="41" t="s">
        <v>3773</v>
      </c>
      <c r="C115" s="41" t="s">
        <v>3490</v>
      </c>
      <c r="D115" s="42">
        <v>39160</v>
      </c>
      <c r="E115" s="41">
        <v>10</v>
      </c>
      <c r="F115" s="41">
        <v>1</v>
      </c>
      <c r="G115" s="41" t="s">
        <v>3774</v>
      </c>
      <c r="H115" s="41">
        <v>10</v>
      </c>
    </row>
    <row r="116" spans="1:8" ht="16" x14ac:dyDescent="0.2">
      <c r="A116" s="41" t="s">
        <v>3775</v>
      </c>
      <c r="B116" s="41" t="s">
        <v>3776</v>
      </c>
      <c r="C116" s="41" t="s">
        <v>3490</v>
      </c>
      <c r="D116" s="42">
        <v>34738</v>
      </c>
      <c r="E116" s="41">
        <v>2</v>
      </c>
      <c r="F116" s="41">
        <v>1</v>
      </c>
      <c r="G116" s="41" t="s">
        <v>3777</v>
      </c>
      <c r="H116" s="41">
        <v>2</v>
      </c>
    </row>
    <row r="117" spans="1:8" ht="16" x14ac:dyDescent="0.2">
      <c r="A117" s="41" t="s">
        <v>63</v>
      </c>
      <c r="B117" s="41" t="s">
        <v>3778</v>
      </c>
      <c r="C117" s="41" t="s">
        <v>3490</v>
      </c>
      <c r="D117" s="42">
        <v>45240</v>
      </c>
      <c r="E117" s="41">
        <v>2</v>
      </c>
      <c r="F117" s="41">
        <v>1</v>
      </c>
      <c r="G117" s="41" t="s">
        <v>3779</v>
      </c>
      <c r="H117" s="41">
        <v>2</v>
      </c>
    </row>
    <row r="118" spans="1:8" ht="16" x14ac:dyDescent="0.2">
      <c r="A118" s="41" t="s">
        <v>64</v>
      </c>
      <c r="B118" s="41" t="s">
        <v>3780</v>
      </c>
      <c r="C118" s="41" t="s">
        <v>3490</v>
      </c>
      <c r="D118" s="42">
        <v>42006</v>
      </c>
      <c r="E118" s="41">
        <v>1</v>
      </c>
      <c r="F118" s="41">
        <v>1</v>
      </c>
      <c r="G118" s="41" t="s">
        <v>3781</v>
      </c>
      <c r="H118" s="41">
        <v>1</v>
      </c>
    </row>
    <row r="119" spans="1:8" ht="16" x14ac:dyDescent="0.2">
      <c r="A119" s="41" t="s">
        <v>65</v>
      </c>
      <c r="B119" s="41" t="s">
        <v>3782</v>
      </c>
      <c r="C119" s="41" t="s">
        <v>3490</v>
      </c>
      <c r="D119" s="42">
        <v>44544</v>
      </c>
      <c r="E119" s="41">
        <v>5</v>
      </c>
      <c r="F119" s="41">
        <v>1</v>
      </c>
      <c r="G119" s="41" t="s">
        <v>3783</v>
      </c>
      <c r="H119" s="41">
        <v>5</v>
      </c>
    </row>
    <row r="120" spans="1:8" ht="16" x14ac:dyDescent="0.2">
      <c r="A120" s="41" t="s">
        <v>66</v>
      </c>
      <c r="B120" s="41" t="s">
        <v>3784</v>
      </c>
      <c r="C120" s="41" t="s">
        <v>3490</v>
      </c>
      <c r="D120" s="42">
        <v>38987</v>
      </c>
      <c r="E120" s="41">
        <v>2</v>
      </c>
      <c r="F120" s="41">
        <v>1</v>
      </c>
      <c r="G120" s="41" t="s">
        <v>3785</v>
      </c>
      <c r="H120" s="41">
        <v>2</v>
      </c>
    </row>
    <row r="121" spans="1:8" ht="16" x14ac:dyDescent="0.2">
      <c r="A121" s="41" t="s">
        <v>67</v>
      </c>
      <c r="B121" s="41" t="s">
        <v>3786</v>
      </c>
      <c r="C121" s="41" t="s">
        <v>3490</v>
      </c>
      <c r="D121" s="42">
        <v>38120</v>
      </c>
      <c r="E121" s="41">
        <v>2</v>
      </c>
      <c r="F121" s="41">
        <v>1</v>
      </c>
      <c r="G121" s="41" t="s">
        <v>3787</v>
      </c>
      <c r="H121" s="41">
        <v>2</v>
      </c>
    </row>
    <row r="122" spans="1:8" ht="16" x14ac:dyDescent="0.2">
      <c r="A122" s="41" t="s">
        <v>68</v>
      </c>
      <c r="B122" s="41" t="s">
        <v>3788</v>
      </c>
      <c r="C122" s="41" t="s">
        <v>3490</v>
      </c>
      <c r="D122" s="42">
        <v>35004</v>
      </c>
      <c r="E122" s="41">
        <v>2</v>
      </c>
      <c r="F122" s="41">
        <v>1</v>
      </c>
      <c r="G122" s="41" t="s">
        <v>3789</v>
      </c>
      <c r="H122" s="41">
        <v>2</v>
      </c>
    </row>
    <row r="123" spans="1:8" ht="16" x14ac:dyDescent="0.2">
      <c r="A123" s="41" t="s">
        <v>69</v>
      </c>
      <c r="B123" s="41" t="s">
        <v>3790</v>
      </c>
      <c r="C123" s="41" t="s">
        <v>3490</v>
      </c>
      <c r="D123" s="42">
        <v>44109</v>
      </c>
      <c r="E123" s="41">
        <v>10</v>
      </c>
      <c r="F123" s="41">
        <v>1</v>
      </c>
      <c r="G123" s="41" t="s">
        <v>3791</v>
      </c>
      <c r="H123" s="41">
        <v>10</v>
      </c>
    </row>
    <row r="124" spans="1:8" ht="16" x14ac:dyDescent="0.2">
      <c r="A124" s="41" t="s">
        <v>3792</v>
      </c>
      <c r="B124" s="41" t="s">
        <v>3793</v>
      </c>
      <c r="C124" s="41" t="s">
        <v>3490</v>
      </c>
      <c r="D124" s="42">
        <v>39589</v>
      </c>
      <c r="E124" s="41">
        <v>10</v>
      </c>
      <c r="F124" s="41">
        <v>1</v>
      </c>
      <c r="G124" s="41" t="s">
        <v>3794</v>
      </c>
      <c r="H124" s="41">
        <v>10</v>
      </c>
    </row>
    <row r="125" spans="1:8" ht="16" x14ac:dyDescent="0.2">
      <c r="A125" s="41" t="s">
        <v>3795</v>
      </c>
      <c r="B125" s="41" t="s">
        <v>3796</v>
      </c>
      <c r="C125" s="41" t="s">
        <v>3797</v>
      </c>
      <c r="D125" s="42">
        <v>41347</v>
      </c>
      <c r="E125" s="41">
        <v>10</v>
      </c>
      <c r="F125" s="41">
        <v>1</v>
      </c>
      <c r="G125" s="41" t="s">
        <v>3798</v>
      </c>
      <c r="H125" s="41">
        <v>10</v>
      </c>
    </row>
    <row r="126" spans="1:8" ht="16" x14ac:dyDescent="0.2">
      <c r="A126" s="41" t="s">
        <v>3799</v>
      </c>
      <c r="B126" s="41" t="s">
        <v>3800</v>
      </c>
      <c r="C126" s="41" t="s">
        <v>3490</v>
      </c>
      <c r="D126" s="42">
        <v>44351</v>
      </c>
      <c r="E126" s="41">
        <v>10</v>
      </c>
      <c r="F126" s="41">
        <v>1</v>
      </c>
      <c r="G126" s="41" t="s">
        <v>3801</v>
      </c>
      <c r="H126" s="41">
        <v>10</v>
      </c>
    </row>
    <row r="127" spans="1:8" ht="16" x14ac:dyDescent="0.2">
      <c r="A127" s="41" t="s">
        <v>3802</v>
      </c>
      <c r="B127" s="41" t="s">
        <v>3803</v>
      </c>
      <c r="C127" s="41" t="s">
        <v>3797</v>
      </c>
      <c r="D127" s="42">
        <v>38744</v>
      </c>
      <c r="E127" s="41">
        <v>5</v>
      </c>
      <c r="F127" s="41">
        <v>1</v>
      </c>
      <c r="G127" s="41" t="s">
        <v>3804</v>
      </c>
      <c r="H127" s="41">
        <v>5</v>
      </c>
    </row>
    <row r="128" spans="1:8" ht="16" x14ac:dyDescent="0.2">
      <c r="A128" s="41" t="s">
        <v>3805</v>
      </c>
      <c r="B128" s="41" t="s">
        <v>3806</v>
      </c>
      <c r="C128" s="41" t="s">
        <v>3490</v>
      </c>
      <c r="D128" s="42">
        <v>35795</v>
      </c>
      <c r="E128" s="41">
        <v>1</v>
      </c>
      <c r="F128" s="41">
        <v>1</v>
      </c>
      <c r="G128" s="41" t="s">
        <v>3807</v>
      </c>
      <c r="H128" s="41">
        <v>1</v>
      </c>
    </row>
    <row r="129" spans="1:8" ht="16" x14ac:dyDescent="0.2">
      <c r="A129" s="41" t="s">
        <v>3808</v>
      </c>
      <c r="B129" s="41" t="s">
        <v>3809</v>
      </c>
      <c r="C129" s="41" t="s">
        <v>3490</v>
      </c>
      <c r="D129" s="42">
        <v>45859</v>
      </c>
      <c r="E129" s="41">
        <v>2</v>
      </c>
      <c r="F129" s="41">
        <v>1</v>
      </c>
      <c r="G129" s="41" t="s">
        <v>3810</v>
      </c>
      <c r="H129" s="41">
        <v>2</v>
      </c>
    </row>
    <row r="130" spans="1:8" ht="16" x14ac:dyDescent="0.2">
      <c r="A130" s="41" t="s">
        <v>71</v>
      </c>
      <c r="B130" s="41" t="s">
        <v>3811</v>
      </c>
      <c r="C130" s="41" t="s">
        <v>3490</v>
      </c>
      <c r="D130" s="42">
        <v>45646</v>
      </c>
      <c r="E130" s="41">
        <v>5</v>
      </c>
      <c r="F130" s="41">
        <v>1</v>
      </c>
      <c r="G130" s="41" t="s">
        <v>3812</v>
      </c>
      <c r="H130" s="41">
        <v>5</v>
      </c>
    </row>
    <row r="131" spans="1:8" ht="16" x14ac:dyDescent="0.2">
      <c r="A131" s="41" t="s">
        <v>72</v>
      </c>
      <c r="B131" s="41" t="s">
        <v>3813</v>
      </c>
      <c r="C131" s="41" t="s">
        <v>3490</v>
      </c>
      <c r="D131" s="42">
        <v>43525</v>
      </c>
      <c r="E131" s="41">
        <v>10</v>
      </c>
      <c r="F131" s="41">
        <v>1</v>
      </c>
      <c r="G131" s="41" t="s">
        <v>3814</v>
      </c>
      <c r="H131" s="41">
        <v>10</v>
      </c>
    </row>
    <row r="132" spans="1:8" ht="16" x14ac:dyDescent="0.2">
      <c r="A132" s="41" t="s">
        <v>73</v>
      </c>
      <c r="B132" s="41" t="s">
        <v>3815</v>
      </c>
      <c r="C132" s="41" t="s">
        <v>3490</v>
      </c>
      <c r="D132" s="42">
        <v>44279</v>
      </c>
      <c r="E132" s="41">
        <v>10</v>
      </c>
      <c r="F132" s="41">
        <v>1</v>
      </c>
      <c r="G132" s="41" t="s">
        <v>3816</v>
      </c>
      <c r="H132" s="41">
        <v>10</v>
      </c>
    </row>
    <row r="133" spans="1:8" ht="16" x14ac:dyDescent="0.2">
      <c r="A133" s="41" t="s">
        <v>75</v>
      </c>
      <c r="B133" s="41" t="s">
        <v>3817</v>
      </c>
      <c r="C133" s="41" t="s">
        <v>3490</v>
      </c>
      <c r="D133" s="42">
        <v>38180</v>
      </c>
      <c r="E133" s="41">
        <v>10</v>
      </c>
      <c r="F133" s="41">
        <v>1</v>
      </c>
      <c r="G133" s="41" t="s">
        <v>3818</v>
      </c>
      <c r="H133" s="41">
        <v>10</v>
      </c>
    </row>
    <row r="134" spans="1:8" ht="16" x14ac:dyDescent="0.2">
      <c r="A134" s="41" t="s">
        <v>76</v>
      </c>
      <c r="B134" s="41" t="s">
        <v>3819</v>
      </c>
      <c r="C134" s="41" t="s">
        <v>3510</v>
      </c>
      <c r="D134" s="42">
        <v>42835</v>
      </c>
      <c r="E134" s="41">
        <v>10</v>
      </c>
      <c r="F134" s="41">
        <v>1</v>
      </c>
      <c r="G134" s="41" t="s">
        <v>3820</v>
      </c>
      <c r="H134" s="41">
        <v>10</v>
      </c>
    </row>
    <row r="135" spans="1:8" ht="16" x14ac:dyDescent="0.2">
      <c r="A135" s="41" t="s">
        <v>77</v>
      </c>
      <c r="B135" s="41" t="s">
        <v>3821</v>
      </c>
      <c r="C135" s="41" t="s">
        <v>3490</v>
      </c>
      <c r="D135" s="42">
        <v>34948</v>
      </c>
      <c r="E135" s="41">
        <v>2</v>
      </c>
      <c r="F135" s="41">
        <v>1</v>
      </c>
      <c r="G135" s="41" t="s">
        <v>3822</v>
      </c>
      <c r="H135" s="41">
        <v>2</v>
      </c>
    </row>
    <row r="136" spans="1:8" ht="16" x14ac:dyDescent="0.2">
      <c r="A136" s="41" t="s">
        <v>78</v>
      </c>
      <c r="B136" s="41" t="s">
        <v>3823</v>
      </c>
      <c r="C136" s="41" t="s">
        <v>3490</v>
      </c>
      <c r="D136" s="42">
        <v>42982</v>
      </c>
      <c r="E136" s="41">
        <v>10</v>
      </c>
      <c r="F136" s="41">
        <v>1</v>
      </c>
      <c r="G136" s="41" t="s">
        <v>3824</v>
      </c>
      <c r="H136" s="41">
        <v>10</v>
      </c>
    </row>
    <row r="137" spans="1:8" ht="16" x14ac:dyDescent="0.2">
      <c r="A137" s="41" t="s">
        <v>79</v>
      </c>
      <c r="B137" s="41" t="s">
        <v>3825</v>
      </c>
      <c r="C137" s="41" t="s">
        <v>3490</v>
      </c>
      <c r="D137" s="42">
        <v>40891</v>
      </c>
      <c r="E137" s="41">
        <v>2</v>
      </c>
      <c r="F137" s="41">
        <v>1</v>
      </c>
      <c r="G137" s="41" t="s">
        <v>3826</v>
      </c>
      <c r="H137" s="41">
        <v>2</v>
      </c>
    </row>
    <row r="138" spans="1:8" ht="16" x14ac:dyDescent="0.2">
      <c r="A138" s="41" t="s">
        <v>80</v>
      </c>
      <c r="B138" s="41" t="s">
        <v>3827</v>
      </c>
      <c r="C138" s="41" t="s">
        <v>3490</v>
      </c>
      <c r="D138" s="42">
        <v>40806</v>
      </c>
      <c r="E138" s="41">
        <v>2</v>
      </c>
      <c r="F138" s="41">
        <v>1</v>
      </c>
      <c r="G138" s="41" t="s">
        <v>3828</v>
      </c>
      <c r="H138" s="41">
        <v>2</v>
      </c>
    </row>
    <row r="139" spans="1:8" ht="16" x14ac:dyDescent="0.2">
      <c r="A139" s="41" t="s">
        <v>81</v>
      </c>
      <c r="B139" s="41" t="s">
        <v>3829</v>
      </c>
      <c r="C139" s="41" t="s">
        <v>3490</v>
      </c>
      <c r="D139" s="42">
        <v>43122</v>
      </c>
      <c r="E139" s="41">
        <v>1</v>
      </c>
      <c r="F139" s="41">
        <v>1</v>
      </c>
      <c r="G139" s="41" t="s">
        <v>3830</v>
      </c>
      <c r="H139" s="41">
        <v>1</v>
      </c>
    </row>
    <row r="140" spans="1:8" ht="16" x14ac:dyDescent="0.2">
      <c r="A140" s="41" t="s">
        <v>82</v>
      </c>
      <c r="B140" s="41" t="s">
        <v>3831</v>
      </c>
      <c r="C140" s="41" t="s">
        <v>3490</v>
      </c>
      <c r="D140" s="42">
        <v>35074</v>
      </c>
      <c r="E140" s="41">
        <v>5</v>
      </c>
      <c r="F140" s="41">
        <v>1</v>
      </c>
      <c r="G140" s="41" t="s">
        <v>3832</v>
      </c>
      <c r="H140" s="41">
        <v>5</v>
      </c>
    </row>
    <row r="141" spans="1:8" ht="16" x14ac:dyDescent="0.2">
      <c r="A141" s="41" t="s">
        <v>83</v>
      </c>
      <c r="B141" s="41" t="s">
        <v>3833</v>
      </c>
      <c r="C141" s="41" t="s">
        <v>3490</v>
      </c>
      <c r="D141" s="42">
        <v>43780</v>
      </c>
      <c r="E141" s="41">
        <v>10</v>
      </c>
      <c r="F141" s="41">
        <v>1</v>
      </c>
      <c r="G141" s="41" t="s">
        <v>3834</v>
      </c>
      <c r="H141" s="41">
        <v>10</v>
      </c>
    </row>
    <row r="142" spans="1:8" ht="16" x14ac:dyDescent="0.2">
      <c r="A142" s="41" t="s">
        <v>84</v>
      </c>
      <c r="B142" s="41" t="s">
        <v>3835</v>
      </c>
      <c r="C142" s="41" t="s">
        <v>3490</v>
      </c>
      <c r="D142" s="42">
        <v>34850</v>
      </c>
      <c r="E142" s="41">
        <v>1</v>
      </c>
      <c r="F142" s="41">
        <v>1</v>
      </c>
      <c r="G142" s="41" t="s">
        <v>3836</v>
      </c>
      <c r="H142" s="41">
        <v>1</v>
      </c>
    </row>
    <row r="143" spans="1:8" ht="16" x14ac:dyDescent="0.2">
      <c r="A143" s="41" t="s">
        <v>3837</v>
      </c>
      <c r="B143" s="41" t="s">
        <v>3838</v>
      </c>
      <c r="C143" s="41" t="s">
        <v>3490</v>
      </c>
      <c r="D143" s="42">
        <v>42032</v>
      </c>
      <c r="E143" s="41">
        <v>5</v>
      </c>
      <c r="F143" s="41">
        <v>1</v>
      </c>
      <c r="G143" s="41" t="s">
        <v>3839</v>
      </c>
      <c r="H143" s="41">
        <v>5</v>
      </c>
    </row>
    <row r="144" spans="1:8" ht="16" x14ac:dyDescent="0.2">
      <c r="A144" s="41" t="s">
        <v>86</v>
      </c>
      <c r="B144" s="41" t="s">
        <v>3840</v>
      </c>
      <c r="C144" s="41" t="s">
        <v>3490</v>
      </c>
      <c r="D144" s="42">
        <v>37526</v>
      </c>
      <c r="E144" s="41">
        <v>10</v>
      </c>
      <c r="F144" s="41">
        <v>1</v>
      </c>
      <c r="G144" s="41" t="s">
        <v>3841</v>
      </c>
      <c r="H144" s="41">
        <v>10</v>
      </c>
    </row>
    <row r="145" spans="1:8" ht="16" x14ac:dyDescent="0.2">
      <c r="A145" s="41" t="s">
        <v>87</v>
      </c>
      <c r="B145" s="41" t="s">
        <v>3842</v>
      </c>
      <c r="C145" s="41" t="s">
        <v>3490</v>
      </c>
      <c r="D145" s="42">
        <v>44432</v>
      </c>
      <c r="E145" s="41">
        <v>2</v>
      </c>
      <c r="F145" s="41">
        <v>1</v>
      </c>
      <c r="G145" s="41" t="s">
        <v>3843</v>
      </c>
      <c r="H145" s="41">
        <v>2</v>
      </c>
    </row>
    <row r="146" spans="1:8" ht="16" x14ac:dyDescent="0.2">
      <c r="A146" s="41" t="s">
        <v>3844</v>
      </c>
      <c r="B146" s="41" t="s">
        <v>3845</v>
      </c>
      <c r="C146" s="41" t="s">
        <v>3490</v>
      </c>
      <c r="D146" s="42">
        <v>39633</v>
      </c>
      <c r="E146" s="41">
        <v>10</v>
      </c>
      <c r="F146" s="41">
        <v>1</v>
      </c>
      <c r="G146" s="41" t="s">
        <v>3846</v>
      </c>
      <c r="H146" s="41">
        <v>10</v>
      </c>
    </row>
    <row r="147" spans="1:8" ht="16" x14ac:dyDescent="0.2">
      <c r="A147" s="41" t="s">
        <v>3847</v>
      </c>
      <c r="B147" s="41" t="s">
        <v>3848</v>
      </c>
      <c r="C147" s="41" t="s">
        <v>3510</v>
      </c>
      <c r="D147" s="42">
        <v>36040</v>
      </c>
      <c r="E147" s="41">
        <v>2</v>
      </c>
      <c r="F147" s="41">
        <v>1</v>
      </c>
      <c r="G147" s="41" t="s">
        <v>3849</v>
      </c>
      <c r="H147" s="41">
        <v>2</v>
      </c>
    </row>
    <row r="148" spans="1:8" ht="16" x14ac:dyDescent="0.2">
      <c r="A148" s="41" t="s">
        <v>88</v>
      </c>
      <c r="B148" s="41" t="s">
        <v>3850</v>
      </c>
      <c r="C148" s="41" t="s">
        <v>3490</v>
      </c>
      <c r="D148" s="42">
        <v>37869</v>
      </c>
      <c r="E148" s="41">
        <v>1</v>
      </c>
      <c r="F148" s="41">
        <v>1</v>
      </c>
      <c r="G148" s="41" t="s">
        <v>3851</v>
      </c>
      <c r="H148" s="41">
        <v>1</v>
      </c>
    </row>
    <row r="149" spans="1:8" ht="16" x14ac:dyDescent="0.2">
      <c r="A149" s="41" t="s">
        <v>3852</v>
      </c>
      <c r="B149" s="41" t="s">
        <v>3853</v>
      </c>
      <c r="C149" s="41" t="s">
        <v>3510</v>
      </c>
      <c r="D149" s="42">
        <v>34990</v>
      </c>
      <c r="E149" s="41">
        <v>10</v>
      </c>
      <c r="F149" s="41">
        <v>1</v>
      </c>
      <c r="G149" s="41" t="s">
        <v>3854</v>
      </c>
      <c r="H149" s="41">
        <v>10</v>
      </c>
    </row>
    <row r="150" spans="1:8" ht="16" x14ac:dyDescent="0.2">
      <c r="A150" s="41" t="s">
        <v>89</v>
      </c>
      <c r="B150" s="41" t="s">
        <v>3855</v>
      </c>
      <c r="C150" s="41" t="s">
        <v>3490</v>
      </c>
      <c r="D150" s="42">
        <v>45860</v>
      </c>
      <c r="E150" s="41">
        <v>1</v>
      </c>
      <c r="F150" s="41">
        <v>1</v>
      </c>
      <c r="G150" s="41" t="s">
        <v>3856</v>
      </c>
      <c r="H150" s="41">
        <v>1</v>
      </c>
    </row>
    <row r="151" spans="1:8" ht="16" x14ac:dyDescent="0.2">
      <c r="A151" s="41" t="s">
        <v>3857</v>
      </c>
      <c r="B151" s="41" t="s">
        <v>3858</v>
      </c>
      <c r="C151" s="41" t="s">
        <v>3490</v>
      </c>
      <c r="D151" s="42">
        <v>39458</v>
      </c>
      <c r="E151" s="41">
        <v>10</v>
      </c>
      <c r="F151" s="41">
        <v>1</v>
      </c>
      <c r="G151" s="41" t="s">
        <v>3859</v>
      </c>
      <c r="H151" s="41">
        <v>10</v>
      </c>
    </row>
    <row r="152" spans="1:8" ht="16" x14ac:dyDescent="0.2">
      <c r="A152" s="41" t="s">
        <v>90</v>
      </c>
      <c r="B152" s="41" t="s">
        <v>3860</v>
      </c>
      <c r="C152" s="41" t="s">
        <v>3490</v>
      </c>
      <c r="D152" s="42">
        <v>44362</v>
      </c>
      <c r="E152" s="41">
        <v>1</v>
      </c>
      <c r="F152" s="41">
        <v>1</v>
      </c>
      <c r="G152" s="41" t="s">
        <v>3861</v>
      </c>
      <c r="H152" s="41">
        <v>1</v>
      </c>
    </row>
    <row r="153" spans="1:8" ht="16" x14ac:dyDescent="0.2">
      <c r="A153" s="41" t="s">
        <v>91</v>
      </c>
      <c r="B153" s="41" t="s">
        <v>3862</v>
      </c>
      <c r="C153" s="41" t="s">
        <v>3490</v>
      </c>
      <c r="D153" s="42">
        <v>42822</v>
      </c>
      <c r="E153" s="41">
        <v>10</v>
      </c>
      <c r="F153" s="41">
        <v>1</v>
      </c>
      <c r="G153" s="41" t="s">
        <v>3863</v>
      </c>
      <c r="H153" s="41">
        <v>10</v>
      </c>
    </row>
    <row r="154" spans="1:8" ht="16" x14ac:dyDescent="0.2">
      <c r="A154" s="41" t="s">
        <v>3864</v>
      </c>
      <c r="B154" s="41" t="s">
        <v>3865</v>
      </c>
      <c r="C154" s="41" t="s">
        <v>3490</v>
      </c>
      <c r="D154" s="42">
        <v>45833</v>
      </c>
      <c r="E154" s="41">
        <v>2</v>
      </c>
      <c r="F154" s="41">
        <v>1</v>
      </c>
      <c r="G154" s="41" t="s">
        <v>3866</v>
      </c>
      <c r="H154" s="41">
        <v>2</v>
      </c>
    </row>
    <row r="155" spans="1:8" ht="16" x14ac:dyDescent="0.2">
      <c r="A155" s="41" t="s">
        <v>3867</v>
      </c>
      <c r="B155" s="41" t="s">
        <v>3868</v>
      </c>
      <c r="C155" s="41" t="s">
        <v>3490</v>
      </c>
      <c r="D155" s="42">
        <v>45559</v>
      </c>
      <c r="E155" s="41">
        <v>10</v>
      </c>
      <c r="F155" s="41">
        <v>1</v>
      </c>
      <c r="G155" s="41" t="s">
        <v>3869</v>
      </c>
      <c r="H155" s="41">
        <v>10</v>
      </c>
    </row>
    <row r="156" spans="1:8" ht="16" x14ac:dyDescent="0.2">
      <c r="A156" s="41" t="s">
        <v>92</v>
      </c>
      <c r="B156" s="41" t="s">
        <v>3870</v>
      </c>
      <c r="C156" s="41" t="s">
        <v>3490</v>
      </c>
      <c r="D156" s="42">
        <v>42535</v>
      </c>
      <c r="E156" s="41">
        <v>10</v>
      </c>
      <c r="F156" s="41">
        <v>1</v>
      </c>
      <c r="G156" s="41" t="s">
        <v>3871</v>
      </c>
      <c r="H156" s="41">
        <v>10</v>
      </c>
    </row>
    <row r="157" spans="1:8" ht="16" x14ac:dyDescent="0.2">
      <c r="A157" s="41" t="s">
        <v>3872</v>
      </c>
      <c r="B157" s="41" t="s">
        <v>3873</v>
      </c>
      <c r="C157" s="41" t="s">
        <v>3490</v>
      </c>
      <c r="D157" s="42">
        <v>39196</v>
      </c>
      <c r="E157" s="41">
        <v>10</v>
      </c>
      <c r="F157" s="41">
        <v>1</v>
      </c>
      <c r="G157" s="41" t="s">
        <v>3874</v>
      </c>
      <c r="H157" s="41">
        <v>10</v>
      </c>
    </row>
    <row r="158" spans="1:8" ht="16" x14ac:dyDescent="0.2">
      <c r="A158" s="41" t="s">
        <v>93</v>
      </c>
      <c r="B158" s="41" t="s">
        <v>3875</v>
      </c>
      <c r="C158" s="41" t="s">
        <v>3490</v>
      </c>
      <c r="D158" s="42">
        <v>42145</v>
      </c>
      <c r="E158" s="41">
        <v>10</v>
      </c>
      <c r="F158" s="41">
        <v>1</v>
      </c>
      <c r="G158" s="41" t="s">
        <v>3876</v>
      </c>
      <c r="H158" s="41">
        <v>10</v>
      </c>
    </row>
    <row r="159" spans="1:8" ht="16" x14ac:dyDescent="0.2">
      <c r="A159" s="41" t="s">
        <v>3877</v>
      </c>
      <c r="B159" s="41" t="s">
        <v>3878</v>
      </c>
      <c r="C159" s="41" t="s">
        <v>3797</v>
      </c>
      <c r="D159" s="42">
        <v>40161</v>
      </c>
      <c r="E159" s="41">
        <v>2</v>
      </c>
      <c r="F159" s="41">
        <v>1</v>
      </c>
      <c r="G159" s="41" t="s">
        <v>3879</v>
      </c>
      <c r="H159" s="41">
        <v>2</v>
      </c>
    </row>
    <row r="160" spans="1:8" ht="16" x14ac:dyDescent="0.2">
      <c r="A160" s="41" t="s">
        <v>94</v>
      </c>
      <c r="B160" s="41" t="s">
        <v>3880</v>
      </c>
      <c r="C160" s="41" t="s">
        <v>3490</v>
      </c>
      <c r="D160" s="42">
        <v>43853</v>
      </c>
      <c r="E160" s="41">
        <v>1</v>
      </c>
      <c r="F160" s="41">
        <v>1</v>
      </c>
      <c r="G160" s="41" t="s">
        <v>3881</v>
      </c>
      <c r="H160" s="41">
        <v>1</v>
      </c>
    </row>
    <row r="161" spans="1:8" ht="16" x14ac:dyDescent="0.2">
      <c r="A161" s="41" t="s">
        <v>3882</v>
      </c>
      <c r="B161" s="41" t="s">
        <v>3883</v>
      </c>
      <c r="C161" s="41" t="s">
        <v>3510</v>
      </c>
      <c r="D161" s="42">
        <v>44487</v>
      </c>
      <c r="E161" s="41">
        <v>10</v>
      </c>
      <c r="F161" s="41">
        <v>1</v>
      </c>
      <c r="G161" s="41" t="s">
        <v>3884</v>
      </c>
      <c r="H161" s="41">
        <v>10</v>
      </c>
    </row>
    <row r="162" spans="1:8" ht="16" x14ac:dyDescent="0.2">
      <c r="A162" s="41" t="s">
        <v>3885</v>
      </c>
      <c r="B162" s="41" t="s">
        <v>3886</v>
      </c>
      <c r="C162" s="41" t="s">
        <v>3490</v>
      </c>
      <c r="D162" s="42">
        <v>44277</v>
      </c>
      <c r="E162" s="41">
        <v>10</v>
      </c>
      <c r="F162" s="41">
        <v>1</v>
      </c>
      <c r="G162" s="41" t="s">
        <v>3887</v>
      </c>
      <c r="H162" s="41">
        <v>10</v>
      </c>
    </row>
    <row r="163" spans="1:8" ht="16" x14ac:dyDescent="0.2">
      <c r="A163" s="41" t="s">
        <v>95</v>
      </c>
      <c r="B163" s="41" t="s">
        <v>3888</v>
      </c>
      <c r="C163" s="41" t="s">
        <v>3490</v>
      </c>
      <c r="D163" s="42">
        <v>34738</v>
      </c>
      <c r="E163" s="41">
        <v>10</v>
      </c>
      <c r="F163" s="41">
        <v>1</v>
      </c>
      <c r="G163" s="41" t="s">
        <v>3889</v>
      </c>
      <c r="H163" s="41">
        <v>10</v>
      </c>
    </row>
    <row r="164" spans="1:8" ht="16" x14ac:dyDescent="0.2">
      <c r="A164" s="41" t="s">
        <v>96</v>
      </c>
      <c r="B164" s="41" t="s">
        <v>3890</v>
      </c>
      <c r="C164" s="41" t="s">
        <v>3490</v>
      </c>
      <c r="D164" s="42">
        <v>43532</v>
      </c>
      <c r="E164" s="41">
        <v>4</v>
      </c>
      <c r="F164" s="41">
        <v>1</v>
      </c>
      <c r="G164" s="41" t="s">
        <v>3891</v>
      </c>
      <c r="H164" s="41">
        <v>4</v>
      </c>
    </row>
    <row r="165" spans="1:8" ht="16" x14ac:dyDescent="0.2">
      <c r="A165" s="41" t="s">
        <v>97</v>
      </c>
      <c r="B165" s="41" t="s">
        <v>3892</v>
      </c>
      <c r="C165" s="41" t="s">
        <v>3490</v>
      </c>
      <c r="D165" s="42">
        <v>42242</v>
      </c>
      <c r="E165" s="41">
        <v>10</v>
      </c>
      <c r="F165" s="41">
        <v>1</v>
      </c>
      <c r="G165" s="41" t="s">
        <v>3893</v>
      </c>
      <c r="H165" s="41">
        <v>10</v>
      </c>
    </row>
    <row r="166" spans="1:8" ht="16" x14ac:dyDescent="0.2">
      <c r="A166" s="41" t="s">
        <v>98</v>
      </c>
      <c r="B166" s="41" t="s">
        <v>3894</v>
      </c>
      <c r="C166" s="41" t="s">
        <v>3490</v>
      </c>
      <c r="D166" s="42">
        <v>35872</v>
      </c>
      <c r="E166" s="41">
        <v>1</v>
      </c>
      <c r="F166" s="41">
        <v>1</v>
      </c>
      <c r="G166" s="41" t="s">
        <v>3895</v>
      </c>
      <c r="H166" s="41">
        <v>1</v>
      </c>
    </row>
    <row r="167" spans="1:8" ht="16" x14ac:dyDescent="0.2">
      <c r="A167" s="41" t="s">
        <v>99</v>
      </c>
      <c r="B167" s="41" t="s">
        <v>3896</v>
      </c>
      <c r="C167" s="41" t="s">
        <v>3490</v>
      </c>
      <c r="D167" s="42">
        <v>40784</v>
      </c>
      <c r="E167" s="41">
        <v>10</v>
      </c>
      <c r="F167" s="41">
        <v>1</v>
      </c>
      <c r="G167" s="41" t="s">
        <v>3897</v>
      </c>
      <c r="H167" s="41">
        <v>10</v>
      </c>
    </row>
    <row r="168" spans="1:8" ht="16" x14ac:dyDescent="0.2">
      <c r="A168" s="41" t="s">
        <v>100</v>
      </c>
      <c r="B168" s="41" t="s">
        <v>3898</v>
      </c>
      <c r="C168" s="41" t="s">
        <v>3490</v>
      </c>
      <c r="D168" s="42">
        <v>37327</v>
      </c>
      <c r="E168" s="41">
        <v>10</v>
      </c>
      <c r="F168" s="41">
        <v>1</v>
      </c>
      <c r="G168" s="41" t="s">
        <v>3899</v>
      </c>
      <c r="H168" s="41">
        <v>10</v>
      </c>
    </row>
    <row r="169" spans="1:8" ht="16" x14ac:dyDescent="0.2">
      <c r="A169" s="41" t="s">
        <v>101</v>
      </c>
      <c r="B169" s="41" t="s">
        <v>3900</v>
      </c>
      <c r="C169" s="41" t="s">
        <v>3490</v>
      </c>
      <c r="D169" s="42">
        <v>43873</v>
      </c>
      <c r="E169" s="41">
        <v>10</v>
      </c>
      <c r="F169" s="41">
        <v>1</v>
      </c>
      <c r="G169" s="41" t="s">
        <v>3901</v>
      </c>
      <c r="H169" s="41">
        <v>10</v>
      </c>
    </row>
    <row r="170" spans="1:8" ht="16" x14ac:dyDescent="0.2">
      <c r="A170" s="41" t="s">
        <v>102</v>
      </c>
      <c r="B170" s="41" t="s">
        <v>3902</v>
      </c>
      <c r="C170" s="41" t="s">
        <v>3490</v>
      </c>
      <c r="D170" s="42">
        <v>34962</v>
      </c>
      <c r="E170" s="41">
        <v>2</v>
      </c>
      <c r="F170" s="41">
        <v>1</v>
      </c>
      <c r="G170" s="41" t="s">
        <v>3903</v>
      </c>
      <c r="H170" s="41">
        <v>2</v>
      </c>
    </row>
    <row r="171" spans="1:8" ht="16" x14ac:dyDescent="0.2">
      <c r="A171" s="41" t="s">
        <v>103</v>
      </c>
      <c r="B171" s="41" t="s">
        <v>3904</v>
      </c>
      <c r="C171" s="41" t="s">
        <v>3490</v>
      </c>
      <c r="D171" s="42">
        <v>40723</v>
      </c>
      <c r="E171" s="41">
        <v>2</v>
      </c>
      <c r="F171" s="41">
        <v>1</v>
      </c>
      <c r="G171" s="41" t="s">
        <v>3905</v>
      </c>
      <c r="H171" s="41">
        <v>2</v>
      </c>
    </row>
    <row r="172" spans="1:8" ht="16" x14ac:dyDescent="0.2">
      <c r="A172" s="41" t="s">
        <v>104</v>
      </c>
      <c r="B172" s="41" t="s">
        <v>3906</v>
      </c>
      <c r="C172" s="41" t="s">
        <v>3490</v>
      </c>
      <c r="D172" s="42">
        <v>34907</v>
      </c>
      <c r="E172" s="41">
        <v>10</v>
      </c>
      <c r="F172" s="41">
        <v>1</v>
      </c>
      <c r="G172" s="41" t="s">
        <v>3907</v>
      </c>
      <c r="H172" s="41">
        <v>10</v>
      </c>
    </row>
    <row r="173" spans="1:8" ht="16" x14ac:dyDescent="0.2">
      <c r="A173" s="41" t="s">
        <v>105</v>
      </c>
      <c r="B173" s="41" t="s">
        <v>3908</v>
      </c>
      <c r="C173" s="41" t="s">
        <v>3490</v>
      </c>
      <c r="D173" s="42">
        <v>40465</v>
      </c>
      <c r="E173" s="41">
        <v>5</v>
      </c>
      <c r="F173" s="41">
        <v>1</v>
      </c>
      <c r="G173" s="41" t="s">
        <v>3909</v>
      </c>
      <c r="H173" s="41">
        <v>5</v>
      </c>
    </row>
    <row r="174" spans="1:8" ht="16" x14ac:dyDescent="0.2">
      <c r="A174" s="41" t="s">
        <v>3910</v>
      </c>
      <c r="B174" s="41" t="s">
        <v>3911</v>
      </c>
      <c r="C174" s="41" t="s">
        <v>3490</v>
      </c>
      <c r="D174" s="42">
        <v>45104</v>
      </c>
      <c r="E174" s="41">
        <v>10</v>
      </c>
      <c r="F174" s="41">
        <v>1</v>
      </c>
      <c r="G174" s="41" t="s">
        <v>3912</v>
      </c>
      <c r="H174" s="41">
        <v>10</v>
      </c>
    </row>
    <row r="175" spans="1:8" ht="16" x14ac:dyDescent="0.2">
      <c r="A175" s="41" t="s">
        <v>106</v>
      </c>
      <c r="B175" s="41" t="s">
        <v>3913</v>
      </c>
      <c r="C175" s="41" t="s">
        <v>3490</v>
      </c>
      <c r="D175" s="42">
        <v>34844</v>
      </c>
      <c r="E175" s="41">
        <v>1</v>
      </c>
      <c r="F175" s="41">
        <v>1</v>
      </c>
      <c r="G175" s="41" t="s">
        <v>3914</v>
      </c>
      <c r="H175" s="41">
        <v>1</v>
      </c>
    </row>
    <row r="176" spans="1:8" ht="16" x14ac:dyDescent="0.2">
      <c r="A176" s="41" t="s">
        <v>107</v>
      </c>
      <c r="B176" s="41" t="s">
        <v>3915</v>
      </c>
      <c r="C176" s="41" t="s">
        <v>3490</v>
      </c>
      <c r="D176" s="42">
        <v>44539</v>
      </c>
      <c r="E176" s="41">
        <v>10</v>
      </c>
      <c r="F176" s="41">
        <v>1</v>
      </c>
      <c r="G176" s="41" t="s">
        <v>3916</v>
      </c>
      <c r="H176" s="41">
        <v>10</v>
      </c>
    </row>
    <row r="177" spans="1:8" ht="16" x14ac:dyDescent="0.2">
      <c r="A177" s="41" t="s">
        <v>3917</v>
      </c>
      <c r="B177" s="41" t="s">
        <v>3918</v>
      </c>
      <c r="C177" s="41" t="s">
        <v>3490</v>
      </c>
      <c r="D177" s="42">
        <v>40275</v>
      </c>
      <c r="E177" s="41">
        <v>10</v>
      </c>
      <c r="F177" s="41">
        <v>1</v>
      </c>
      <c r="G177" s="41" t="s">
        <v>3919</v>
      </c>
      <c r="H177" s="41">
        <v>10</v>
      </c>
    </row>
    <row r="178" spans="1:8" ht="16" x14ac:dyDescent="0.2">
      <c r="A178" s="41" t="s">
        <v>108</v>
      </c>
      <c r="B178" s="41" t="s">
        <v>3920</v>
      </c>
      <c r="C178" s="41" t="s">
        <v>3490</v>
      </c>
      <c r="D178" s="42">
        <v>34850</v>
      </c>
      <c r="E178" s="41">
        <v>1</v>
      </c>
      <c r="F178" s="41">
        <v>1</v>
      </c>
      <c r="G178" s="41" t="s">
        <v>3921</v>
      </c>
      <c r="H178" s="41">
        <v>1</v>
      </c>
    </row>
    <row r="179" spans="1:8" ht="16" x14ac:dyDescent="0.2">
      <c r="A179" s="41" t="s">
        <v>109</v>
      </c>
      <c r="B179" s="41" t="s">
        <v>3922</v>
      </c>
      <c r="C179" s="41" t="s">
        <v>3510</v>
      </c>
      <c r="D179" s="42">
        <v>39317</v>
      </c>
      <c r="E179" s="41">
        <v>10</v>
      </c>
      <c r="F179" s="41">
        <v>1</v>
      </c>
      <c r="G179" s="41" t="s">
        <v>3923</v>
      </c>
      <c r="H179" s="41">
        <v>10</v>
      </c>
    </row>
    <row r="180" spans="1:8" ht="16" x14ac:dyDescent="0.2">
      <c r="A180" s="41" t="s">
        <v>110</v>
      </c>
      <c r="B180" s="41" t="s">
        <v>3924</v>
      </c>
      <c r="C180" s="41" t="s">
        <v>3490</v>
      </c>
      <c r="D180" s="42">
        <v>45245</v>
      </c>
      <c r="E180" s="41">
        <v>2</v>
      </c>
      <c r="F180" s="41">
        <v>1</v>
      </c>
      <c r="G180" s="41" t="s">
        <v>3925</v>
      </c>
      <c r="H180" s="41">
        <v>2</v>
      </c>
    </row>
    <row r="181" spans="1:8" ht="16" x14ac:dyDescent="0.2">
      <c r="A181" s="41" t="s">
        <v>111</v>
      </c>
      <c r="B181" s="41" t="s">
        <v>3926</v>
      </c>
      <c r="C181" s="41" t="s">
        <v>3490</v>
      </c>
      <c r="D181" s="42">
        <v>44966</v>
      </c>
      <c r="E181" s="41">
        <v>1</v>
      </c>
      <c r="F181" s="41">
        <v>1</v>
      </c>
      <c r="G181" s="41" t="s">
        <v>3927</v>
      </c>
      <c r="H181" s="41">
        <v>1</v>
      </c>
    </row>
    <row r="182" spans="1:8" ht="16" x14ac:dyDescent="0.2">
      <c r="A182" s="41" t="s">
        <v>3928</v>
      </c>
      <c r="B182" s="41" t="s">
        <v>3929</v>
      </c>
      <c r="C182" s="41" t="s">
        <v>3490</v>
      </c>
      <c r="D182" s="42">
        <v>42535</v>
      </c>
      <c r="E182" s="41">
        <v>10</v>
      </c>
      <c r="F182" s="41">
        <v>1</v>
      </c>
      <c r="G182" s="41" t="s">
        <v>3930</v>
      </c>
      <c r="H182" s="41">
        <v>10</v>
      </c>
    </row>
    <row r="183" spans="1:8" ht="16" x14ac:dyDescent="0.2">
      <c r="A183" s="41" t="s">
        <v>112</v>
      </c>
      <c r="B183" s="41" t="s">
        <v>3931</v>
      </c>
      <c r="C183" s="41" t="s">
        <v>3490</v>
      </c>
      <c r="D183" s="42">
        <v>40142</v>
      </c>
      <c r="E183" s="41">
        <v>10</v>
      </c>
      <c r="F183" s="41">
        <v>1</v>
      </c>
      <c r="G183" s="41" t="s">
        <v>3932</v>
      </c>
      <c r="H183" s="41">
        <v>10</v>
      </c>
    </row>
    <row r="184" spans="1:8" ht="16" x14ac:dyDescent="0.2">
      <c r="A184" s="41" t="s">
        <v>113</v>
      </c>
      <c r="B184" s="41" t="s">
        <v>3933</v>
      </c>
      <c r="C184" s="41" t="s">
        <v>3490</v>
      </c>
      <c r="D184" s="42">
        <v>43157</v>
      </c>
      <c r="E184" s="41">
        <v>10</v>
      </c>
      <c r="F184" s="41">
        <v>1</v>
      </c>
      <c r="G184" s="41" t="s">
        <v>3934</v>
      </c>
      <c r="H184" s="41">
        <v>10</v>
      </c>
    </row>
    <row r="185" spans="1:8" ht="16" x14ac:dyDescent="0.2">
      <c r="A185" s="41" t="s">
        <v>114</v>
      </c>
      <c r="B185" s="41" t="s">
        <v>3935</v>
      </c>
      <c r="C185" s="41" t="s">
        <v>3490</v>
      </c>
      <c r="D185" s="42">
        <v>39161</v>
      </c>
      <c r="E185" s="41">
        <v>1</v>
      </c>
      <c r="F185" s="41">
        <v>1</v>
      </c>
      <c r="G185" s="41" t="s">
        <v>3936</v>
      </c>
      <c r="H185" s="41">
        <v>1</v>
      </c>
    </row>
    <row r="186" spans="1:8" ht="16" x14ac:dyDescent="0.2">
      <c r="A186" s="41" t="s">
        <v>115</v>
      </c>
      <c r="B186" s="41" t="s">
        <v>3937</v>
      </c>
      <c r="C186" s="41" t="s">
        <v>3490</v>
      </c>
      <c r="D186" s="42">
        <v>38292</v>
      </c>
      <c r="E186" s="41">
        <v>2</v>
      </c>
      <c r="F186" s="41">
        <v>1</v>
      </c>
      <c r="G186" s="41" t="s">
        <v>3938</v>
      </c>
      <c r="H186" s="41">
        <v>2</v>
      </c>
    </row>
    <row r="187" spans="1:8" ht="16" x14ac:dyDescent="0.2">
      <c r="A187" s="41" t="s">
        <v>116</v>
      </c>
      <c r="B187" s="41" t="s">
        <v>3939</v>
      </c>
      <c r="C187" s="41" t="s">
        <v>3490</v>
      </c>
      <c r="D187" s="42">
        <v>37015</v>
      </c>
      <c r="E187" s="41">
        <v>2</v>
      </c>
      <c r="F187" s="41">
        <v>1</v>
      </c>
      <c r="G187" s="41" t="s">
        <v>3940</v>
      </c>
      <c r="H187" s="41">
        <v>2</v>
      </c>
    </row>
    <row r="188" spans="1:8" ht="16" x14ac:dyDescent="0.2">
      <c r="A188" s="41" t="s">
        <v>3941</v>
      </c>
      <c r="B188" s="41" t="s">
        <v>3942</v>
      </c>
      <c r="C188" s="41" t="s">
        <v>3490</v>
      </c>
      <c r="D188" s="42">
        <v>43098</v>
      </c>
      <c r="E188" s="41">
        <v>10</v>
      </c>
      <c r="F188" s="41">
        <v>1</v>
      </c>
      <c r="G188" s="41" t="s">
        <v>3943</v>
      </c>
      <c r="H188" s="41">
        <v>10</v>
      </c>
    </row>
    <row r="189" spans="1:8" ht="16" x14ac:dyDescent="0.2">
      <c r="A189" s="41" t="s">
        <v>3944</v>
      </c>
      <c r="B189" s="41" t="s">
        <v>3945</v>
      </c>
      <c r="C189" s="41" t="s">
        <v>3510</v>
      </c>
      <c r="D189" s="42">
        <v>45058</v>
      </c>
      <c r="E189" s="41">
        <v>2</v>
      </c>
      <c r="F189" s="41">
        <v>1</v>
      </c>
      <c r="G189" s="41" t="s">
        <v>3946</v>
      </c>
      <c r="H189" s="41">
        <v>2</v>
      </c>
    </row>
    <row r="190" spans="1:8" ht="16" x14ac:dyDescent="0.2">
      <c r="A190" s="41" t="s">
        <v>3947</v>
      </c>
      <c r="B190" s="41" t="s">
        <v>3948</v>
      </c>
      <c r="C190" s="41" t="s">
        <v>3490</v>
      </c>
      <c r="D190" s="42">
        <v>45056</v>
      </c>
      <c r="E190" s="41">
        <v>10</v>
      </c>
      <c r="F190" s="41">
        <v>1</v>
      </c>
      <c r="G190" s="41" t="s">
        <v>3949</v>
      </c>
      <c r="H190" s="41">
        <v>10</v>
      </c>
    </row>
    <row r="191" spans="1:8" ht="16" x14ac:dyDescent="0.2">
      <c r="A191" s="41" t="s">
        <v>117</v>
      </c>
      <c r="B191" s="41" t="s">
        <v>3950</v>
      </c>
      <c r="C191" s="41" t="s">
        <v>3490</v>
      </c>
      <c r="D191" s="42">
        <v>43409</v>
      </c>
      <c r="E191" s="41">
        <v>1</v>
      </c>
      <c r="F191" s="41">
        <v>1</v>
      </c>
      <c r="G191" s="41" t="s">
        <v>3951</v>
      </c>
      <c r="H191" s="41">
        <v>1</v>
      </c>
    </row>
    <row r="192" spans="1:8" ht="16" x14ac:dyDescent="0.2">
      <c r="A192" s="41" t="s">
        <v>3952</v>
      </c>
      <c r="B192" s="41" t="s">
        <v>3953</v>
      </c>
      <c r="C192" s="41" t="s">
        <v>3490</v>
      </c>
      <c r="D192" s="42">
        <v>45783</v>
      </c>
      <c r="E192" s="41">
        <v>1</v>
      </c>
      <c r="F192" s="41">
        <v>1</v>
      </c>
      <c r="G192" s="41" t="s">
        <v>3954</v>
      </c>
      <c r="H192" s="41">
        <v>1</v>
      </c>
    </row>
    <row r="193" spans="1:8" ht="16" x14ac:dyDescent="0.2">
      <c r="A193" s="41" t="s">
        <v>118</v>
      </c>
      <c r="B193" s="41" t="s">
        <v>3955</v>
      </c>
      <c r="C193" s="41" t="s">
        <v>3490</v>
      </c>
      <c r="D193" s="42">
        <v>45148</v>
      </c>
      <c r="E193" s="41">
        <v>2</v>
      </c>
      <c r="F193" s="41">
        <v>1</v>
      </c>
      <c r="G193" s="41" t="s">
        <v>3956</v>
      </c>
      <c r="H193" s="41">
        <v>2</v>
      </c>
    </row>
    <row r="194" spans="1:8" ht="16" x14ac:dyDescent="0.2">
      <c r="A194" s="41" t="s">
        <v>3957</v>
      </c>
      <c r="B194" s="41" t="s">
        <v>3958</v>
      </c>
      <c r="C194" s="41" t="s">
        <v>3490</v>
      </c>
      <c r="D194" s="42">
        <v>38985</v>
      </c>
      <c r="E194" s="41">
        <v>2</v>
      </c>
      <c r="F194" s="41">
        <v>1</v>
      </c>
      <c r="G194" s="41" t="s">
        <v>3959</v>
      </c>
      <c r="H194" s="41">
        <v>2</v>
      </c>
    </row>
    <row r="195" spans="1:8" ht="16" x14ac:dyDescent="0.2">
      <c r="A195" s="41" t="s">
        <v>3960</v>
      </c>
      <c r="B195" s="41" t="s">
        <v>3961</v>
      </c>
      <c r="C195" s="41" t="s">
        <v>3510</v>
      </c>
      <c r="D195" s="42">
        <v>35361</v>
      </c>
      <c r="E195" s="41">
        <v>5</v>
      </c>
      <c r="F195" s="41">
        <v>1</v>
      </c>
      <c r="G195" s="41" t="s">
        <v>3962</v>
      </c>
      <c r="H195" s="41">
        <v>5</v>
      </c>
    </row>
    <row r="196" spans="1:8" ht="16" x14ac:dyDescent="0.2">
      <c r="A196" s="41" t="s">
        <v>120</v>
      </c>
      <c r="B196" s="41" t="s">
        <v>3963</v>
      </c>
      <c r="C196" s="41" t="s">
        <v>3490</v>
      </c>
      <c r="D196" s="42">
        <v>35921</v>
      </c>
      <c r="E196" s="41">
        <v>10</v>
      </c>
      <c r="F196" s="41">
        <v>1</v>
      </c>
      <c r="G196" s="41" t="s">
        <v>3964</v>
      </c>
      <c r="H196" s="41">
        <v>10</v>
      </c>
    </row>
    <row r="197" spans="1:8" ht="16" x14ac:dyDescent="0.2">
      <c r="A197" s="41" t="s">
        <v>121</v>
      </c>
      <c r="B197" s="41" t="s">
        <v>3965</v>
      </c>
      <c r="C197" s="41" t="s">
        <v>3490</v>
      </c>
      <c r="D197" s="42">
        <v>41451</v>
      </c>
      <c r="E197" s="41">
        <v>5</v>
      </c>
      <c r="F197" s="41">
        <v>1</v>
      </c>
      <c r="G197" s="41" t="s">
        <v>3966</v>
      </c>
      <c r="H197" s="41">
        <v>5</v>
      </c>
    </row>
    <row r="198" spans="1:8" ht="16" x14ac:dyDescent="0.2">
      <c r="A198" s="41" t="s">
        <v>122</v>
      </c>
      <c r="B198" s="41" t="s">
        <v>3967</v>
      </c>
      <c r="C198" s="41" t="s">
        <v>3490</v>
      </c>
      <c r="D198" s="42">
        <v>42926</v>
      </c>
      <c r="E198" s="41">
        <v>10</v>
      </c>
      <c r="F198" s="41">
        <v>1</v>
      </c>
      <c r="G198" s="41" t="s">
        <v>3968</v>
      </c>
      <c r="H198" s="41">
        <v>10</v>
      </c>
    </row>
    <row r="199" spans="1:8" ht="16" x14ac:dyDescent="0.2">
      <c r="A199" s="41" t="s">
        <v>123</v>
      </c>
      <c r="B199" s="41" t="s">
        <v>3969</v>
      </c>
      <c r="C199" s="41" t="s">
        <v>3490</v>
      </c>
      <c r="D199" s="42">
        <v>38650</v>
      </c>
      <c r="E199" s="41">
        <v>10</v>
      </c>
      <c r="F199" s="41">
        <v>1</v>
      </c>
      <c r="G199" s="41" t="s">
        <v>3970</v>
      </c>
      <c r="H199" s="41">
        <v>10</v>
      </c>
    </row>
    <row r="200" spans="1:8" ht="16" x14ac:dyDescent="0.2">
      <c r="A200" s="41" t="s">
        <v>124</v>
      </c>
      <c r="B200" s="41" t="s">
        <v>3971</v>
      </c>
      <c r="C200" s="41" t="s">
        <v>3490</v>
      </c>
      <c r="D200" s="42">
        <v>36726</v>
      </c>
      <c r="E200" s="41">
        <v>1</v>
      </c>
      <c r="F200" s="41">
        <v>1</v>
      </c>
      <c r="G200" s="41" t="s">
        <v>3972</v>
      </c>
      <c r="H200" s="41">
        <v>1</v>
      </c>
    </row>
    <row r="201" spans="1:8" ht="16" x14ac:dyDescent="0.2">
      <c r="A201" s="41" t="s">
        <v>125</v>
      </c>
      <c r="B201" s="41" t="s">
        <v>3973</v>
      </c>
      <c r="C201" s="41" t="s">
        <v>3490</v>
      </c>
      <c r="D201" s="42">
        <v>42235</v>
      </c>
      <c r="E201" s="41">
        <v>5</v>
      </c>
      <c r="F201" s="41">
        <v>1</v>
      </c>
      <c r="G201" s="41" t="s">
        <v>3974</v>
      </c>
      <c r="H201" s="41">
        <v>5</v>
      </c>
    </row>
    <row r="202" spans="1:8" ht="16" x14ac:dyDescent="0.2">
      <c r="A202" s="41" t="s">
        <v>3975</v>
      </c>
      <c r="B202" s="41" t="s">
        <v>3976</v>
      </c>
      <c r="C202" s="41" t="s">
        <v>3510</v>
      </c>
      <c r="D202" s="42">
        <v>35172</v>
      </c>
      <c r="E202" s="41">
        <v>10</v>
      </c>
      <c r="F202" s="41">
        <v>1</v>
      </c>
      <c r="G202" s="41" t="s">
        <v>3977</v>
      </c>
      <c r="H202" s="41">
        <v>10</v>
      </c>
    </row>
    <row r="203" spans="1:8" ht="16" x14ac:dyDescent="0.2">
      <c r="A203" s="41" t="s">
        <v>126</v>
      </c>
      <c r="B203" s="41" t="s">
        <v>3978</v>
      </c>
      <c r="C203" s="41" t="s">
        <v>3490</v>
      </c>
      <c r="D203" s="42">
        <v>37770</v>
      </c>
      <c r="E203" s="41">
        <v>10</v>
      </c>
      <c r="F203" s="41">
        <v>1</v>
      </c>
      <c r="G203" s="41" t="s">
        <v>3979</v>
      </c>
      <c r="H203" s="41">
        <v>10</v>
      </c>
    </row>
    <row r="204" spans="1:8" ht="16" x14ac:dyDescent="0.2">
      <c r="A204" s="41" t="s">
        <v>127</v>
      </c>
      <c r="B204" s="41" t="s">
        <v>3980</v>
      </c>
      <c r="C204" s="41" t="s">
        <v>3490</v>
      </c>
      <c r="D204" s="42">
        <v>39113</v>
      </c>
      <c r="E204" s="41">
        <v>10</v>
      </c>
      <c r="F204" s="41">
        <v>1</v>
      </c>
      <c r="G204" s="41" t="s">
        <v>3981</v>
      </c>
      <c r="H204" s="41">
        <v>10</v>
      </c>
    </row>
    <row r="205" spans="1:8" ht="16" x14ac:dyDescent="0.2">
      <c r="A205" s="41" t="s">
        <v>128</v>
      </c>
      <c r="B205" s="41" t="s">
        <v>3982</v>
      </c>
      <c r="C205" s="41" t="s">
        <v>3490</v>
      </c>
      <c r="D205" s="42">
        <v>42944</v>
      </c>
      <c r="E205" s="41">
        <v>10</v>
      </c>
      <c r="F205" s="41">
        <v>1</v>
      </c>
      <c r="G205" s="41" t="s">
        <v>3983</v>
      </c>
      <c r="H205" s="41">
        <v>10</v>
      </c>
    </row>
    <row r="206" spans="1:8" ht="16" x14ac:dyDescent="0.2">
      <c r="A206" s="41" t="s">
        <v>129</v>
      </c>
      <c r="B206" s="41" t="s">
        <v>3984</v>
      </c>
      <c r="C206" s="41" t="s">
        <v>3490</v>
      </c>
      <c r="D206" s="42">
        <v>45034</v>
      </c>
      <c r="E206" s="41">
        <v>2</v>
      </c>
      <c r="F206" s="41">
        <v>1</v>
      </c>
      <c r="G206" s="41" t="s">
        <v>3985</v>
      </c>
      <c r="H206" s="41">
        <v>2</v>
      </c>
    </row>
    <row r="207" spans="1:8" ht="16" x14ac:dyDescent="0.2">
      <c r="A207" s="41" t="s">
        <v>130</v>
      </c>
      <c r="B207" s="41" t="s">
        <v>3986</v>
      </c>
      <c r="C207" s="41" t="s">
        <v>3490</v>
      </c>
      <c r="D207" s="42">
        <v>45504</v>
      </c>
      <c r="E207" s="41">
        <v>2</v>
      </c>
      <c r="F207" s="41">
        <v>1</v>
      </c>
      <c r="G207" s="41" t="s">
        <v>3987</v>
      </c>
      <c r="H207" s="41">
        <v>2</v>
      </c>
    </row>
    <row r="208" spans="1:8" ht="16" x14ac:dyDescent="0.2">
      <c r="A208" s="41" t="s">
        <v>131</v>
      </c>
      <c r="B208" s="41" t="s">
        <v>3988</v>
      </c>
      <c r="C208" s="41" t="s">
        <v>3490</v>
      </c>
      <c r="D208" s="42">
        <v>42109</v>
      </c>
      <c r="E208" s="41">
        <v>1</v>
      </c>
      <c r="F208" s="41">
        <v>1</v>
      </c>
      <c r="G208" s="41" t="s">
        <v>3989</v>
      </c>
      <c r="H208" s="41">
        <v>1</v>
      </c>
    </row>
    <row r="209" spans="1:8" ht="16" x14ac:dyDescent="0.2">
      <c r="A209" s="41" t="s">
        <v>132</v>
      </c>
      <c r="B209" s="41" t="s">
        <v>3990</v>
      </c>
      <c r="C209" s="41" t="s">
        <v>3490</v>
      </c>
      <c r="D209" s="42">
        <v>45058</v>
      </c>
      <c r="E209" s="41">
        <v>10</v>
      </c>
      <c r="F209" s="41">
        <v>1</v>
      </c>
      <c r="G209" s="41" t="s">
        <v>3991</v>
      </c>
      <c r="H209" s="41">
        <v>10</v>
      </c>
    </row>
    <row r="210" spans="1:8" ht="16" x14ac:dyDescent="0.2">
      <c r="A210" s="41" t="s">
        <v>133</v>
      </c>
      <c r="B210" s="41" t="s">
        <v>3992</v>
      </c>
      <c r="C210" s="41" t="s">
        <v>3490</v>
      </c>
      <c r="D210" s="42">
        <v>45602</v>
      </c>
      <c r="E210" s="41">
        <v>1</v>
      </c>
      <c r="F210" s="41">
        <v>1</v>
      </c>
      <c r="G210" s="41" t="s">
        <v>3993</v>
      </c>
      <c r="H210" s="41">
        <v>1</v>
      </c>
    </row>
    <row r="211" spans="1:8" ht="16" x14ac:dyDescent="0.2">
      <c r="A211" s="41" t="s">
        <v>3994</v>
      </c>
      <c r="B211" s="41" t="s">
        <v>3995</v>
      </c>
      <c r="C211" s="41" t="s">
        <v>3490</v>
      </c>
      <c r="D211" s="42">
        <v>44930</v>
      </c>
      <c r="E211" s="41">
        <v>1</v>
      </c>
      <c r="F211" s="41">
        <v>1</v>
      </c>
      <c r="G211" s="41" t="s">
        <v>3996</v>
      </c>
      <c r="H211" s="41">
        <v>1</v>
      </c>
    </row>
    <row r="212" spans="1:8" ht="16" x14ac:dyDescent="0.2">
      <c r="A212" s="41" t="s">
        <v>3997</v>
      </c>
      <c r="B212" s="41" t="s">
        <v>3998</v>
      </c>
      <c r="C212" s="41" t="s">
        <v>3490</v>
      </c>
      <c r="D212" s="42">
        <v>44658</v>
      </c>
      <c r="E212" s="41">
        <v>10</v>
      </c>
      <c r="F212" s="41">
        <v>1</v>
      </c>
      <c r="G212" s="41" t="s">
        <v>3999</v>
      </c>
      <c r="H212" s="41">
        <v>10</v>
      </c>
    </row>
    <row r="213" spans="1:8" ht="16" x14ac:dyDescent="0.2">
      <c r="A213" s="41" t="s">
        <v>134</v>
      </c>
      <c r="B213" s="41" t="s">
        <v>4000</v>
      </c>
      <c r="C213" s="41" t="s">
        <v>3490</v>
      </c>
      <c r="D213" s="42">
        <v>39092</v>
      </c>
      <c r="E213" s="41">
        <v>1</v>
      </c>
      <c r="F213" s="41">
        <v>1</v>
      </c>
      <c r="G213" s="41" t="s">
        <v>4001</v>
      </c>
      <c r="H213" s="41">
        <v>1</v>
      </c>
    </row>
    <row r="214" spans="1:8" ht="16" x14ac:dyDescent="0.2">
      <c r="A214" s="41" t="s">
        <v>135</v>
      </c>
      <c r="B214" s="41" t="s">
        <v>4002</v>
      </c>
      <c r="C214" s="41" t="s">
        <v>3490</v>
      </c>
      <c r="D214" s="42">
        <v>45442</v>
      </c>
      <c r="E214" s="41">
        <v>10</v>
      </c>
      <c r="F214" s="41">
        <v>1</v>
      </c>
      <c r="G214" s="41" t="s">
        <v>4003</v>
      </c>
      <c r="H214" s="41">
        <v>10</v>
      </c>
    </row>
    <row r="215" spans="1:8" ht="16" x14ac:dyDescent="0.2">
      <c r="A215" s="41" t="s">
        <v>136</v>
      </c>
      <c r="B215" s="41" t="s">
        <v>4004</v>
      </c>
      <c r="C215" s="41" t="s">
        <v>3490</v>
      </c>
      <c r="D215" s="42">
        <v>44197</v>
      </c>
      <c r="E215" s="41">
        <v>5</v>
      </c>
      <c r="F215" s="41">
        <v>1</v>
      </c>
      <c r="G215" s="41" t="s">
        <v>4005</v>
      </c>
      <c r="H215" s="41">
        <v>5</v>
      </c>
    </row>
    <row r="216" spans="1:8" ht="16" x14ac:dyDescent="0.2">
      <c r="A216" s="41" t="s">
        <v>137</v>
      </c>
      <c r="B216" s="41" t="s">
        <v>4006</v>
      </c>
      <c r="C216" s="41" t="s">
        <v>3490</v>
      </c>
      <c r="D216" s="42">
        <v>44600</v>
      </c>
      <c r="E216" s="41">
        <v>1</v>
      </c>
      <c r="F216" s="41">
        <v>1</v>
      </c>
      <c r="G216" s="41" t="s">
        <v>4007</v>
      </c>
      <c r="H216" s="41">
        <v>1</v>
      </c>
    </row>
    <row r="217" spans="1:8" ht="16" x14ac:dyDescent="0.2">
      <c r="A217" s="41" t="s">
        <v>138</v>
      </c>
      <c r="B217" s="41" t="s">
        <v>4008</v>
      </c>
      <c r="C217" s="41" t="s">
        <v>3490</v>
      </c>
      <c r="D217" s="42">
        <v>36115</v>
      </c>
      <c r="E217" s="41">
        <v>2</v>
      </c>
      <c r="F217" s="41">
        <v>1</v>
      </c>
      <c r="G217" s="41" t="s">
        <v>4009</v>
      </c>
      <c r="H217" s="41">
        <v>2</v>
      </c>
    </row>
    <row r="218" spans="1:8" ht="16" x14ac:dyDescent="0.2">
      <c r="A218" s="41" t="s">
        <v>139</v>
      </c>
      <c r="B218" s="41" t="s">
        <v>4010</v>
      </c>
      <c r="C218" s="41" t="s">
        <v>3510</v>
      </c>
      <c r="D218" s="42">
        <v>36881</v>
      </c>
      <c r="E218" s="41">
        <v>5</v>
      </c>
      <c r="F218" s="41">
        <v>1</v>
      </c>
      <c r="G218" s="41" t="s">
        <v>4011</v>
      </c>
      <c r="H218" s="41">
        <v>5</v>
      </c>
    </row>
    <row r="219" spans="1:8" ht="16" x14ac:dyDescent="0.2">
      <c r="A219" s="41" t="s">
        <v>140</v>
      </c>
      <c r="B219" s="41" t="s">
        <v>4012</v>
      </c>
      <c r="C219" s="41" t="s">
        <v>3490</v>
      </c>
      <c r="D219" s="42">
        <v>44733</v>
      </c>
      <c r="E219" s="41">
        <v>1</v>
      </c>
      <c r="F219" s="41">
        <v>1</v>
      </c>
      <c r="G219" s="41" t="s">
        <v>4013</v>
      </c>
      <c r="H219" s="41">
        <v>1</v>
      </c>
    </row>
    <row r="220" spans="1:8" ht="16" x14ac:dyDescent="0.2">
      <c r="A220" s="41" t="s">
        <v>141</v>
      </c>
      <c r="B220" s="41" t="s">
        <v>4014</v>
      </c>
      <c r="C220" s="41" t="s">
        <v>3490</v>
      </c>
      <c r="D220" s="42">
        <v>42230</v>
      </c>
      <c r="E220" s="41">
        <v>10</v>
      </c>
      <c r="F220" s="41">
        <v>1</v>
      </c>
      <c r="G220" s="41" t="s">
        <v>4015</v>
      </c>
      <c r="H220" s="41">
        <v>10</v>
      </c>
    </row>
    <row r="221" spans="1:8" ht="16" x14ac:dyDescent="0.2">
      <c r="A221" s="41" t="s">
        <v>142</v>
      </c>
      <c r="B221" s="41" t="s">
        <v>4016</v>
      </c>
      <c r="C221" s="41" t="s">
        <v>3490</v>
      </c>
      <c r="D221" s="42">
        <v>45288</v>
      </c>
      <c r="E221" s="41">
        <v>2</v>
      </c>
      <c r="F221" s="41">
        <v>1</v>
      </c>
      <c r="G221" s="41" t="s">
        <v>4017</v>
      </c>
      <c r="H221" s="41">
        <v>2</v>
      </c>
    </row>
    <row r="222" spans="1:8" ht="16" x14ac:dyDescent="0.2">
      <c r="A222" s="41" t="s">
        <v>4018</v>
      </c>
      <c r="B222" s="41" t="s">
        <v>4019</v>
      </c>
      <c r="C222" s="41" t="s">
        <v>3490</v>
      </c>
      <c r="D222" s="42">
        <v>43888</v>
      </c>
      <c r="E222" s="41">
        <v>10</v>
      </c>
      <c r="F222" s="41">
        <v>1</v>
      </c>
      <c r="G222" s="41" t="s">
        <v>4020</v>
      </c>
      <c r="H222" s="41">
        <v>10</v>
      </c>
    </row>
    <row r="223" spans="1:8" ht="16" x14ac:dyDescent="0.2">
      <c r="A223" s="41" t="s">
        <v>4021</v>
      </c>
      <c r="B223" s="41" t="s">
        <v>4022</v>
      </c>
      <c r="C223" s="41" t="s">
        <v>3490</v>
      </c>
      <c r="D223" s="42">
        <v>37911</v>
      </c>
      <c r="E223" s="41">
        <v>2</v>
      </c>
      <c r="F223" s="41">
        <v>1</v>
      </c>
      <c r="G223" s="41" t="s">
        <v>4023</v>
      </c>
      <c r="H223" s="41">
        <v>2</v>
      </c>
    </row>
    <row r="224" spans="1:8" ht="16" x14ac:dyDescent="0.2">
      <c r="A224" s="41" t="s">
        <v>4024</v>
      </c>
      <c r="B224" s="41" t="s">
        <v>4025</v>
      </c>
      <c r="C224" s="41" t="s">
        <v>3490</v>
      </c>
      <c r="D224" s="42">
        <v>44946</v>
      </c>
      <c r="E224" s="41">
        <v>2</v>
      </c>
      <c r="F224" s="41">
        <v>1</v>
      </c>
      <c r="G224" s="41" t="s">
        <v>4026</v>
      </c>
      <c r="H224" s="41">
        <v>2</v>
      </c>
    </row>
    <row r="225" spans="1:8" ht="16" x14ac:dyDescent="0.2">
      <c r="A225" s="41" t="s">
        <v>143</v>
      </c>
      <c r="B225" s="41" t="s">
        <v>4027</v>
      </c>
      <c r="C225" s="41" t="s">
        <v>3490</v>
      </c>
      <c r="D225" s="42">
        <v>39594</v>
      </c>
      <c r="E225" s="41">
        <v>10</v>
      </c>
      <c r="F225" s="41">
        <v>1</v>
      </c>
      <c r="G225" s="41" t="s">
        <v>4028</v>
      </c>
      <c r="H225" s="41">
        <v>10</v>
      </c>
    </row>
    <row r="226" spans="1:8" ht="16" x14ac:dyDescent="0.2">
      <c r="A226" s="41" t="s">
        <v>144</v>
      </c>
      <c r="B226" s="41" t="s">
        <v>4029</v>
      </c>
      <c r="C226" s="41" t="s">
        <v>3490</v>
      </c>
      <c r="D226" s="42">
        <v>40408</v>
      </c>
      <c r="E226" s="41">
        <v>1</v>
      </c>
      <c r="F226" s="41">
        <v>1</v>
      </c>
      <c r="G226" s="41" t="s">
        <v>4030</v>
      </c>
      <c r="H226" s="41">
        <v>1</v>
      </c>
    </row>
    <row r="227" spans="1:8" ht="16" x14ac:dyDescent="0.2">
      <c r="A227" s="41" t="s">
        <v>145</v>
      </c>
      <c r="B227" s="41" t="s">
        <v>4031</v>
      </c>
      <c r="C227" s="41" t="s">
        <v>3490</v>
      </c>
      <c r="D227" s="42">
        <v>39388</v>
      </c>
      <c r="E227" s="41">
        <v>2</v>
      </c>
      <c r="F227" s="41">
        <v>1</v>
      </c>
      <c r="G227" s="41" t="s">
        <v>4032</v>
      </c>
      <c r="H227" s="41">
        <v>2</v>
      </c>
    </row>
    <row r="228" spans="1:8" ht="16" x14ac:dyDescent="0.2">
      <c r="A228" s="41" t="s">
        <v>146</v>
      </c>
      <c r="B228" s="41" t="s">
        <v>4033</v>
      </c>
      <c r="C228" s="41" t="s">
        <v>3490</v>
      </c>
      <c r="D228" s="42">
        <v>39594</v>
      </c>
      <c r="E228" s="41">
        <v>1</v>
      </c>
      <c r="F228" s="41">
        <v>1</v>
      </c>
      <c r="G228" s="41" t="s">
        <v>4034</v>
      </c>
      <c r="H228" s="41">
        <v>1</v>
      </c>
    </row>
    <row r="229" spans="1:8" ht="16" x14ac:dyDescent="0.2">
      <c r="A229" s="41" t="s">
        <v>147</v>
      </c>
      <c r="B229" s="41" t="s">
        <v>4035</v>
      </c>
      <c r="C229" s="41" t="s">
        <v>3490</v>
      </c>
      <c r="D229" s="42">
        <v>44525</v>
      </c>
      <c r="E229" s="41">
        <v>5</v>
      </c>
      <c r="F229" s="41">
        <v>1</v>
      </c>
      <c r="G229" s="41" t="s">
        <v>4036</v>
      </c>
      <c r="H229" s="41">
        <v>5</v>
      </c>
    </row>
    <row r="230" spans="1:8" ht="16" x14ac:dyDescent="0.2">
      <c r="A230" s="41" t="s">
        <v>4037</v>
      </c>
      <c r="B230" s="41" t="s">
        <v>4038</v>
      </c>
      <c r="C230" s="41" t="s">
        <v>3490</v>
      </c>
      <c r="D230" s="42">
        <v>45551</v>
      </c>
      <c r="E230" s="41">
        <v>10</v>
      </c>
      <c r="F230" s="41">
        <v>1</v>
      </c>
      <c r="G230" s="41" t="s">
        <v>4039</v>
      </c>
      <c r="H230" s="41">
        <v>10</v>
      </c>
    </row>
    <row r="231" spans="1:8" ht="16" x14ac:dyDescent="0.2">
      <c r="A231" s="41" t="s">
        <v>148</v>
      </c>
      <c r="B231" s="41" t="s">
        <v>4040</v>
      </c>
      <c r="C231" s="41" t="s">
        <v>3490</v>
      </c>
      <c r="D231" s="42">
        <v>34829</v>
      </c>
      <c r="E231" s="41">
        <v>1</v>
      </c>
      <c r="F231" s="41">
        <v>1</v>
      </c>
      <c r="G231" s="41" t="s">
        <v>4041</v>
      </c>
      <c r="H231" s="41">
        <v>1</v>
      </c>
    </row>
    <row r="232" spans="1:8" ht="16" x14ac:dyDescent="0.2">
      <c r="A232" s="41" t="s">
        <v>149</v>
      </c>
      <c r="B232" s="41" t="s">
        <v>4042</v>
      </c>
      <c r="C232" s="41" t="s">
        <v>3490</v>
      </c>
      <c r="D232" s="42">
        <v>34773</v>
      </c>
      <c r="E232" s="41">
        <v>10</v>
      </c>
      <c r="F232" s="41">
        <v>1</v>
      </c>
      <c r="G232" s="41" t="s">
        <v>4043</v>
      </c>
      <c r="H232" s="41">
        <v>10</v>
      </c>
    </row>
    <row r="233" spans="1:8" ht="16" x14ac:dyDescent="0.2">
      <c r="A233" s="41" t="s">
        <v>4044</v>
      </c>
      <c r="B233" s="41" t="s">
        <v>4045</v>
      </c>
      <c r="C233" s="41" t="s">
        <v>3490</v>
      </c>
      <c r="D233" s="42">
        <v>45709</v>
      </c>
      <c r="E233" s="41">
        <v>1</v>
      </c>
      <c r="F233" s="41">
        <v>1</v>
      </c>
      <c r="G233" s="41" t="s">
        <v>4046</v>
      </c>
      <c r="H233" s="41">
        <v>1</v>
      </c>
    </row>
    <row r="234" spans="1:8" ht="16" x14ac:dyDescent="0.2">
      <c r="A234" s="41" t="s">
        <v>150</v>
      </c>
      <c r="B234" s="41" t="s">
        <v>4047</v>
      </c>
      <c r="C234" s="41" t="s">
        <v>3510</v>
      </c>
      <c r="D234" s="42">
        <v>45279</v>
      </c>
      <c r="E234" s="41">
        <v>2</v>
      </c>
      <c r="F234" s="41">
        <v>1</v>
      </c>
      <c r="G234" s="41" t="s">
        <v>4048</v>
      </c>
      <c r="H234" s="41">
        <v>2</v>
      </c>
    </row>
    <row r="235" spans="1:8" ht="16" x14ac:dyDescent="0.2">
      <c r="A235" s="41" t="s">
        <v>151</v>
      </c>
      <c r="B235" s="41" t="s">
        <v>4049</v>
      </c>
      <c r="C235" s="41" t="s">
        <v>3490</v>
      </c>
      <c r="D235" s="42">
        <v>37712</v>
      </c>
      <c r="E235" s="41">
        <v>1</v>
      </c>
      <c r="F235" s="41">
        <v>1</v>
      </c>
      <c r="G235" s="41" t="s">
        <v>4050</v>
      </c>
      <c r="H235" s="41">
        <v>1</v>
      </c>
    </row>
    <row r="236" spans="1:8" ht="16" x14ac:dyDescent="0.2">
      <c r="A236" s="41" t="s">
        <v>4051</v>
      </c>
      <c r="B236" s="41" t="s">
        <v>4052</v>
      </c>
      <c r="C236" s="41" t="s">
        <v>3490</v>
      </c>
      <c r="D236" s="42">
        <v>45547</v>
      </c>
      <c r="E236" s="41">
        <v>10</v>
      </c>
      <c r="F236" s="41">
        <v>1</v>
      </c>
      <c r="G236" s="41" t="s">
        <v>4053</v>
      </c>
      <c r="H236" s="41">
        <v>10</v>
      </c>
    </row>
    <row r="237" spans="1:8" ht="16" x14ac:dyDescent="0.2">
      <c r="A237" s="41" t="s">
        <v>152</v>
      </c>
      <c r="B237" s="41" t="s">
        <v>4054</v>
      </c>
      <c r="C237" s="41" t="s">
        <v>3510</v>
      </c>
      <c r="D237" s="42">
        <v>36852</v>
      </c>
      <c r="E237" s="41">
        <v>2</v>
      </c>
      <c r="F237" s="41">
        <v>1</v>
      </c>
      <c r="G237" s="41" t="s">
        <v>4055</v>
      </c>
      <c r="H237" s="41">
        <v>2</v>
      </c>
    </row>
    <row r="238" spans="1:8" ht="16" x14ac:dyDescent="0.2">
      <c r="A238" s="41" t="s">
        <v>153</v>
      </c>
      <c r="B238" s="41" t="s">
        <v>4056</v>
      </c>
      <c r="C238" s="41" t="s">
        <v>3490</v>
      </c>
      <c r="D238" s="42">
        <v>39177</v>
      </c>
      <c r="E238" s="41">
        <v>2</v>
      </c>
      <c r="F238" s="41">
        <v>1</v>
      </c>
      <c r="G238" s="41" t="s">
        <v>4057</v>
      </c>
      <c r="H238" s="41">
        <v>2</v>
      </c>
    </row>
    <row r="239" spans="1:8" ht="16" x14ac:dyDescent="0.2">
      <c r="A239" s="41" t="s">
        <v>154</v>
      </c>
      <c r="B239" s="41" t="s">
        <v>4058</v>
      </c>
      <c r="C239" s="41" t="s">
        <v>3490</v>
      </c>
      <c r="D239" s="42">
        <v>42338</v>
      </c>
      <c r="E239" s="41">
        <v>2</v>
      </c>
      <c r="F239" s="41">
        <v>1</v>
      </c>
      <c r="G239" s="41" t="s">
        <v>4059</v>
      </c>
      <c r="H239" s="41">
        <v>2</v>
      </c>
    </row>
    <row r="240" spans="1:8" ht="16" x14ac:dyDescent="0.2">
      <c r="A240" s="41" t="s">
        <v>4060</v>
      </c>
      <c r="B240" s="41" t="s">
        <v>4061</v>
      </c>
      <c r="C240" s="41" t="s">
        <v>3490</v>
      </c>
      <c r="D240" s="42">
        <v>42213</v>
      </c>
      <c r="E240" s="41">
        <v>10</v>
      </c>
      <c r="F240" s="41">
        <v>1</v>
      </c>
      <c r="G240" s="41" t="s">
        <v>4062</v>
      </c>
      <c r="H240" s="41">
        <v>10</v>
      </c>
    </row>
    <row r="241" spans="1:8" ht="16" x14ac:dyDescent="0.2">
      <c r="A241" s="41" t="s">
        <v>155</v>
      </c>
      <c r="B241" s="41" t="s">
        <v>4063</v>
      </c>
      <c r="C241" s="41" t="s">
        <v>3490</v>
      </c>
      <c r="D241" s="42">
        <v>38744</v>
      </c>
      <c r="E241" s="41">
        <v>2</v>
      </c>
      <c r="F241" s="41">
        <v>1</v>
      </c>
      <c r="G241" s="41" t="s">
        <v>4064</v>
      </c>
      <c r="H241" s="41">
        <v>2</v>
      </c>
    </row>
    <row r="242" spans="1:8" ht="16" x14ac:dyDescent="0.2">
      <c r="A242" s="41" t="s">
        <v>156</v>
      </c>
      <c r="B242" s="41" t="s">
        <v>4065</v>
      </c>
      <c r="C242" s="41" t="s">
        <v>3490</v>
      </c>
      <c r="D242" s="42">
        <v>34886</v>
      </c>
      <c r="E242" s="41">
        <v>10</v>
      </c>
      <c r="F242" s="41">
        <v>1</v>
      </c>
      <c r="G242" s="41" t="s">
        <v>4066</v>
      </c>
      <c r="H242" s="41">
        <v>10</v>
      </c>
    </row>
    <row r="243" spans="1:8" ht="16" x14ac:dyDescent="0.2">
      <c r="A243" s="41" t="s">
        <v>4067</v>
      </c>
      <c r="B243" s="41" t="s">
        <v>4068</v>
      </c>
      <c r="C243" s="41" t="s">
        <v>3490</v>
      </c>
      <c r="D243" s="42">
        <v>38845</v>
      </c>
      <c r="E243" s="41">
        <v>10</v>
      </c>
      <c r="F243" s="41">
        <v>1</v>
      </c>
      <c r="G243" s="41" t="s">
        <v>4069</v>
      </c>
      <c r="H243" s="41">
        <v>10</v>
      </c>
    </row>
    <row r="244" spans="1:8" ht="16" x14ac:dyDescent="0.2">
      <c r="A244" s="41" t="s">
        <v>157</v>
      </c>
      <c r="B244" s="41" t="s">
        <v>4070</v>
      </c>
      <c r="C244" s="41" t="s">
        <v>3490</v>
      </c>
      <c r="D244" s="42">
        <v>34738</v>
      </c>
      <c r="E244" s="41">
        <v>1</v>
      </c>
      <c r="F244" s="41">
        <v>1</v>
      </c>
      <c r="G244" s="41" t="s">
        <v>4071</v>
      </c>
      <c r="H244" s="41">
        <v>1</v>
      </c>
    </row>
    <row r="245" spans="1:8" ht="16" x14ac:dyDescent="0.2">
      <c r="A245" s="41" t="s">
        <v>158</v>
      </c>
      <c r="B245" s="41" t="s">
        <v>4072</v>
      </c>
      <c r="C245" s="41" t="s">
        <v>3510</v>
      </c>
      <c r="D245" s="42">
        <v>45411</v>
      </c>
      <c r="E245" s="41">
        <v>10</v>
      </c>
      <c r="F245" s="41">
        <v>1</v>
      </c>
      <c r="G245" s="41" t="s">
        <v>4073</v>
      </c>
      <c r="H245" s="41">
        <v>10</v>
      </c>
    </row>
    <row r="246" spans="1:8" ht="16" x14ac:dyDescent="0.2">
      <c r="A246" s="41" t="s">
        <v>4074</v>
      </c>
      <c r="B246" s="41" t="s">
        <v>4075</v>
      </c>
      <c r="C246" s="41" t="s">
        <v>3490</v>
      </c>
      <c r="D246" s="42">
        <v>34887</v>
      </c>
      <c r="E246" s="41">
        <v>10</v>
      </c>
      <c r="F246" s="41">
        <v>1</v>
      </c>
      <c r="G246" s="41" t="s">
        <v>4076</v>
      </c>
      <c r="H246" s="41">
        <v>10</v>
      </c>
    </row>
    <row r="247" spans="1:8" ht="16" x14ac:dyDescent="0.2">
      <c r="A247" s="41" t="s">
        <v>159</v>
      </c>
      <c r="B247" s="41" t="s">
        <v>4077</v>
      </c>
      <c r="C247" s="41" t="s">
        <v>3490</v>
      </c>
      <c r="D247" s="42">
        <v>37769</v>
      </c>
      <c r="E247" s="41">
        <v>10</v>
      </c>
      <c r="F247" s="41">
        <v>1</v>
      </c>
      <c r="G247" s="41" t="s">
        <v>4078</v>
      </c>
      <c r="H247" s="41">
        <v>10</v>
      </c>
    </row>
    <row r="248" spans="1:8" ht="16" x14ac:dyDescent="0.2">
      <c r="A248" s="41" t="s">
        <v>160</v>
      </c>
      <c r="B248" s="41" t="s">
        <v>4079</v>
      </c>
      <c r="C248" s="41" t="s">
        <v>3490</v>
      </c>
      <c r="D248" s="42">
        <v>39073</v>
      </c>
      <c r="E248" s="41">
        <v>2</v>
      </c>
      <c r="F248" s="41">
        <v>1</v>
      </c>
      <c r="G248" s="41" t="s">
        <v>4080</v>
      </c>
      <c r="H248" s="41">
        <v>2</v>
      </c>
    </row>
    <row r="249" spans="1:8" ht="16" x14ac:dyDescent="0.2">
      <c r="A249" s="41" t="s">
        <v>161</v>
      </c>
      <c r="B249" s="41" t="s">
        <v>4081</v>
      </c>
      <c r="C249" s="41" t="s">
        <v>3490</v>
      </c>
      <c r="D249" s="42">
        <v>43186</v>
      </c>
      <c r="E249" s="41">
        <v>10</v>
      </c>
      <c r="F249" s="41">
        <v>1</v>
      </c>
      <c r="G249" s="41" t="s">
        <v>4082</v>
      </c>
      <c r="H249" s="41">
        <v>10</v>
      </c>
    </row>
    <row r="250" spans="1:8" ht="16" x14ac:dyDescent="0.2">
      <c r="A250" s="41" t="s">
        <v>4083</v>
      </c>
      <c r="B250" s="41" t="s">
        <v>4084</v>
      </c>
      <c r="C250" s="41" t="s">
        <v>3490</v>
      </c>
      <c r="D250" s="42">
        <v>39498</v>
      </c>
      <c r="E250" s="41">
        <v>10</v>
      </c>
      <c r="F250" s="41">
        <v>1</v>
      </c>
      <c r="G250" s="41" t="s">
        <v>4085</v>
      </c>
      <c r="H250" s="41">
        <v>10</v>
      </c>
    </row>
    <row r="251" spans="1:8" ht="16" x14ac:dyDescent="0.2">
      <c r="A251" s="41" t="s">
        <v>4086</v>
      </c>
      <c r="B251" s="41" t="s">
        <v>4087</v>
      </c>
      <c r="C251" s="41" t="s">
        <v>3490</v>
      </c>
      <c r="D251" s="42">
        <v>44133</v>
      </c>
      <c r="E251" s="41">
        <v>10</v>
      </c>
      <c r="F251" s="41">
        <v>1</v>
      </c>
      <c r="G251" s="41" t="s">
        <v>4088</v>
      </c>
      <c r="H251" s="41">
        <v>10</v>
      </c>
    </row>
    <row r="252" spans="1:8" ht="16" x14ac:dyDescent="0.2">
      <c r="A252" s="41" t="s">
        <v>162</v>
      </c>
      <c r="B252" s="41" t="s">
        <v>4089</v>
      </c>
      <c r="C252" s="41" t="s">
        <v>3490</v>
      </c>
      <c r="D252" s="42">
        <v>35480</v>
      </c>
      <c r="E252" s="41">
        <v>2</v>
      </c>
      <c r="F252" s="41">
        <v>1</v>
      </c>
      <c r="G252" s="41" t="s">
        <v>4090</v>
      </c>
      <c r="H252" s="41">
        <v>2</v>
      </c>
    </row>
    <row r="253" spans="1:8" ht="16" x14ac:dyDescent="0.2">
      <c r="A253" s="41" t="s">
        <v>163</v>
      </c>
      <c r="B253" s="41" t="s">
        <v>4091</v>
      </c>
      <c r="C253" s="41" t="s">
        <v>3490</v>
      </c>
      <c r="D253" s="42">
        <v>35550</v>
      </c>
      <c r="E253" s="41">
        <v>10</v>
      </c>
      <c r="F253" s="41">
        <v>1</v>
      </c>
      <c r="G253" s="41" t="s">
        <v>4092</v>
      </c>
      <c r="H253" s="41">
        <v>10</v>
      </c>
    </row>
    <row r="254" spans="1:8" ht="16" x14ac:dyDescent="0.2">
      <c r="A254" s="41" t="s">
        <v>4093</v>
      </c>
      <c r="B254" s="41" t="s">
        <v>4094</v>
      </c>
      <c r="C254" s="41" t="s">
        <v>3490</v>
      </c>
      <c r="D254" s="42">
        <v>45483</v>
      </c>
      <c r="E254" s="41">
        <v>5</v>
      </c>
      <c r="F254" s="41">
        <v>1</v>
      </c>
      <c r="G254" s="41" t="s">
        <v>4095</v>
      </c>
      <c r="H254" s="41">
        <v>5</v>
      </c>
    </row>
    <row r="255" spans="1:8" ht="16" x14ac:dyDescent="0.2">
      <c r="A255" s="41" t="s">
        <v>164</v>
      </c>
      <c r="B255" s="41" t="s">
        <v>4096</v>
      </c>
      <c r="C255" s="41" t="s">
        <v>3490</v>
      </c>
      <c r="D255" s="42">
        <v>39183</v>
      </c>
      <c r="E255" s="41">
        <v>5</v>
      </c>
      <c r="F255" s="41">
        <v>1</v>
      </c>
      <c r="G255" s="41" t="s">
        <v>4097</v>
      </c>
      <c r="H255" s="41">
        <v>5</v>
      </c>
    </row>
    <row r="256" spans="1:8" ht="16" x14ac:dyDescent="0.2">
      <c r="A256" s="41" t="s">
        <v>165</v>
      </c>
      <c r="B256" s="41" t="s">
        <v>4098</v>
      </c>
      <c r="C256" s="41" t="s">
        <v>3490</v>
      </c>
      <c r="D256" s="42">
        <v>44293</v>
      </c>
      <c r="E256" s="41">
        <v>5</v>
      </c>
      <c r="F256" s="41">
        <v>1</v>
      </c>
      <c r="G256" s="41" t="s">
        <v>4099</v>
      </c>
      <c r="H256" s="41">
        <v>5</v>
      </c>
    </row>
    <row r="257" spans="1:8" ht="16" x14ac:dyDescent="0.2">
      <c r="A257" s="41" t="s">
        <v>166</v>
      </c>
      <c r="B257" s="41" t="s">
        <v>4100</v>
      </c>
      <c r="C257" s="41" t="s">
        <v>3490</v>
      </c>
      <c r="D257" s="42">
        <v>34836</v>
      </c>
      <c r="E257" s="41">
        <v>10</v>
      </c>
      <c r="F257" s="41">
        <v>1</v>
      </c>
      <c r="G257" s="41" t="s">
        <v>4101</v>
      </c>
      <c r="H257" s="41">
        <v>10</v>
      </c>
    </row>
    <row r="258" spans="1:8" ht="16" x14ac:dyDescent="0.2">
      <c r="A258" s="41" t="s">
        <v>4102</v>
      </c>
      <c r="B258" s="41" t="s">
        <v>4103</v>
      </c>
      <c r="C258" s="41" t="s">
        <v>3490</v>
      </c>
      <c r="D258" s="42">
        <v>38670</v>
      </c>
      <c r="E258" s="41">
        <v>5</v>
      </c>
      <c r="F258" s="41">
        <v>1</v>
      </c>
      <c r="G258" s="41" t="s">
        <v>4104</v>
      </c>
      <c r="H258" s="41">
        <v>5</v>
      </c>
    </row>
    <row r="259" spans="1:8" ht="16" x14ac:dyDescent="0.2">
      <c r="A259" s="41" t="s">
        <v>168</v>
      </c>
      <c r="B259" s="41" t="s">
        <v>4105</v>
      </c>
      <c r="C259" s="41" t="s">
        <v>3490</v>
      </c>
      <c r="D259" s="42">
        <v>37790</v>
      </c>
      <c r="E259" s="41">
        <v>5</v>
      </c>
      <c r="F259" s="41">
        <v>1</v>
      </c>
      <c r="G259" s="41" t="s">
        <v>4106</v>
      </c>
      <c r="H259" s="41">
        <v>5</v>
      </c>
    </row>
    <row r="260" spans="1:8" ht="16" x14ac:dyDescent="0.2">
      <c r="A260" s="41" t="s">
        <v>169</v>
      </c>
      <c r="B260" s="41" t="s">
        <v>4107</v>
      </c>
      <c r="C260" s="41" t="s">
        <v>3490</v>
      </c>
      <c r="D260" s="42">
        <v>40186</v>
      </c>
      <c r="E260" s="41">
        <v>10</v>
      </c>
      <c r="F260" s="41">
        <v>1</v>
      </c>
      <c r="G260" s="41" t="s">
        <v>4108</v>
      </c>
      <c r="H260" s="41">
        <v>10</v>
      </c>
    </row>
    <row r="261" spans="1:8" ht="16" x14ac:dyDescent="0.2">
      <c r="A261" s="41" t="s">
        <v>170</v>
      </c>
      <c r="B261" s="41" t="s">
        <v>4109</v>
      </c>
      <c r="C261" s="41" t="s">
        <v>3490</v>
      </c>
      <c r="D261" s="42">
        <v>39042</v>
      </c>
      <c r="E261" s="41">
        <v>5</v>
      </c>
      <c r="F261" s="41">
        <v>1</v>
      </c>
      <c r="G261" s="41" t="s">
        <v>4110</v>
      </c>
      <c r="H261" s="41">
        <v>5</v>
      </c>
    </row>
    <row r="262" spans="1:8" ht="16" x14ac:dyDescent="0.2">
      <c r="A262" s="41" t="s">
        <v>171</v>
      </c>
      <c r="B262" s="41" t="s">
        <v>4111</v>
      </c>
      <c r="C262" s="41" t="s">
        <v>3510</v>
      </c>
      <c r="D262" s="42">
        <v>37824</v>
      </c>
      <c r="E262" s="41">
        <v>2</v>
      </c>
      <c r="F262" s="41">
        <v>1</v>
      </c>
      <c r="G262" s="41" t="s">
        <v>4112</v>
      </c>
      <c r="H262" s="41">
        <v>2</v>
      </c>
    </row>
    <row r="263" spans="1:8" ht="16" x14ac:dyDescent="0.2">
      <c r="A263" s="41" t="s">
        <v>172</v>
      </c>
      <c r="B263" s="41" t="s">
        <v>4113</v>
      </c>
      <c r="C263" s="41" t="s">
        <v>3490</v>
      </c>
      <c r="D263" s="42">
        <v>35158</v>
      </c>
      <c r="E263" s="41">
        <v>2</v>
      </c>
      <c r="F263" s="41">
        <v>1</v>
      </c>
      <c r="G263" s="41" t="s">
        <v>4114</v>
      </c>
      <c r="H263" s="41">
        <v>2</v>
      </c>
    </row>
    <row r="264" spans="1:8" ht="16" x14ac:dyDescent="0.2">
      <c r="A264" s="41" t="s">
        <v>173</v>
      </c>
      <c r="B264" s="41" t="s">
        <v>4115</v>
      </c>
      <c r="C264" s="41" t="s">
        <v>3490</v>
      </c>
      <c r="D264" s="42">
        <v>44888</v>
      </c>
      <c r="E264" s="41">
        <v>10</v>
      </c>
      <c r="F264" s="41">
        <v>1</v>
      </c>
      <c r="G264" s="41" t="s">
        <v>4116</v>
      </c>
      <c r="H264" s="41">
        <v>10</v>
      </c>
    </row>
    <row r="265" spans="1:8" ht="16" x14ac:dyDescent="0.2">
      <c r="A265" s="41" t="s">
        <v>174</v>
      </c>
      <c r="B265" s="41" t="s">
        <v>4117</v>
      </c>
      <c r="C265" s="41" t="s">
        <v>3490</v>
      </c>
      <c r="D265" s="42">
        <v>42132</v>
      </c>
      <c r="E265" s="41">
        <v>2</v>
      </c>
      <c r="F265" s="41">
        <v>1</v>
      </c>
      <c r="G265" s="41" t="s">
        <v>4118</v>
      </c>
      <c r="H265" s="41">
        <v>2</v>
      </c>
    </row>
    <row r="266" spans="1:8" ht="16" x14ac:dyDescent="0.2">
      <c r="A266" s="41" t="s">
        <v>175</v>
      </c>
      <c r="B266" s="41" t="s">
        <v>4119</v>
      </c>
      <c r="C266" s="41" t="s">
        <v>3490</v>
      </c>
      <c r="D266" s="42">
        <v>44259</v>
      </c>
      <c r="E266" s="41">
        <v>1</v>
      </c>
      <c r="F266" s="41">
        <v>1</v>
      </c>
      <c r="G266" s="41" t="s">
        <v>4120</v>
      </c>
      <c r="H266" s="41">
        <v>1</v>
      </c>
    </row>
    <row r="267" spans="1:8" ht="16" x14ac:dyDescent="0.2">
      <c r="A267" s="41" t="s">
        <v>176</v>
      </c>
      <c r="B267" s="41" t="s">
        <v>4121</v>
      </c>
      <c r="C267" s="41" t="s">
        <v>3490</v>
      </c>
      <c r="D267" s="42">
        <v>44572</v>
      </c>
      <c r="E267" s="41">
        <v>10</v>
      </c>
      <c r="F267" s="41">
        <v>1</v>
      </c>
      <c r="G267" s="41" t="s">
        <v>4122</v>
      </c>
      <c r="H267" s="41">
        <v>10</v>
      </c>
    </row>
    <row r="268" spans="1:8" ht="16" x14ac:dyDescent="0.2">
      <c r="A268" s="41" t="s">
        <v>177</v>
      </c>
      <c r="B268" s="41" t="s">
        <v>4123</v>
      </c>
      <c r="C268" s="41" t="s">
        <v>3490</v>
      </c>
      <c r="D268" s="42">
        <v>43182</v>
      </c>
      <c r="E268" s="41">
        <v>5</v>
      </c>
      <c r="F268" s="41">
        <v>1</v>
      </c>
      <c r="G268" s="41" t="s">
        <v>4124</v>
      </c>
      <c r="H268" s="41">
        <v>5</v>
      </c>
    </row>
    <row r="269" spans="1:8" ht="16" x14ac:dyDescent="0.2">
      <c r="A269" s="41" t="s">
        <v>4125</v>
      </c>
      <c r="B269" s="41" t="s">
        <v>4126</v>
      </c>
      <c r="C269" s="41" t="s">
        <v>3490</v>
      </c>
      <c r="D269" s="42">
        <v>42017</v>
      </c>
      <c r="E269" s="41">
        <v>2</v>
      </c>
      <c r="F269" s="41">
        <v>1</v>
      </c>
      <c r="G269" s="41" t="s">
        <v>4127</v>
      </c>
      <c r="H269" s="41">
        <v>2</v>
      </c>
    </row>
    <row r="270" spans="1:8" ht="16" x14ac:dyDescent="0.2">
      <c r="A270" s="41" t="s">
        <v>178</v>
      </c>
      <c r="B270" s="41" t="s">
        <v>4128</v>
      </c>
      <c r="C270" s="41" t="s">
        <v>3490</v>
      </c>
      <c r="D270" s="42">
        <v>44189</v>
      </c>
      <c r="E270" s="41">
        <v>10</v>
      </c>
      <c r="F270" s="41">
        <v>1</v>
      </c>
      <c r="G270" s="41" t="s">
        <v>4129</v>
      </c>
      <c r="H270" s="41">
        <v>10</v>
      </c>
    </row>
    <row r="271" spans="1:8" ht="16" x14ac:dyDescent="0.2">
      <c r="A271" s="41" t="s">
        <v>179</v>
      </c>
      <c r="B271" s="41" t="s">
        <v>4130</v>
      </c>
      <c r="C271" s="41" t="s">
        <v>3490</v>
      </c>
      <c r="D271" s="42">
        <v>40465</v>
      </c>
      <c r="E271" s="41">
        <v>10</v>
      </c>
      <c r="F271" s="41">
        <v>1</v>
      </c>
      <c r="G271" s="41" t="s">
        <v>4131</v>
      </c>
      <c r="H271" s="41">
        <v>10</v>
      </c>
    </row>
    <row r="272" spans="1:8" ht="16" x14ac:dyDescent="0.2">
      <c r="A272" s="41" t="s">
        <v>180</v>
      </c>
      <c r="B272" s="41" t="s">
        <v>4132</v>
      </c>
      <c r="C272" s="41" t="s">
        <v>3490</v>
      </c>
      <c r="D272" s="42">
        <v>36726</v>
      </c>
      <c r="E272" s="41">
        <v>1</v>
      </c>
      <c r="F272" s="41">
        <v>1</v>
      </c>
      <c r="G272" s="41" t="s">
        <v>4133</v>
      </c>
      <c r="H272" s="41">
        <v>1</v>
      </c>
    </row>
    <row r="273" spans="1:8" ht="16" x14ac:dyDescent="0.2">
      <c r="A273" s="41" t="s">
        <v>4134</v>
      </c>
      <c r="B273" s="41" t="s">
        <v>4135</v>
      </c>
      <c r="C273" s="41" t="s">
        <v>3490</v>
      </c>
      <c r="D273" s="42">
        <v>45856</v>
      </c>
      <c r="E273" s="41">
        <v>10</v>
      </c>
      <c r="F273" s="41">
        <v>1</v>
      </c>
      <c r="G273" s="41" t="s">
        <v>4136</v>
      </c>
      <c r="H273" s="41">
        <v>10</v>
      </c>
    </row>
    <row r="274" spans="1:8" ht="16" x14ac:dyDescent="0.2">
      <c r="A274" s="41" t="s">
        <v>4137</v>
      </c>
      <c r="B274" s="41" t="s">
        <v>4138</v>
      </c>
      <c r="C274" s="41" t="s">
        <v>3490</v>
      </c>
      <c r="D274" s="42">
        <v>45805</v>
      </c>
      <c r="E274" s="41">
        <v>5</v>
      </c>
      <c r="F274" s="41">
        <v>1</v>
      </c>
      <c r="G274" s="41" t="s">
        <v>4139</v>
      </c>
      <c r="H274" s="41">
        <v>5</v>
      </c>
    </row>
    <row r="275" spans="1:8" ht="16" x14ac:dyDescent="0.2">
      <c r="A275" s="41" t="s">
        <v>181</v>
      </c>
      <c r="B275" s="41" t="s">
        <v>4140</v>
      </c>
      <c r="C275" s="41" t="s">
        <v>3490</v>
      </c>
      <c r="D275" s="42">
        <v>37930</v>
      </c>
      <c r="E275" s="41">
        <v>10</v>
      </c>
      <c r="F275" s="41">
        <v>1</v>
      </c>
      <c r="G275" s="41" t="s">
        <v>4141</v>
      </c>
      <c r="H275" s="41">
        <v>10</v>
      </c>
    </row>
    <row r="276" spans="1:8" ht="16" x14ac:dyDescent="0.2">
      <c r="A276" s="41" t="s">
        <v>182</v>
      </c>
      <c r="B276" s="41" t="s">
        <v>4142</v>
      </c>
      <c r="C276" s="41" t="s">
        <v>3490</v>
      </c>
      <c r="D276" s="42">
        <v>38432</v>
      </c>
      <c r="E276" s="41">
        <v>1</v>
      </c>
      <c r="F276" s="41">
        <v>1</v>
      </c>
      <c r="G276" s="41" t="s">
        <v>4143</v>
      </c>
      <c r="H276" s="41">
        <v>1</v>
      </c>
    </row>
    <row r="277" spans="1:8" ht="16" x14ac:dyDescent="0.2">
      <c r="A277" s="41" t="s">
        <v>183</v>
      </c>
      <c r="B277" s="41" t="s">
        <v>4144</v>
      </c>
      <c r="C277" s="41" t="s">
        <v>3490</v>
      </c>
      <c r="D277" s="42">
        <v>36488</v>
      </c>
      <c r="E277" s="41">
        <v>1</v>
      </c>
      <c r="F277" s="41">
        <v>1</v>
      </c>
      <c r="G277" s="41" t="s">
        <v>4145</v>
      </c>
      <c r="H277" s="41">
        <v>1</v>
      </c>
    </row>
    <row r="278" spans="1:8" ht="16" x14ac:dyDescent="0.2">
      <c r="A278" s="41" t="s">
        <v>184</v>
      </c>
      <c r="B278" s="41" t="s">
        <v>4146</v>
      </c>
      <c r="C278" s="41" t="s">
        <v>3490</v>
      </c>
      <c r="D278" s="42">
        <v>45392</v>
      </c>
      <c r="E278" s="41">
        <v>10</v>
      </c>
      <c r="F278" s="41">
        <v>1</v>
      </c>
      <c r="G278" s="41" t="s">
        <v>4147</v>
      </c>
      <c r="H278" s="41">
        <v>10</v>
      </c>
    </row>
    <row r="279" spans="1:8" ht="16" x14ac:dyDescent="0.2">
      <c r="A279" s="41" t="s">
        <v>186</v>
      </c>
      <c r="B279" s="41" t="s">
        <v>4148</v>
      </c>
      <c r="C279" s="41" t="s">
        <v>3490</v>
      </c>
      <c r="D279" s="42">
        <v>40557</v>
      </c>
      <c r="E279" s="41">
        <v>5</v>
      </c>
      <c r="F279" s="41">
        <v>1</v>
      </c>
      <c r="G279" s="41" t="s">
        <v>4149</v>
      </c>
      <c r="H279" s="41">
        <v>5</v>
      </c>
    </row>
    <row r="280" spans="1:8" ht="16" x14ac:dyDescent="0.2">
      <c r="A280" s="41" t="s">
        <v>187</v>
      </c>
      <c r="B280" s="41" t="s">
        <v>4150</v>
      </c>
      <c r="C280" s="41" t="s">
        <v>3490</v>
      </c>
      <c r="D280" s="42">
        <v>39205</v>
      </c>
      <c r="E280" s="41">
        <v>5</v>
      </c>
      <c r="F280" s="41">
        <v>1</v>
      </c>
      <c r="G280" s="41" t="s">
        <v>4151</v>
      </c>
      <c r="H280" s="41">
        <v>5</v>
      </c>
    </row>
    <row r="281" spans="1:8" ht="16" x14ac:dyDescent="0.2">
      <c r="A281" s="41" t="s">
        <v>4152</v>
      </c>
      <c r="B281" s="41" t="s">
        <v>4153</v>
      </c>
      <c r="C281" s="41" t="s">
        <v>3510</v>
      </c>
      <c r="D281" s="42">
        <v>39450</v>
      </c>
      <c r="E281" s="41">
        <v>10</v>
      </c>
      <c r="F281" s="41">
        <v>1</v>
      </c>
      <c r="G281" s="41" t="s">
        <v>4154</v>
      </c>
      <c r="H281" s="41">
        <v>10</v>
      </c>
    </row>
    <row r="282" spans="1:8" ht="16" x14ac:dyDescent="0.2">
      <c r="A282" s="41" t="s">
        <v>188</v>
      </c>
      <c r="B282" s="41" t="s">
        <v>4155</v>
      </c>
      <c r="C282" s="41" t="s">
        <v>3490</v>
      </c>
      <c r="D282" s="42">
        <v>44487</v>
      </c>
      <c r="E282" s="41">
        <v>1</v>
      </c>
      <c r="F282" s="41">
        <v>1</v>
      </c>
      <c r="G282" s="41" t="s">
        <v>4156</v>
      </c>
      <c r="H282" s="41">
        <v>1</v>
      </c>
    </row>
    <row r="283" spans="1:8" ht="16" x14ac:dyDescent="0.2">
      <c r="A283" s="41" t="s">
        <v>189</v>
      </c>
      <c r="B283" s="41" t="s">
        <v>4157</v>
      </c>
      <c r="C283" s="41" t="s">
        <v>3490</v>
      </c>
      <c r="D283" s="42">
        <v>42431</v>
      </c>
      <c r="E283" s="41">
        <v>5</v>
      </c>
      <c r="F283" s="41">
        <v>1</v>
      </c>
      <c r="G283" s="41" t="s">
        <v>4158</v>
      </c>
      <c r="H283" s="41">
        <v>5</v>
      </c>
    </row>
    <row r="284" spans="1:8" ht="16" x14ac:dyDescent="0.2">
      <c r="A284" s="41" t="s">
        <v>4159</v>
      </c>
      <c r="B284" s="41" t="s">
        <v>4160</v>
      </c>
      <c r="C284" s="41" t="s">
        <v>3510</v>
      </c>
      <c r="D284" s="42">
        <v>42872</v>
      </c>
      <c r="E284" s="41">
        <v>2</v>
      </c>
      <c r="F284" s="41">
        <v>1</v>
      </c>
      <c r="G284" s="41" t="s">
        <v>4161</v>
      </c>
      <c r="H284" s="41">
        <v>2</v>
      </c>
    </row>
    <row r="285" spans="1:8" ht="16" x14ac:dyDescent="0.2">
      <c r="A285" s="41" t="s">
        <v>4162</v>
      </c>
      <c r="B285" s="41" t="s">
        <v>4163</v>
      </c>
      <c r="C285" s="41" t="s">
        <v>3490</v>
      </c>
      <c r="D285" s="42">
        <v>42765</v>
      </c>
      <c r="E285" s="41">
        <v>1</v>
      </c>
      <c r="F285" s="41">
        <v>1</v>
      </c>
      <c r="G285" s="41" t="s">
        <v>4164</v>
      </c>
      <c r="H285" s="41">
        <v>1</v>
      </c>
    </row>
    <row r="286" spans="1:8" ht="16" x14ac:dyDescent="0.2">
      <c r="A286" s="41" t="s">
        <v>190</v>
      </c>
      <c r="B286" s="41" t="s">
        <v>4165</v>
      </c>
      <c r="C286" s="41" t="s">
        <v>3490</v>
      </c>
      <c r="D286" s="42">
        <v>37715</v>
      </c>
      <c r="E286" s="41">
        <v>2</v>
      </c>
      <c r="F286" s="41">
        <v>1</v>
      </c>
      <c r="G286" s="41" t="s">
        <v>4166</v>
      </c>
      <c r="H286" s="41">
        <v>2</v>
      </c>
    </row>
    <row r="287" spans="1:8" ht="16" x14ac:dyDescent="0.2">
      <c r="A287" s="41" t="s">
        <v>4167</v>
      </c>
      <c r="B287" s="41" t="s">
        <v>4168</v>
      </c>
      <c r="C287" s="41" t="s">
        <v>3490</v>
      </c>
      <c r="D287" s="42">
        <v>35158</v>
      </c>
      <c r="E287" s="41">
        <v>10</v>
      </c>
      <c r="F287" s="41">
        <v>1</v>
      </c>
      <c r="G287" s="41" t="s">
        <v>4169</v>
      </c>
      <c r="H287" s="41">
        <v>10</v>
      </c>
    </row>
    <row r="288" spans="1:8" ht="16" x14ac:dyDescent="0.2">
      <c r="A288" s="41" t="s">
        <v>191</v>
      </c>
      <c r="B288" s="41" t="s">
        <v>4170</v>
      </c>
      <c r="C288" s="41" t="s">
        <v>3490</v>
      </c>
      <c r="D288" s="42">
        <v>34983</v>
      </c>
      <c r="E288" s="41">
        <v>10</v>
      </c>
      <c r="F288" s="41">
        <v>1</v>
      </c>
      <c r="G288" s="41" t="s">
        <v>4171</v>
      </c>
      <c r="H288" s="41">
        <v>10</v>
      </c>
    </row>
    <row r="289" spans="1:8" ht="16" x14ac:dyDescent="0.2">
      <c r="A289" s="41" t="s">
        <v>4172</v>
      </c>
      <c r="B289" s="41" t="s">
        <v>4173</v>
      </c>
      <c r="C289" s="41" t="s">
        <v>3490</v>
      </c>
      <c r="D289" s="42">
        <v>45740</v>
      </c>
      <c r="E289" s="41">
        <v>2</v>
      </c>
      <c r="F289" s="41">
        <v>1</v>
      </c>
      <c r="G289" s="41" t="s">
        <v>4174</v>
      </c>
      <c r="H289" s="41">
        <v>2</v>
      </c>
    </row>
    <row r="290" spans="1:8" ht="16" x14ac:dyDescent="0.2">
      <c r="A290" s="41" t="s">
        <v>192</v>
      </c>
      <c r="B290" s="41" t="s">
        <v>4175</v>
      </c>
      <c r="C290" s="41" t="s">
        <v>3490</v>
      </c>
      <c r="D290" s="42">
        <v>42461</v>
      </c>
      <c r="E290" s="41">
        <v>10</v>
      </c>
      <c r="F290" s="41">
        <v>1</v>
      </c>
      <c r="G290" s="41" t="s">
        <v>4176</v>
      </c>
      <c r="H290" s="41">
        <v>10</v>
      </c>
    </row>
    <row r="291" spans="1:8" ht="16" x14ac:dyDescent="0.2">
      <c r="A291" s="41" t="s">
        <v>193</v>
      </c>
      <c r="B291" s="41" t="s">
        <v>4177</v>
      </c>
      <c r="C291" s="41" t="s">
        <v>3490</v>
      </c>
      <c r="D291" s="42">
        <v>37302</v>
      </c>
      <c r="E291" s="41">
        <v>5</v>
      </c>
      <c r="F291" s="41">
        <v>1</v>
      </c>
      <c r="G291" s="41" t="s">
        <v>4178</v>
      </c>
      <c r="H291" s="41">
        <v>5</v>
      </c>
    </row>
    <row r="292" spans="1:8" ht="16" x14ac:dyDescent="0.2">
      <c r="A292" s="41" t="s">
        <v>194</v>
      </c>
      <c r="B292" s="41" t="s">
        <v>4179</v>
      </c>
      <c r="C292" s="41" t="s">
        <v>3490</v>
      </c>
      <c r="D292" s="42">
        <v>45394</v>
      </c>
      <c r="E292" s="41">
        <v>5</v>
      </c>
      <c r="F292" s="41">
        <v>1</v>
      </c>
      <c r="G292" s="41" t="s">
        <v>4180</v>
      </c>
      <c r="H292" s="41">
        <v>5</v>
      </c>
    </row>
    <row r="293" spans="1:8" ht="16" x14ac:dyDescent="0.2">
      <c r="A293" s="41" t="s">
        <v>195</v>
      </c>
      <c r="B293" s="41" t="s">
        <v>4181</v>
      </c>
      <c r="C293" s="41" t="s">
        <v>3490</v>
      </c>
      <c r="D293" s="42">
        <v>37936</v>
      </c>
      <c r="E293" s="41">
        <v>2</v>
      </c>
      <c r="F293" s="41">
        <v>1</v>
      </c>
      <c r="G293" s="41" t="s">
        <v>4182</v>
      </c>
      <c r="H293" s="41">
        <v>2</v>
      </c>
    </row>
    <row r="294" spans="1:8" ht="16" x14ac:dyDescent="0.2">
      <c r="A294" s="41" t="s">
        <v>196</v>
      </c>
      <c r="B294" s="41" t="s">
        <v>4183</v>
      </c>
      <c r="C294" s="41" t="s">
        <v>3490</v>
      </c>
      <c r="D294" s="42">
        <v>42615</v>
      </c>
      <c r="E294" s="41">
        <v>2</v>
      </c>
      <c r="F294" s="41">
        <v>1</v>
      </c>
      <c r="G294" s="41" t="s">
        <v>4184</v>
      </c>
      <c r="H294" s="41">
        <v>2</v>
      </c>
    </row>
    <row r="295" spans="1:8" ht="16" x14ac:dyDescent="0.2">
      <c r="A295" s="41" t="s">
        <v>197</v>
      </c>
      <c r="B295" s="41" t="s">
        <v>4185</v>
      </c>
      <c r="C295" s="41" t="s">
        <v>3490</v>
      </c>
      <c r="D295" s="42">
        <v>44881</v>
      </c>
      <c r="E295" s="41">
        <v>1</v>
      </c>
      <c r="F295" s="41">
        <v>1</v>
      </c>
      <c r="G295" s="41" t="s">
        <v>4186</v>
      </c>
      <c r="H295" s="41">
        <v>1</v>
      </c>
    </row>
    <row r="296" spans="1:8" ht="16" x14ac:dyDescent="0.2">
      <c r="A296" s="41" t="s">
        <v>198</v>
      </c>
      <c r="B296" s="41" t="s">
        <v>4187</v>
      </c>
      <c r="C296" s="41" t="s">
        <v>3490</v>
      </c>
      <c r="D296" s="42">
        <v>36628</v>
      </c>
      <c r="E296" s="41">
        <v>10</v>
      </c>
      <c r="F296" s="41">
        <v>1</v>
      </c>
      <c r="G296" s="41" t="s">
        <v>4188</v>
      </c>
      <c r="H296" s="41">
        <v>10</v>
      </c>
    </row>
    <row r="297" spans="1:8" ht="16" x14ac:dyDescent="0.2">
      <c r="A297" s="41" t="s">
        <v>4189</v>
      </c>
      <c r="B297" s="41" t="s">
        <v>4190</v>
      </c>
      <c r="C297" s="41" t="s">
        <v>3510</v>
      </c>
      <c r="D297" s="42">
        <v>38987</v>
      </c>
      <c r="E297" s="41">
        <v>10</v>
      </c>
      <c r="F297" s="41">
        <v>1</v>
      </c>
      <c r="G297" s="41" t="s">
        <v>4191</v>
      </c>
      <c r="H297" s="41">
        <v>10</v>
      </c>
    </row>
    <row r="298" spans="1:8" ht="16" x14ac:dyDescent="0.2">
      <c r="A298" s="41" t="s">
        <v>199</v>
      </c>
      <c r="B298" s="41" t="s">
        <v>4192</v>
      </c>
      <c r="C298" s="41" t="s">
        <v>3490</v>
      </c>
      <c r="D298" s="42">
        <v>38084</v>
      </c>
      <c r="E298" s="41">
        <v>5</v>
      </c>
      <c r="F298" s="41">
        <v>1</v>
      </c>
      <c r="G298" s="41" t="s">
        <v>4193</v>
      </c>
      <c r="H298" s="41">
        <v>5</v>
      </c>
    </row>
    <row r="299" spans="1:8" ht="16" x14ac:dyDescent="0.2">
      <c r="A299" s="41" t="s">
        <v>4194</v>
      </c>
      <c r="B299" s="41" t="s">
        <v>4195</v>
      </c>
      <c r="C299" s="41" t="s">
        <v>3510</v>
      </c>
      <c r="D299" s="42">
        <v>35228</v>
      </c>
      <c r="E299" s="41">
        <v>10</v>
      </c>
      <c r="F299" s="41">
        <v>1</v>
      </c>
      <c r="G299" s="41" t="s">
        <v>4196</v>
      </c>
      <c r="H299" s="41">
        <v>10</v>
      </c>
    </row>
    <row r="300" spans="1:8" ht="16" x14ac:dyDescent="0.2">
      <c r="A300" s="41" t="s">
        <v>201</v>
      </c>
      <c r="B300" s="41" t="s">
        <v>4197</v>
      </c>
      <c r="C300" s="41" t="s">
        <v>3510</v>
      </c>
      <c r="D300" s="42">
        <v>35039</v>
      </c>
      <c r="E300" s="41">
        <v>10</v>
      </c>
      <c r="F300" s="41">
        <v>1</v>
      </c>
      <c r="G300" s="41" t="s">
        <v>4198</v>
      </c>
      <c r="H300" s="41">
        <v>10</v>
      </c>
    </row>
    <row r="301" spans="1:8" ht="16" x14ac:dyDescent="0.2">
      <c r="A301" s="41" t="s">
        <v>202</v>
      </c>
      <c r="B301" s="41" t="s">
        <v>4199</v>
      </c>
      <c r="C301" s="41" t="s">
        <v>3490</v>
      </c>
      <c r="D301" s="42">
        <v>34801</v>
      </c>
      <c r="E301" s="41">
        <v>10</v>
      </c>
      <c r="F301" s="41">
        <v>1</v>
      </c>
      <c r="G301" s="41" t="s">
        <v>4200</v>
      </c>
      <c r="H301" s="41">
        <v>10</v>
      </c>
    </row>
    <row r="302" spans="1:8" ht="16" x14ac:dyDescent="0.2">
      <c r="A302" s="41" t="s">
        <v>203</v>
      </c>
      <c r="B302" s="41" t="s">
        <v>4201</v>
      </c>
      <c r="C302" s="41" t="s">
        <v>3490</v>
      </c>
      <c r="D302" s="42">
        <v>39485</v>
      </c>
      <c r="E302" s="41">
        <v>1</v>
      </c>
      <c r="F302" s="41">
        <v>1</v>
      </c>
      <c r="G302" s="41" t="s">
        <v>4202</v>
      </c>
      <c r="H302" s="41">
        <v>1</v>
      </c>
    </row>
    <row r="303" spans="1:8" ht="16" x14ac:dyDescent="0.2">
      <c r="A303" s="41" t="s">
        <v>4203</v>
      </c>
      <c r="B303" s="41" t="s">
        <v>4204</v>
      </c>
      <c r="C303" s="41" t="s">
        <v>3490</v>
      </c>
      <c r="D303" s="42">
        <v>34815</v>
      </c>
      <c r="E303" s="41">
        <v>10</v>
      </c>
      <c r="F303" s="41">
        <v>1</v>
      </c>
      <c r="G303" s="41" t="s">
        <v>4205</v>
      </c>
      <c r="H303" s="41">
        <v>10</v>
      </c>
    </row>
    <row r="304" spans="1:8" ht="16" x14ac:dyDescent="0.2">
      <c r="A304" s="41" t="s">
        <v>4206</v>
      </c>
      <c r="B304" s="41" t="s">
        <v>4207</v>
      </c>
      <c r="C304" s="41" t="s">
        <v>3490</v>
      </c>
      <c r="D304" s="42">
        <v>45618</v>
      </c>
      <c r="E304" s="41">
        <v>1</v>
      </c>
      <c r="F304" s="41">
        <v>1</v>
      </c>
      <c r="G304" s="41" t="s">
        <v>4208</v>
      </c>
      <c r="H304" s="41">
        <v>1</v>
      </c>
    </row>
    <row r="305" spans="1:8" ht="16" x14ac:dyDescent="0.2">
      <c r="A305" s="41" t="s">
        <v>204</v>
      </c>
      <c r="B305" s="41" t="s">
        <v>4209</v>
      </c>
      <c r="C305" s="41" t="s">
        <v>3490</v>
      </c>
      <c r="D305" s="42">
        <v>45035</v>
      </c>
      <c r="E305" s="41">
        <v>10</v>
      </c>
      <c r="F305" s="41">
        <v>1</v>
      </c>
      <c r="G305" s="41" t="s">
        <v>4210</v>
      </c>
      <c r="H305" s="41">
        <v>10</v>
      </c>
    </row>
    <row r="306" spans="1:8" ht="16" x14ac:dyDescent="0.2">
      <c r="A306" s="41" t="s">
        <v>4211</v>
      </c>
      <c r="B306" s="41" t="s">
        <v>4212</v>
      </c>
      <c r="C306" s="41" t="s">
        <v>3490</v>
      </c>
      <c r="D306" s="42">
        <v>36677</v>
      </c>
      <c r="E306" s="41">
        <v>1</v>
      </c>
      <c r="F306" s="41">
        <v>1</v>
      </c>
      <c r="G306" s="41" t="s">
        <v>4213</v>
      </c>
      <c r="H306" s="41">
        <v>1</v>
      </c>
    </row>
    <row r="307" spans="1:8" ht="16" x14ac:dyDescent="0.2">
      <c r="A307" s="41" t="s">
        <v>205</v>
      </c>
      <c r="B307" s="41" t="s">
        <v>4214</v>
      </c>
      <c r="C307" s="41" t="s">
        <v>3490</v>
      </c>
      <c r="D307" s="42">
        <v>40385</v>
      </c>
      <c r="E307" s="41">
        <v>1</v>
      </c>
      <c r="F307" s="41">
        <v>1</v>
      </c>
      <c r="G307" s="41" t="s">
        <v>4215</v>
      </c>
      <c r="H307" s="41">
        <v>1</v>
      </c>
    </row>
    <row r="308" spans="1:8" ht="16" x14ac:dyDescent="0.2">
      <c r="A308" s="41" t="s">
        <v>206</v>
      </c>
      <c r="B308" s="41" t="s">
        <v>4216</v>
      </c>
      <c r="C308" s="41" t="s">
        <v>3490</v>
      </c>
      <c r="D308" s="42">
        <v>38793</v>
      </c>
      <c r="E308" s="41">
        <v>1</v>
      </c>
      <c r="F308" s="41">
        <v>1</v>
      </c>
      <c r="G308" s="41" t="s">
        <v>4217</v>
      </c>
      <c r="H308" s="41">
        <v>1</v>
      </c>
    </row>
    <row r="309" spans="1:8" ht="16" x14ac:dyDescent="0.2">
      <c r="A309" s="41" t="s">
        <v>207</v>
      </c>
      <c r="B309" s="41" t="s">
        <v>4218</v>
      </c>
      <c r="C309" s="41" t="s">
        <v>3490</v>
      </c>
      <c r="D309" s="42">
        <v>42535</v>
      </c>
      <c r="E309" s="41">
        <v>1</v>
      </c>
      <c r="F309" s="41">
        <v>1</v>
      </c>
      <c r="G309" s="41" t="s">
        <v>4219</v>
      </c>
      <c r="H309" s="41">
        <v>1</v>
      </c>
    </row>
    <row r="310" spans="1:8" ht="16" x14ac:dyDescent="0.2">
      <c r="A310" s="41" t="s">
        <v>208</v>
      </c>
      <c r="B310" s="41" t="s">
        <v>4220</v>
      </c>
      <c r="C310" s="41" t="s">
        <v>3510</v>
      </c>
      <c r="D310" s="42">
        <v>45328</v>
      </c>
      <c r="E310" s="41">
        <v>10</v>
      </c>
      <c r="F310" s="41">
        <v>1</v>
      </c>
      <c r="G310" s="41" t="s">
        <v>4221</v>
      </c>
      <c r="H310" s="41">
        <v>10</v>
      </c>
    </row>
    <row r="311" spans="1:8" ht="16" x14ac:dyDescent="0.2">
      <c r="A311" s="41" t="s">
        <v>4222</v>
      </c>
      <c r="B311" s="41" t="s">
        <v>4223</v>
      </c>
      <c r="C311" s="41" t="s">
        <v>3510</v>
      </c>
      <c r="D311" s="42">
        <v>36572</v>
      </c>
      <c r="E311" s="41">
        <v>10</v>
      </c>
      <c r="F311" s="41">
        <v>1</v>
      </c>
      <c r="G311" s="41" t="s">
        <v>4224</v>
      </c>
      <c r="H311" s="41">
        <v>10</v>
      </c>
    </row>
    <row r="312" spans="1:8" ht="16" x14ac:dyDescent="0.2">
      <c r="A312" s="41" t="s">
        <v>209</v>
      </c>
      <c r="B312" s="41" t="s">
        <v>4225</v>
      </c>
      <c r="C312" s="41" t="s">
        <v>3490</v>
      </c>
      <c r="D312" s="42">
        <v>37602</v>
      </c>
      <c r="E312" s="41">
        <v>10</v>
      </c>
      <c r="F312" s="41">
        <v>1</v>
      </c>
      <c r="G312" s="41" t="s">
        <v>4226</v>
      </c>
      <c r="H312" s="41">
        <v>10</v>
      </c>
    </row>
    <row r="313" spans="1:8" ht="16" x14ac:dyDescent="0.2">
      <c r="A313" s="41" t="s">
        <v>210</v>
      </c>
      <c r="B313" s="41" t="s">
        <v>4227</v>
      </c>
      <c r="C313" s="41" t="s">
        <v>3490</v>
      </c>
      <c r="D313" s="42">
        <v>45231</v>
      </c>
      <c r="E313" s="41">
        <v>2</v>
      </c>
      <c r="F313" s="41">
        <v>1</v>
      </c>
      <c r="G313" s="41" t="s">
        <v>4228</v>
      </c>
      <c r="H313" s="41">
        <v>2</v>
      </c>
    </row>
    <row r="314" spans="1:8" ht="16" x14ac:dyDescent="0.2">
      <c r="A314" s="41" t="s">
        <v>211</v>
      </c>
      <c r="B314" s="41" t="s">
        <v>4229</v>
      </c>
      <c r="C314" s="41" t="s">
        <v>3490</v>
      </c>
      <c r="D314" s="42">
        <v>36692</v>
      </c>
      <c r="E314" s="41">
        <v>2</v>
      </c>
      <c r="F314" s="41">
        <v>1</v>
      </c>
      <c r="G314" s="41" t="s">
        <v>4230</v>
      </c>
      <c r="H314" s="41">
        <v>2</v>
      </c>
    </row>
    <row r="315" spans="1:8" ht="16" x14ac:dyDescent="0.2">
      <c r="A315" s="41" t="s">
        <v>4231</v>
      </c>
      <c r="B315" s="41" t="s">
        <v>4232</v>
      </c>
      <c r="C315" s="41" t="s">
        <v>3490</v>
      </c>
      <c r="D315" s="42">
        <v>45888</v>
      </c>
      <c r="E315" s="41">
        <v>1</v>
      </c>
      <c r="F315" s="41">
        <v>1</v>
      </c>
      <c r="G315" s="41" t="s">
        <v>4233</v>
      </c>
      <c r="H315" s="41">
        <v>1</v>
      </c>
    </row>
    <row r="316" spans="1:8" ht="16" x14ac:dyDescent="0.2">
      <c r="A316" s="41" t="s">
        <v>4234</v>
      </c>
      <c r="B316" s="41" t="s">
        <v>4235</v>
      </c>
      <c r="C316" s="41" t="s">
        <v>3490</v>
      </c>
      <c r="D316" s="42">
        <v>45819</v>
      </c>
      <c r="E316" s="41">
        <v>10</v>
      </c>
      <c r="F316" s="41">
        <v>1</v>
      </c>
      <c r="G316" s="41" t="s">
        <v>4236</v>
      </c>
      <c r="H316" s="41">
        <v>10</v>
      </c>
    </row>
    <row r="317" spans="1:8" ht="16" x14ac:dyDescent="0.2">
      <c r="A317" s="41" t="s">
        <v>212</v>
      </c>
      <c r="B317" s="41" t="s">
        <v>4237</v>
      </c>
      <c r="C317" s="41" t="s">
        <v>3490</v>
      </c>
      <c r="D317" s="42">
        <v>40777</v>
      </c>
      <c r="E317" s="41">
        <v>2</v>
      </c>
      <c r="F317" s="41">
        <v>1</v>
      </c>
      <c r="G317" s="41" t="s">
        <v>4238</v>
      </c>
      <c r="H317" s="41">
        <v>2</v>
      </c>
    </row>
    <row r="318" spans="1:8" ht="16" x14ac:dyDescent="0.2">
      <c r="A318" s="41" t="s">
        <v>4239</v>
      </c>
      <c r="B318" s="41" t="s">
        <v>4240</v>
      </c>
      <c r="C318" s="41" t="s">
        <v>3490</v>
      </c>
      <c r="D318" s="42">
        <v>44861</v>
      </c>
      <c r="E318" s="41">
        <v>10</v>
      </c>
      <c r="F318" s="41">
        <v>1</v>
      </c>
      <c r="G318" s="41" t="s">
        <v>4241</v>
      </c>
      <c r="H318" s="41">
        <v>10</v>
      </c>
    </row>
    <row r="319" spans="1:8" ht="16" x14ac:dyDescent="0.2">
      <c r="A319" s="41" t="s">
        <v>213</v>
      </c>
      <c r="B319" s="41" t="s">
        <v>4242</v>
      </c>
      <c r="C319" s="41" t="s">
        <v>3490</v>
      </c>
      <c r="D319" s="42">
        <v>34815</v>
      </c>
      <c r="E319" s="41">
        <v>2</v>
      </c>
      <c r="F319" s="41">
        <v>1</v>
      </c>
      <c r="G319" s="41" t="s">
        <v>4243</v>
      </c>
      <c r="H319" s="41">
        <v>2</v>
      </c>
    </row>
    <row r="320" spans="1:8" ht="16" x14ac:dyDescent="0.2">
      <c r="A320" s="41" t="s">
        <v>4244</v>
      </c>
      <c r="B320" s="41" t="s">
        <v>4245</v>
      </c>
      <c r="C320" s="41" t="s">
        <v>3490</v>
      </c>
      <c r="D320" s="42">
        <v>45804</v>
      </c>
      <c r="E320" s="41">
        <v>10</v>
      </c>
      <c r="F320" s="41">
        <v>1</v>
      </c>
      <c r="G320" s="41" t="s">
        <v>4246</v>
      </c>
      <c r="H320" s="41">
        <v>10</v>
      </c>
    </row>
    <row r="321" spans="1:8" ht="16" x14ac:dyDescent="0.2">
      <c r="A321" s="41" t="s">
        <v>214</v>
      </c>
      <c r="B321" s="41" t="s">
        <v>4247</v>
      </c>
      <c r="C321" s="41" t="s">
        <v>3490</v>
      </c>
      <c r="D321" s="42">
        <v>44034</v>
      </c>
      <c r="E321" s="41">
        <v>1</v>
      </c>
      <c r="F321" s="41">
        <v>1</v>
      </c>
      <c r="G321" s="41" t="s">
        <v>4248</v>
      </c>
      <c r="H321" s="41">
        <v>1</v>
      </c>
    </row>
    <row r="322" spans="1:8" ht="16" x14ac:dyDescent="0.2">
      <c r="A322" s="41" t="s">
        <v>215</v>
      </c>
      <c r="B322" s="41" t="s">
        <v>4249</v>
      </c>
      <c r="C322" s="41" t="s">
        <v>3490</v>
      </c>
      <c r="D322" s="42">
        <v>43245</v>
      </c>
      <c r="E322" s="41">
        <v>1</v>
      </c>
      <c r="F322" s="41">
        <v>1</v>
      </c>
      <c r="G322" s="41" t="s">
        <v>4250</v>
      </c>
      <c r="H322" s="41">
        <v>1</v>
      </c>
    </row>
    <row r="323" spans="1:8" ht="16" x14ac:dyDescent="0.2">
      <c r="A323" s="41" t="s">
        <v>216</v>
      </c>
      <c r="B323" s="41" t="s">
        <v>4251</v>
      </c>
      <c r="C323" s="41" t="s">
        <v>3490</v>
      </c>
      <c r="D323" s="42">
        <v>45450</v>
      </c>
      <c r="E323" s="41">
        <v>1</v>
      </c>
      <c r="F323" s="41">
        <v>1</v>
      </c>
      <c r="G323" s="41" t="s">
        <v>4252</v>
      </c>
      <c r="H323" s="41">
        <v>1</v>
      </c>
    </row>
    <row r="324" spans="1:8" ht="16" x14ac:dyDescent="0.2">
      <c r="A324" s="41" t="s">
        <v>217</v>
      </c>
      <c r="B324" s="41" t="s">
        <v>4253</v>
      </c>
      <c r="C324" s="41" t="s">
        <v>3490</v>
      </c>
      <c r="D324" s="42">
        <v>37753</v>
      </c>
      <c r="E324" s="41">
        <v>10</v>
      </c>
      <c r="F324" s="41">
        <v>1</v>
      </c>
      <c r="G324" s="41" t="s">
        <v>4254</v>
      </c>
      <c r="H324" s="41">
        <v>10</v>
      </c>
    </row>
    <row r="325" spans="1:8" ht="16" x14ac:dyDescent="0.2">
      <c r="A325" s="41" t="s">
        <v>218</v>
      </c>
      <c r="B325" s="41" t="s">
        <v>4255</v>
      </c>
      <c r="C325" s="41" t="s">
        <v>3490</v>
      </c>
      <c r="D325" s="42">
        <v>34955</v>
      </c>
      <c r="E325" s="41">
        <v>10</v>
      </c>
      <c r="F325" s="41">
        <v>1</v>
      </c>
      <c r="G325" s="41" t="s">
        <v>4256</v>
      </c>
      <c r="H325" s="41">
        <v>10</v>
      </c>
    </row>
    <row r="326" spans="1:8" ht="16" x14ac:dyDescent="0.2">
      <c r="A326" s="41" t="s">
        <v>219</v>
      </c>
      <c r="B326" s="41" t="s">
        <v>4257</v>
      </c>
      <c r="C326" s="41" t="s">
        <v>3490</v>
      </c>
      <c r="D326" s="42">
        <v>34864</v>
      </c>
      <c r="E326" s="41">
        <v>10</v>
      </c>
      <c r="F326" s="41">
        <v>1</v>
      </c>
      <c r="G326" s="41" t="s">
        <v>4258</v>
      </c>
      <c r="H326" s="41">
        <v>10</v>
      </c>
    </row>
    <row r="327" spans="1:8" ht="16" x14ac:dyDescent="0.2">
      <c r="A327" s="41" t="s">
        <v>220</v>
      </c>
      <c r="B327" s="41" t="s">
        <v>4259</v>
      </c>
      <c r="C327" s="41" t="s">
        <v>3490</v>
      </c>
      <c r="D327" s="42">
        <v>39447</v>
      </c>
      <c r="E327" s="41">
        <v>10</v>
      </c>
      <c r="F327" s="41">
        <v>1</v>
      </c>
      <c r="G327" s="41" t="s">
        <v>4260</v>
      </c>
      <c r="H327" s="41">
        <v>10</v>
      </c>
    </row>
    <row r="328" spans="1:8" ht="16" x14ac:dyDescent="0.2">
      <c r="A328" s="41" t="s">
        <v>4261</v>
      </c>
      <c r="B328" s="41" t="s">
        <v>4262</v>
      </c>
      <c r="C328" s="41" t="s">
        <v>3490</v>
      </c>
      <c r="D328" s="42">
        <v>45869</v>
      </c>
      <c r="E328" s="41">
        <v>10</v>
      </c>
      <c r="F328" s="41">
        <v>1</v>
      </c>
      <c r="G328" s="41" t="s">
        <v>4263</v>
      </c>
      <c r="H328" s="41">
        <v>10</v>
      </c>
    </row>
    <row r="329" spans="1:8" ht="16" x14ac:dyDescent="0.2">
      <c r="A329" s="41" t="s">
        <v>221</v>
      </c>
      <c r="B329" s="41" t="s">
        <v>4264</v>
      </c>
      <c r="C329" s="41" t="s">
        <v>3490</v>
      </c>
      <c r="D329" s="42">
        <v>36104</v>
      </c>
      <c r="E329" s="41">
        <v>1</v>
      </c>
      <c r="F329" s="41">
        <v>1</v>
      </c>
      <c r="G329" s="41" t="s">
        <v>4265</v>
      </c>
      <c r="H329" s="41">
        <v>1</v>
      </c>
    </row>
    <row r="330" spans="1:8" ht="16" x14ac:dyDescent="0.2">
      <c r="A330" s="41" t="s">
        <v>4266</v>
      </c>
      <c r="B330" s="41" t="s">
        <v>4267</v>
      </c>
      <c r="C330" s="41" t="s">
        <v>3490</v>
      </c>
      <c r="D330" s="42">
        <v>42996</v>
      </c>
      <c r="E330" s="41">
        <v>10</v>
      </c>
      <c r="F330" s="41">
        <v>1</v>
      </c>
      <c r="G330" s="41" t="s">
        <v>4268</v>
      </c>
      <c r="H330" s="41">
        <v>10</v>
      </c>
    </row>
    <row r="331" spans="1:8" ht="16" x14ac:dyDescent="0.2">
      <c r="A331" s="41" t="s">
        <v>4269</v>
      </c>
      <c r="B331" s="41" t="s">
        <v>4270</v>
      </c>
      <c r="C331" s="41" t="s">
        <v>3510</v>
      </c>
      <c r="D331" s="42">
        <v>40791</v>
      </c>
      <c r="E331" s="41">
        <v>10</v>
      </c>
      <c r="F331" s="41">
        <v>1</v>
      </c>
      <c r="G331" s="41" t="s">
        <v>4271</v>
      </c>
      <c r="H331" s="41">
        <v>10</v>
      </c>
    </row>
    <row r="332" spans="1:8" ht="16" x14ac:dyDescent="0.2">
      <c r="A332" s="41" t="s">
        <v>222</v>
      </c>
      <c r="B332" s="41" t="s">
        <v>4272</v>
      </c>
      <c r="C332" s="41" t="s">
        <v>3490</v>
      </c>
      <c r="D332" s="42">
        <v>42769</v>
      </c>
      <c r="E332" s="41">
        <v>2</v>
      </c>
      <c r="F332" s="41">
        <v>1</v>
      </c>
      <c r="G332" s="41" t="s">
        <v>4273</v>
      </c>
      <c r="H332" s="41">
        <v>2</v>
      </c>
    </row>
    <row r="333" spans="1:8" ht="16" x14ac:dyDescent="0.2">
      <c r="A333" s="41" t="s">
        <v>223</v>
      </c>
      <c r="B333" s="41" t="s">
        <v>4274</v>
      </c>
      <c r="C333" s="41" t="s">
        <v>3490</v>
      </c>
      <c r="D333" s="42">
        <v>44132</v>
      </c>
      <c r="E333" s="41">
        <v>1</v>
      </c>
      <c r="F333" s="41">
        <v>1</v>
      </c>
      <c r="G333" s="41" t="s">
        <v>4275</v>
      </c>
      <c r="H333" s="41">
        <v>1</v>
      </c>
    </row>
    <row r="334" spans="1:8" ht="16" x14ac:dyDescent="0.2">
      <c r="A334" s="41" t="s">
        <v>4276</v>
      </c>
      <c r="B334" s="41" t="s">
        <v>4277</v>
      </c>
      <c r="C334" s="41" t="s">
        <v>3490</v>
      </c>
      <c r="D334" s="42">
        <v>34907</v>
      </c>
      <c r="E334" s="41">
        <v>10</v>
      </c>
      <c r="F334" s="41">
        <v>1</v>
      </c>
      <c r="G334" s="41" t="s">
        <v>4278</v>
      </c>
      <c r="H334" s="41">
        <v>10</v>
      </c>
    </row>
    <row r="335" spans="1:8" ht="16" x14ac:dyDescent="0.2">
      <c r="A335" s="41" t="s">
        <v>224</v>
      </c>
      <c r="B335" s="41" t="s">
        <v>4279</v>
      </c>
      <c r="C335" s="41" t="s">
        <v>3490</v>
      </c>
      <c r="D335" s="42">
        <v>36488</v>
      </c>
      <c r="E335" s="41">
        <v>2</v>
      </c>
      <c r="F335" s="41">
        <v>1</v>
      </c>
      <c r="G335" s="41" t="s">
        <v>4280</v>
      </c>
      <c r="H335" s="41">
        <v>2</v>
      </c>
    </row>
    <row r="336" spans="1:8" ht="16" x14ac:dyDescent="0.2">
      <c r="A336" s="41" t="s">
        <v>4281</v>
      </c>
      <c r="B336" s="41" t="s">
        <v>4282</v>
      </c>
      <c r="C336" s="41" t="s">
        <v>3490</v>
      </c>
      <c r="D336" s="42">
        <v>44972</v>
      </c>
      <c r="E336" s="41">
        <v>1</v>
      </c>
      <c r="F336" s="41">
        <v>1</v>
      </c>
      <c r="G336" s="41" t="s">
        <v>4283</v>
      </c>
      <c r="H336" s="41">
        <v>1</v>
      </c>
    </row>
    <row r="337" spans="1:8" ht="16" x14ac:dyDescent="0.2">
      <c r="A337" s="41" t="s">
        <v>225</v>
      </c>
      <c r="B337" s="41" t="s">
        <v>4284</v>
      </c>
      <c r="C337" s="41" t="s">
        <v>3490</v>
      </c>
      <c r="D337" s="42">
        <v>41757</v>
      </c>
      <c r="E337" s="41">
        <v>10</v>
      </c>
      <c r="F337" s="41">
        <v>1</v>
      </c>
      <c r="G337" s="41" t="s">
        <v>4285</v>
      </c>
      <c r="H337" s="41">
        <v>10</v>
      </c>
    </row>
    <row r="338" spans="1:8" ht="16" x14ac:dyDescent="0.2">
      <c r="A338" s="41" t="s">
        <v>4286</v>
      </c>
      <c r="B338" s="41" t="s">
        <v>4287</v>
      </c>
      <c r="C338" s="41" t="s">
        <v>3490</v>
      </c>
      <c r="D338" s="42">
        <v>39409</v>
      </c>
      <c r="E338" s="41">
        <v>10</v>
      </c>
      <c r="F338" s="41">
        <v>1</v>
      </c>
      <c r="G338" s="41" t="s">
        <v>4288</v>
      </c>
      <c r="H338" s="41">
        <v>10</v>
      </c>
    </row>
    <row r="339" spans="1:8" ht="16" x14ac:dyDescent="0.2">
      <c r="A339" s="41" t="s">
        <v>4289</v>
      </c>
      <c r="B339" s="41" t="s">
        <v>4290</v>
      </c>
      <c r="C339" s="41" t="s">
        <v>3510</v>
      </c>
      <c r="D339" s="42">
        <v>42109</v>
      </c>
      <c r="E339" s="41">
        <v>10</v>
      </c>
      <c r="F339" s="41">
        <v>1</v>
      </c>
      <c r="G339" s="41" t="s">
        <v>4291</v>
      </c>
      <c r="H339" s="41">
        <v>10</v>
      </c>
    </row>
    <row r="340" spans="1:8" ht="16" x14ac:dyDescent="0.2">
      <c r="A340" s="41" t="s">
        <v>4292</v>
      </c>
      <c r="B340" s="41" t="s">
        <v>4293</v>
      </c>
      <c r="C340" s="41" t="s">
        <v>3510</v>
      </c>
      <c r="D340" s="42">
        <v>36705</v>
      </c>
      <c r="E340" s="41">
        <v>10</v>
      </c>
      <c r="F340" s="41">
        <v>1</v>
      </c>
      <c r="G340" s="41" t="s">
        <v>4294</v>
      </c>
      <c r="H340" s="41">
        <v>10</v>
      </c>
    </row>
    <row r="341" spans="1:8" ht="16" x14ac:dyDescent="0.2">
      <c r="A341" s="41" t="s">
        <v>226</v>
      </c>
      <c r="B341" s="41" t="s">
        <v>4295</v>
      </c>
      <c r="C341" s="41" t="s">
        <v>3510</v>
      </c>
      <c r="D341" s="42">
        <v>42024</v>
      </c>
      <c r="E341" s="41">
        <v>1</v>
      </c>
      <c r="F341" s="41">
        <v>1</v>
      </c>
      <c r="G341" s="41" t="s">
        <v>4296</v>
      </c>
      <c r="H341" s="41">
        <v>1</v>
      </c>
    </row>
    <row r="342" spans="1:8" ht="16" x14ac:dyDescent="0.2">
      <c r="A342" s="41" t="s">
        <v>227</v>
      </c>
      <c r="B342" s="41" t="s">
        <v>4297</v>
      </c>
      <c r="C342" s="41" t="s">
        <v>3490</v>
      </c>
      <c r="D342" s="42">
        <v>44690</v>
      </c>
      <c r="E342" s="41">
        <v>5</v>
      </c>
      <c r="F342" s="41">
        <v>1</v>
      </c>
      <c r="G342" s="41" t="s">
        <v>4298</v>
      </c>
      <c r="H342" s="41">
        <v>5</v>
      </c>
    </row>
    <row r="343" spans="1:8" ht="16" x14ac:dyDescent="0.2">
      <c r="A343" s="41" t="s">
        <v>228</v>
      </c>
      <c r="B343" s="41" t="s">
        <v>4299</v>
      </c>
      <c r="C343" s="41" t="s">
        <v>3490</v>
      </c>
      <c r="D343" s="42">
        <v>44323</v>
      </c>
      <c r="E343" s="41">
        <v>10</v>
      </c>
      <c r="F343" s="41">
        <v>1</v>
      </c>
      <c r="G343" s="41" t="s">
        <v>4300</v>
      </c>
      <c r="H343" s="41">
        <v>10</v>
      </c>
    </row>
    <row r="344" spans="1:8" ht="16" x14ac:dyDescent="0.2">
      <c r="A344" s="41" t="s">
        <v>229</v>
      </c>
      <c r="B344" s="41" t="s">
        <v>4301</v>
      </c>
      <c r="C344" s="41" t="s">
        <v>3490</v>
      </c>
      <c r="D344" s="42">
        <v>37613</v>
      </c>
      <c r="E344" s="41">
        <v>2</v>
      </c>
      <c r="F344" s="41">
        <v>1</v>
      </c>
      <c r="G344" s="41" t="s">
        <v>4302</v>
      </c>
      <c r="H344" s="41">
        <v>2</v>
      </c>
    </row>
    <row r="345" spans="1:8" ht="16" x14ac:dyDescent="0.2">
      <c r="A345" s="41" t="s">
        <v>230</v>
      </c>
      <c r="B345" s="41" t="s">
        <v>4303</v>
      </c>
      <c r="C345" s="41" t="s">
        <v>3490</v>
      </c>
      <c r="D345" s="42">
        <v>34829</v>
      </c>
      <c r="E345" s="41">
        <v>2</v>
      </c>
      <c r="F345" s="41">
        <v>1</v>
      </c>
      <c r="G345" s="41" t="s">
        <v>4304</v>
      </c>
      <c r="H345" s="41">
        <v>2</v>
      </c>
    </row>
    <row r="346" spans="1:8" ht="16" x14ac:dyDescent="0.2">
      <c r="A346" s="41" t="s">
        <v>231</v>
      </c>
      <c r="B346" s="41" t="s">
        <v>4305</v>
      </c>
      <c r="C346" s="41" t="s">
        <v>3490</v>
      </c>
      <c r="D346" s="42">
        <v>40463</v>
      </c>
      <c r="E346" s="41">
        <v>2</v>
      </c>
      <c r="F346" s="41">
        <v>1</v>
      </c>
      <c r="G346" s="41" t="s">
        <v>4306</v>
      </c>
      <c r="H346" s="41">
        <v>2</v>
      </c>
    </row>
    <row r="347" spans="1:8" ht="16" x14ac:dyDescent="0.2">
      <c r="A347" s="41" t="s">
        <v>232</v>
      </c>
      <c r="B347" s="41" t="s">
        <v>4307</v>
      </c>
      <c r="C347" s="41" t="s">
        <v>3490</v>
      </c>
      <c r="D347" s="42">
        <v>43003</v>
      </c>
      <c r="E347" s="41">
        <v>10</v>
      </c>
      <c r="F347" s="41">
        <v>1</v>
      </c>
      <c r="G347" s="41" t="s">
        <v>4308</v>
      </c>
      <c r="H347" s="41">
        <v>10</v>
      </c>
    </row>
    <row r="348" spans="1:8" ht="16" x14ac:dyDescent="0.2">
      <c r="A348" s="41" t="s">
        <v>233</v>
      </c>
      <c r="B348" s="41" t="s">
        <v>4309</v>
      </c>
      <c r="C348" s="41" t="s">
        <v>3490</v>
      </c>
      <c r="D348" s="42">
        <v>45336</v>
      </c>
      <c r="E348" s="41">
        <v>10</v>
      </c>
      <c r="F348" s="41">
        <v>1</v>
      </c>
      <c r="G348" s="41" t="s">
        <v>4310</v>
      </c>
      <c r="H348" s="41">
        <v>10</v>
      </c>
    </row>
    <row r="349" spans="1:8" ht="16" x14ac:dyDescent="0.2">
      <c r="A349" s="41" t="s">
        <v>234</v>
      </c>
      <c r="B349" s="41" t="s">
        <v>4311</v>
      </c>
      <c r="C349" s="41" t="s">
        <v>3490</v>
      </c>
      <c r="D349" s="42">
        <v>41813</v>
      </c>
      <c r="E349" s="41">
        <v>2</v>
      </c>
      <c r="F349" s="41">
        <v>1</v>
      </c>
      <c r="G349" s="41" t="s">
        <v>4312</v>
      </c>
      <c r="H349" s="41">
        <v>2</v>
      </c>
    </row>
    <row r="350" spans="1:8" ht="16" x14ac:dyDescent="0.2">
      <c r="A350" s="41" t="s">
        <v>4313</v>
      </c>
      <c r="B350" s="41" t="s">
        <v>4314</v>
      </c>
      <c r="C350" s="41" t="s">
        <v>3510</v>
      </c>
      <c r="D350" s="42">
        <v>42751</v>
      </c>
      <c r="E350" s="41">
        <v>10</v>
      </c>
      <c r="F350" s="41">
        <v>1</v>
      </c>
      <c r="G350" s="41" t="s">
        <v>4315</v>
      </c>
      <c r="H350" s="41">
        <v>10</v>
      </c>
    </row>
    <row r="351" spans="1:8" ht="16" x14ac:dyDescent="0.2">
      <c r="A351" s="41" t="s">
        <v>235</v>
      </c>
      <c r="B351" s="41" t="s">
        <v>4316</v>
      </c>
      <c r="C351" s="41" t="s">
        <v>3490</v>
      </c>
      <c r="D351" s="42">
        <v>35158</v>
      </c>
      <c r="E351" s="41">
        <v>1</v>
      </c>
      <c r="F351" s="41">
        <v>1</v>
      </c>
      <c r="G351" s="41" t="s">
        <v>4317</v>
      </c>
      <c r="H351" s="41">
        <v>1</v>
      </c>
    </row>
    <row r="352" spans="1:8" ht="16" x14ac:dyDescent="0.2">
      <c r="A352" s="41" t="s">
        <v>236</v>
      </c>
      <c r="B352" s="41" t="s">
        <v>4318</v>
      </c>
      <c r="C352" s="41" t="s">
        <v>3490</v>
      </c>
      <c r="D352" s="42">
        <v>41269</v>
      </c>
      <c r="E352" s="41">
        <v>10</v>
      </c>
      <c r="F352" s="41">
        <v>1</v>
      </c>
      <c r="G352" s="41" t="s">
        <v>4319</v>
      </c>
      <c r="H352" s="41">
        <v>10</v>
      </c>
    </row>
    <row r="353" spans="1:8" ht="16" x14ac:dyDescent="0.2">
      <c r="A353" s="41" t="s">
        <v>4320</v>
      </c>
      <c r="B353" s="41" t="s">
        <v>4321</v>
      </c>
      <c r="C353" s="41" t="s">
        <v>3490</v>
      </c>
      <c r="D353" s="42">
        <v>45656</v>
      </c>
      <c r="E353" s="41">
        <v>10</v>
      </c>
      <c r="F353" s="41">
        <v>1</v>
      </c>
      <c r="G353" s="41" t="s">
        <v>4322</v>
      </c>
      <c r="H353" s="41">
        <v>10</v>
      </c>
    </row>
    <row r="354" spans="1:8" ht="16" x14ac:dyDescent="0.2">
      <c r="A354" s="41" t="s">
        <v>237</v>
      </c>
      <c r="B354" s="41" t="s">
        <v>4323</v>
      </c>
      <c r="C354" s="41" t="s">
        <v>3490</v>
      </c>
      <c r="D354" s="42">
        <v>44428</v>
      </c>
      <c r="E354" s="41">
        <v>10</v>
      </c>
      <c r="F354" s="41">
        <v>1</v>
      </c>
      <c r="G354" s="41" t="s">
        <v>4324</v>
      </c>
      <c r="H354" s="41">
        <v>10</v>
      </c>
    </row>
    <row r="355" spans="1:8" ht="16" x14ac:dyDescent="0.2">
      <c r="A355" s="41" t="s">
        <v>238</v>
      </c>
      <c r="B355" s="41" t="s">
        <v>4325</v>
      </c>
      <c r="C355" s="41" t="s">
        <v>3490</v>
      </c>
      <c r="D355" s="42">
        <v>44210</v>
      </c>
      <c r="E355" s="41">
        <v>2</v>
      </c>
      <c r="F355" s="41">
        <v>1</v>
      </c>
      <c r="G355" s="41" t="s">
        <v>4326</v>
      </c>
      <c r="H355" s="41">
        <v>2</v>
      </c>
    </row>
    <row r="356" spans="1:8" ht="16" x14ac:dyDescent="0.2">
      <c r="A356" s="41" t="s">
        <v>239</v>
      </c>
      <c r="B356" s="41" t="s">
        <v>4327</v>
      </c>
      <c r="C356" s="41" t="s">
        <v>3490</v>
      </c>
      <c r="D356" s="42">
        <v>41712</v>
      </c>
      <c r="E356" s="41">
        <v>5</v>
      </c>
      <c r="F356" s="41">
        <v>1</v>
      </c>
      <c r="G356" s="41" t="s">
        <v>4328</v>
      </c>
      <c r="H356" s="41">
        <v>5</v>
      </c>
    </row>
    <row r="357" spans="1:8" ht="16" x14ac:dyDescent="0.2">
      <c r="A357" s="41" t="s">
        <v>4329</v>
      </c>
      <c r="B357" s="41" t="s">
        <v>4330</v>
      </c>
      <c r="C357" s="41" t="s">
        <v>3490</v>
      </c>
      <c r="D357" s="42">
        <v>39370</v>
      </c>
      <c r="E357" s="41">
        <v>2</v>
      </c>
      <c r="F357" s="41">
        <v>1</v>
      </c>
      <c r="G357" s="41" t="s">
        <v>4331</v>
      </c>
      <c r="H357" s="41">
        <v>2</v>
      </c>
    </row>
    <row r="358" spans="1:8" ht="16" x14ac:dyDescent="0.2">
      <c r="A358" s="41" t="s">
        <v>4332</v>
      </c>
      <c r="B358" s="41" t="s">
        <v>4333</v>
      </c>
      <c r="C358" s="41" t="s">
        <v>3490</v>
      </c>
      <c r="D358" s="42">
        <v>42038</v>
      </c>
      <c r="E358" s="41">
        <v>2</v>
      </c>
      <c r="F358" s="41">
        <v>1</v>
      </c>
      <c r="G358" s="41" t="s">
        <v>4334</v>
      </c>
      <c r="H358" s="41">
        <v>2</v>
      </c>
    </row>
    <row r="359" spans="1:8" ht="16" x14ac:dyDescent="0.2">
      <c r="A359" s="41" t="s">
        <v>240</v>
      </c>
      <c r="B359" s="41" t="s">
        <v>4335</v>
      </c>
      <c r="C359" s="41" t="s">
        <v>3490</v>
      </c>
      <c r="D359" s="42">
        <v>38145</v>
      </c>
      <c r="E359" s="41">
        <v>2</v>
      </c>
      <c r="F359" s="41">
        <v>1</v>
      </c>
      <c r="G359" s="41" t="s">
        <v>4336</v>
      </c>
      <c r="H359" s="41">
        <v>2</v>
      </c>
    </row>
    <row r="360" spans="1:8" ht="16" x14ac:dyDescent="0.2">
      <c r="A360" s="41" t="s">
        <v>241</v>
      </c>
      <c r="B360" s="41" t="s">
        <v>4337</v>
      </c>
      <c r="C360" s="41" t="s">
        <v>3490</v>
      </c>
      <c r="D360" s="42">
        <v>42916</v>
      </c>
      <c r="E360" s="41">
        <v>10</v>
      </c>
      <c r="F360" s="41">
        <v>1</v>
      </c>
      <c r="G360" s="41" t="s">
        <v>4338</v>
      </c>
      <c r="H360" s="41">
        <v>10</v>
      </c>
    </row>
    <row r="361" spans="1:8" ht="16" x14ac:dyDescent="0.2">
      <c r="A361" s="41" t="s">
        <v>242</v>
      </c>
      <c r="B361" s="41" t="s">
        <v>4339</v>
      </c>
      <c r="C361" s="41" t="s">
        <v>3490</v>
      </c>
      <c r="D361" s="42">
        <v>39479</v>
      </c>
      <c r="E361" s="41">
        <v>10</v>
      </c>
      <c r="F361" s="41">
        <v>1</v>
      </c>
      <c r="G361" s="41" t="s">
        <v>4340</v>
      </c>
      <c r="H361" s="41">
        <v>10</v>
      </c>
    </row>
    <row r="362" spans="1:8" ht="16" x14ac:dyDescent="0.2">
      <c r="A362" s="41" t="s">
        <v>4341</v>
      </c>
      <c r="B362" s="41" t="s">
        <v>4342</v>
      </c>
      <c r="C362" s="41" t="s">
        <v>3490</v>
      </c>
      <c r="D362" s="42">
        <v>45512</v>
      </c>
      <c r="E362" s="41">
        <v>5</v>
      </c>
      <c r="F362" s="41">
        <v>1</v>
      </c>
      <c r="G362" s="41" t="s">
        <v>4343</v>
      </c>
      <c r="H362" s="41">
        <v>5</v>
      </c>
    </row>
    <row r="363" spans="1:8" ht="16" x14ac:dyDescent="0.2">
      <c r="A363" s="41" t="s">
        <v>4344</v>
      </c>
      <c r="B363" s="41" t="s">
        <v>4345</v>
      </c>
      <c r="C363" s="41" t="s">
        <v>3490</v>
      </c>
      <c r="D363" s="42">
        <v>38729</v>
      </c>
      <c r="E363" s="41">
        <v>10</v>
      </c>
      <c r="F363" s="41">
        <v>1</v>
      </c>
      <c r="G363" s="41" t="s">
        <v>4346</v>
      </c>
      <c r="H363" s="41">
        <v>10</v>
      </c>
    </row>
    <row r="364" spans="1:8" ht="16" x14ac:dyDescent="0.2">
      <c r="A364" s="41" t="s">
        <v>244</v>
      </c>
      <c r="B364" s="41" t="s">
        <v>4347</v>
      </c>
      <c r="C364" s="41" t="s">
        <v>3490</v>
      </c>
      <c r="D364" s="42">
        <v>45236</v>
      </c>
      <c r="E364" s="41">
        <v>5</v>
      </c>
      <c r="F364" s="41">
        <v>1</v>
      </c>
      <c r="G364" s="41" t="s">
        <v>4348</v>
      </c>
      <c r="H364" s="41">
        <v>5</v>
      </c>
    </row>
    <row r="365" spans="1:8" ht="16" x14ac:dyDescent="0.2">
      <c r="A365" s="41" t="s">
        <v>245</v>
      </c>
      <c r="B365" s="41" t="s">
        <v>4349</v>
      </c>
      <c r="C365" s="41" t="s">
        <v>3490</v>
      </c>
      <c r="D365" s="42">
        <v>34829</v>
      </c>
      <c r="E365" s="41">
        <v>10</v>
      </c>
      <c r="F365" s="41">
        <v>1</v>
      </c>
      <c r="G365" s="41" t="s">
        <v>4350</v>
      </c>
      <c r="H365" s="41">
        <v>10</v>
      </c>
    </row>
    <row r="366" spans="1:8" ht="16" x14ac:dyDescent="0.2">
      <c r="A366" s="41" t="s">
        <v>4351</v>
      </c>
      <c r="B366" s="41" t="s">
        <v>4352</v>
      </c>
      <c r="C366" s="41" t="s">
        <v>3490</v>
      </c>
      <c r="D366" s="42">
        <v>38188</v>
      </c>
      <c r="E366" s="41">
        <v>1</v>
      </c>
      <c r="F366" s="41">
        <v>1</v>
      </c>
      <c r="G366" s="41" t="s">
        <v>4353</v>
      </c>
      <c r="H366" s="41">
        <v>1</v>
      </c>
    </row>
    <row r="367" spans="1:8" ht="16" x14ac:dyDescent="0.2">
      <c r="A367" s="41" t="s">
        <v>246</v>
      </c>
      <c r="B367" s="41" t="s">
        <v>4354</v>
      </c>
      <c r="C367" s="41" t="s">
        <v>3490</v>
      </c>
      <c r="D367" s="42">
        <v>39315</v>
      </c>
      <c r="E367" s="41">
        <v>10</v>
      </c>
      <c r="F367" s="41">
        <v>1</v>
      </c>
      <c r="G367" s="41" t="s">
        <v>4355</v>
      </c>
      <c r="H367" s="41">
        <v>10</v>
      </c>
    </row>
    <row r="368" spans="1:8" ht="16" x14ac:dyDescent="0.2">
      <c r="A368" s="41" t="s">
        <v>247</v>
      </c>
      <c r="B368" s="41" t="s">
        <v>4356</v>
      </c>
      <c r="C368" s="41" t="s">
        <v>3510</v>
      </c>
      <c r="D368" s="42">
        <v>43194</v>
      </c>
      <c r="E368" s="41">
        <v>1</v>
      </c>
      <c r="F368" s="41">
        <v>1</v>
      </c>
      <c r="G368" s="41" t="s">
        <v>4357</v>
      </c>
      <c r="H368" s="41">
        <v>1</v>
      </c>
    </row>
    <row r="369" spans="1:8" ht="16" x14ac:dyDescent="0.2">
      <c r="A369" s="41" t="s">
        <v>248</v>
      </c>
      <c r="B369" s="41" t="s">
        <v>4358</v>
      </c>
      <c r="C369" s="41" t="s">
        <v>3490</v>
      </c>
      <c r="D369" s="42">
        <v>39360</v>
      </c>
      <c r="E369" s="41">
        <v>10</v>
      </c>
      <c r="F369" s="41">
        <v>1</v>
      </c>
      <c r="G369" s="41" t="s">
        <v>4359</v>
      </c>
      <c r="H369" s="41">
        <v>10</v>
      </c>
    </row>
    <row r="370" spans="1:8" ht="16" x14ac:dyDescent="0.2">
      <c r="A370" s="41" t="s">
        <v>249</v>
      </c>
      <c r="B370" s="41" t="s">
        <v>4360</v>
      </c>
      <c r="C370" s="41" t="s">
        <v>3490</v>
      </c>
      <c r="D370" s="42">
        <v>38799</v>
      </c>
      <c r="E370" s="41">
        <v>1</v>
      </c>
      <c r="F370" s="41">
        <v>1</v>
      </c>
      <c r="G370" s="41" t="s">
        <v>4361</v>
      </c>
      <c r="H370" s="41">
        <v>1</v>
      </c>
    </row>
    <row r="371" spans="1:8" ht="16" x14ac:dyDescent="0.2">
      <c r="A371" s="41" t="s">
        <v>250</v>
      </c>
      <c r="B371" s="41" t="s">
        <v>4362</v>
      </c>
      <c r="C371" s="41" t="s">
        <v>3490</v>
      </c>
      <c r="D371" s="42">
        <v>39388</v>
      </c>
      <c r="E371" s="41">
        <v>5</v>
      </c>
      <c r="F371" s="41">
        <v>1</v>
      </c>
      <c r="G371" s="41" t="s">
        <v>4363</v>
      </c>
      <c r="H371" s="41">
        <v>5</v>
      </c>
    </row>
    <row r="372" spans="1:8" ht="16" x14ac:dyDescent="0.2">
      <c r="A372" s="41" t="s">
        <v>4364</v>
      </c>
      <c r="B372" s="41" t="s">
        <v>4365</v>
      </c>
      <c r="C372" s="41" t="s">
        <v>3797</v>
      </c>
      <c r="D372" s="42">
        <v>41451</v>
      </c>
      <c r="E372" s="41">
        <v>10</v>
      </c>
      <c r="F372" s="41">
        <v>1</v>
      </c>
      <c r="G372" s="41" t="s">
        <v>4366</v>
      </c>
      <c r="H372" s="41">
        <v>10</v>
      </c>
    </row>
    <row r="373" spans="1:8" ht="16" x14ac:dyDescent="0.2">
      <c r="A373" s="41" t="s">
        <v>251</v>
      </c>
      <c r="B373" s="41" t="s">
        <v>4367</v>
      </c>
      <c r="C373" s="41" t="s">
        <v>3490</v>
      </c>
      <c r="D373" s="42">
        <v>34738</v>
      </c>
      <c r="E373" s="41">
        <v>1</v>
      </c>
      <c r="F373" s="41">
        <v>1</v>
      </c>
      <c r="G373" s="41" t="s">
        <v>4368</v>
      </c>
      <c r="H373" s="41">
        <v>1</v>
      </c>
    </row>
    <row r="374" spans="1:8" ht="16" x14ac:dyDescent="0.2">
      <c r="A374" s="41" t="s">
        <v>4369</v>
      </c>
      <c r="B374" s="41" t="s">
        <v>4370</v>
      </c>
      <c r="C374" s="41" t="s">
        <v>3490</v>
      </c>
      <c r="D374" s="42">
        <v>45653</v>
      </c>
      <c r="E374" s="41">
        <v>5</v>
      </c>
      <c r="F374" s="41">
        <v>1</v>
      </c>
      <c r="G374" s="41" t="s">
        <v>4371</v>
      </c>
      <c r="H374" s="41">
        <v>5</v>
      </c>
    </row>
    <row r="375" spans="1:8" ht="16" x14ac:dyDescent="0.2">
      <c r="A375" s="41" t="s">
        <v>252</v>
      </c>
      <c r="B375" s="41" t="s">
        <v>4372</v>
      </c>
      <c r="C375" s="41" t="s">
        <v>3490</v>
      </c>
      <c r="D375" s="42">
        <v>40480</v>
      </c>
      <c r="E375" s="41">
        <v>1</v>
      </c>
      <c r="F375" s="41">
        <v>1</v>
      </c>
      <c r="G375" s="41" t="s">
        <v>4373</v>
      </c>
      <c r="H375" s="41">
        <v>1</v>
      </c>
    </row>
    <row r="376" spans="1:8" ht="16" x14ac:dyDescent="0.2">
      <c r="A376" s="41" t="s">
        <v>253</v>
      </c>
      <c r="B376" s="41" t="s">
        <v>4374</v>
      </c>
      <c r="C376" s="41" t="s">
        <v>3490</v>
      </c>
      <c r="D376" s="42">
        <v>34759</v>
      </c>
      <c r="E376" s="41">
        <v>2</v>
      </c>
      <c r="F376" s="41">
        <v>1</v>
      </c>
      <c r="G376" s="41" t="s">
        <v>4375</v>
      </c>
      <c r="H376" s="41">
        <v>2</v>
      </c>
    </row>
    <row r="377" spans="1:8" ht="16" x14ac:dyDescent="0.2">
      <c r="A377" s="41" t="s">
        <v>254</v>
      </c>
      <c r="B377" s="41" t="s">
        <v>4376</v>
      </c>
      <c r="C377" s="41" t="s">
        <v>3490</v>
      </c>
      <c r="D377" s="42">
        <v>43503</v>
      </c>
      <c r="E377" s="41">
        <v>10</v>
      </c>
      <c r="F377" s="41">
        <v>1</v>
      </c>
      <c r="G377" s="41" t="s">
        <v>4377</v>
      </c>
      <c r="H377" s="41">
        <v>10</v>
      </c>
    </row>
    <row r="378" spans="1:8" ht="16" x14ac:dyDescent="0.2">
      <c r="A378" s="41" t="s">
        <v>255</v>
      </c>
      <c r="B378" s="41" t="s">
        <v>4378</v>
      </c>
      <c r="C378" s="41" t="s">
        <v>3490</v>
      </c>
      <c r="D378" s="42">
        <v>34864</v>
      </c>
      <c r="E378" s="41">
        <v>10</v>
      </c>
      <c r="F378" s="41">
        <v>1</v>
      </c>
      <c r="G378" s="41" t="s">
        <v>4379</v>
      </c>
      <c r="H378" s="41">
        <v>10</v>
      </c>
    </row>
    <row r="379" spans="1:8" ht="16" x14ac:dyDescent="0.2">
      <c r="A379" s="41" t="s">
        <v>256</v>
      </c>
      <c r="B379" s="41" t="s">
        <v>4380</v>
      </c>
      <c r="C379" s="41" t="s">
        <v>3490</v>
      </c>
      <c r="D379" s="42">
        <v>43789</v>
      </c>
      <c r="E379" s="41">
        <v>5</v>
      </c>
      <c r="F379" s="41">
        <v>1</v>
      </c>
      <c r="G379" s="41" t="s">
        <v>4381</v>
      </c>
      <c r="H379" s="41">
        <v>5</v>
      </c>
    </row>
    <row r="380" spans="1:8" ht="16" x14ac:dyDescent="0.2">
      <c r="A380" s="41" t="s">
        <v>4382</v>
      </c>
      <c r="B380" s="41" t="s">
        <v>4383</v>
      </c>
      <c r="C380" s="41" t="s">
        <v>3490</v>
      </c>
      <c r="D380" s="42">
        <v>45861</v>
      </c>
      <c r="E380" s="41">
        <v>5</v>
      </c>
      <c r="F380" s="41">
        <v>1</v>
      </c>
      <c r="G380" s="41" t="s">
        <v>4384</v>
      </c>
      <c r="H380" s="41">
        <v>5</v>
      </c>
    </row>
    <row r="381" spans="1:8" ht="16" x14ac:dyDescent="0.2">
      <c r="A381" s="41" t="s">
        <v>257</v>
      </c>
      <c r="B381" s="41" t="s">
        <v>4385</v>
      </c>
      <c r="C381" s="41" t="s">
        <v>3490</v>
      </c>
      <c r="D381" s="42">
        <v>44105</v>
      </c>
      <c r="E381" s="41">
        <v>10</v>
      </c>
      <c r="F381" s="41">
        <v>1</v>
      </c>
      <c r="G381" s="41" t="s">
        <v>4386</v>
      </c>
      <c r="H381" s="41">
        <v>10</v>
      </c>
    </row>
    <row r="382" spans="1:8" ht="16" x14ac:dyDescent="0.2">
      <c r="A382" s="41" t="s">
        <v>258</v>
      </c>
      <c r="B382" s="41" t="s">
        <v>4387</v>
      </c>
      <c r="C382" s="41" t="s">
        <v>3490</v>
      </c>
      <c r="D382" s="42">
        <v>43215</v>
      </c>
      <c r="E382" s="41">
        <v>10</v>
      </c>
      <c r="F382" s="41">
        <v>1</v>
      </c>
      <c r="G382" s="41" t="s">
        <v>4388</v>
      </c>
      <c r="H382" s="41">
        <v>10</v>
      </c>
    </row>
    <row r="383" spans="1:8" ht="16" x14ac:dyDescent="0.2">
      <c r="A383" s="41" t="s">
        <v>259</v>
      </c>
      <c r="B383" s="41" t="s">
        <v>4389</v>
      </c>
      <c r="C383" s="41" t="s">
        <v>3490</v>
      </c>
      <c r="D383" s="42">
        <v>44432</v>
      </c>
      <c r="E383" s="41">
        <v>5</v>
      </c>
      <c r="F383" s="41">
        <v>1</v>
      </c>
      <c r="G383" s="41" t="s">
        <v>4390</v>
      </c>
      <c r="H383" s="41">
        <v>5</v>
      </c>
    </row>
    <row r="384" spans="1:8" ht="16" x14ac:dyDescent="0.2">
      <c r="A384" s="41" t="s">
        <v>260</v>
      </c>
      <c r="B384" s="41" t="s">
        <v>4391</v>
      </c>
      <c r="C384" s="41" t="s">
        <v>3490</v>
      </c>
      <c r="D384" s="42">
        <v>36684</v>
      </c>
      <c r="E384" s="41">
        <v>10</v>
      </c>
      <c r="F384" s="41">
        <v>1</v>
      </c>
      <c r="G384" s="41" t="s">
        <v>4392</v>
      </c>
      <c r="H384" s="41">
        <v>10</v>
      </c>
    </row>
    <row r="385" spans="1:8" ht="16" x14ac:dyDescent="0.2">
      <c r="A385" s="41" t="s">
        <v>261</v>
      </c>
      <c r="B385" s="41" t="s">
        <v>4393</v>
      </c>
      <c r="C385" s="41" t="s">
        <v>3490</v>
      </c>
      <c r="D385" s="42">
        <v>44732</v>
      </c>
      <c r="E385" s="41">
        <v>10</v>
      </c>
      <c r="F385" s="41">
        <v>1</v>
      </c>
      <c r="G385" s="41" t="s">
        <v>4394</v>
      </c>
      <c r="H385" s="41">
        <v>10</v>
      </c>
    </row>
    <row r="386" spans="1:8" ht="16" x14ac:dyDescent="0.2">
      <c r="A386" s="41" t="s">
        <v>262</v>
      </c>
      <c r="B386" s="41" t="s">
        <v>4395</v>
      </c>
      <c r="C386" s="41" t="s">
        <v>3490</v>
      </c>
      <c r="D386" s="42">
        <v>44659</v>
      </c>
      <c r="E386" s="41">
        <v>10</v>
      </c>
      <c r="F386" s="41">
        <v>1</v>
      </c>
      <c r="G386" s="41" t="s">
        <v>4396</v>
      </c>
      <c r="H386" s="41">
        <v>10</v>
      </c>
    </row>
    <row r="387" spans="1:8" ht="16" x14ac:dyDescent="0.2">
      <c r="A387" s="41" t="s">
        <v>263</v>
      </c>
      <c r="B387" s="41" t="s">
        <v>4397</v>
      </c>
      <c r="C387" s="41" t="s">
        <v>3490</v>
      </c>
      <c r="D387" s="42">
        <v>35200</v>
      </c>
      <c r="E387" s="41">
        <v>2</v>
      </c>
      <c r="F387" s="41">
        <v>1</v>
      </c>
      <c r="G387" s="41" t="s">
        <v>4398</v>
      </c>
      <c r="H387" s="41">
        <v>2</v>
      </c>
    </row>
    <row r="388" spans="1:8" ht="16" x14ac:dyDescent="0.2">
      <c r="A388" s="41" t="s">
        <v>264</v>
      </c>
      <c r="B388" s="41" t="s">
        <v>4399</v>
      </c>
      <c r="C388" s="41" t="s">
        <v>3490</v>
      </c>
      <c r="D388" s="42">
        <v>43003</v>
      </c>
      <c r="E388" s="41">
        <v>1</v>
      </c>
      <c r="F388" s="41">
        <v>1</v>
      </c>
      <c r="G388" s="41" t="s">
        <v>4400</v>
      </c>
      <c r="H388" s="41">
        <v>1</v>
      </c>
    </row>
    <row r="389" spans="1:8" ht="16" x14ac:dyDescent="0.2">
      <c r="A389" s="41" t="s">
        <v>265</v>
      </c>
      <c r="B389" s="41" t="s">
        <v>4401</v>
      </c>
      <c r="C389" s="41" t="s">
        <v>3490</v>
      </c>
      <c r="D389" s="42">
        <v>39324</v>
      </c>
      <c r="E389" s="41">
        <v>10</v>
      </c>
      <c r="F389" s="41">
        <v>1</v>
      </c>
      <c r="G389" s="41" t="s">
        <v>4402</v>
      </c>
      <c r="H389" s="41">
        <v>10</v>
      </c>
    </row>
    <row r="390" spans="1:8" ht="16" x14ac:dyDescent="0.2">
      <c r="A390" s="41" t="s">
        <v>4403</v>
      </c>
      <c r="B390" s="41" t="s">
        <v>4404</v>
      </c>
      <c r="C390" s="41" t="s">
        <v>3490</v>
      </c>
      <c r="D390" s="42">
        <v>45764</v>
      </c>
      <c r="E390" s="41">
        <v>2</v>
      </c>
      <c r="F390" s="41">
        <v>1</v>
      </c>
      <c r="G390" s="41" t="s">
        <v>4405</v>
      </c>
      <c r="H390" s="41">
        <v>2</v>
      </c>
    </row>
    <row r="391" spans="1:8" ht="16" x14ac:dyDescent="0.2">
      <c r="A391" s="41" t="s">
        <v>266</v>
      </c>
      <c r="B391" s="41" t="s">
        <v>4406</v>
      </c>
      <c r="C391" s="41" t="s">
        <v>3490</v>
      </c>
      <c r="D391" s="42">
        <v>41925</v>
      </c>
      <c r="E391" s="41">
        <v>10</v>
      </c>
      <c r="F391" s="41">
        <v>1</v>
      </c>
      <c r="G391" s="41" t="s">
        <v>4407</v>
      </c>
      <c r="H391" s="41">
        <v>10</v>
      </c>
    </row>
    <row r="392" spans="1:8" ht="16" x14ac:dyDescent="0.2">
      <c r="A392" s="41" t="s">
        <v>4408</v>
      </c>
      <c r="B392" s="41" t="s">
        <v>4409</v>
      </c>
      <c r="C392" s="41" t="s">
        <v>3490</v>
      </c>
      <c r="D392" s="42">
        <v>41073</v>
      </c>
      <c r="E392" s="41">
        <v>5</v>
      </c>
      <c r="F392" s="41">
        <v>1</v>
      </c>
      <c r="G392" s="41" t="s">
        <v>4410</v>
      </c>
      <c r="H392" s="41">
        <v>5</v>
      </c>
    </row>
    <row r="393" spans="1:8" ht="16" x14ac:dyDescent="0.2">
      <c r="A393" s="41" t="s">
        <v>4411</v>
      </c>
      <c r="B393" s="41" t="s">
        <v>4412</v>
      </c>
      <c r="C393" s="41" t="s">
        <v>3510</v>
      </c>
      <c r="D393" s="42">
        <v>36648</v>
      </c>
      <c r="E393" s="41">
        <v>2</v>
      </c>
      <c r="F393" s="41">
        <v>1</v>
      </c>
      <c r="G393" s="41" t="s">
        <v>4413</v>
      </c>
      <c r="H393" s="41">
        <v>2</v>
      </c>
    </row>
    <row r="394" spans="1:8" ht="16" x14ac:dyDescent="0.2">
      <c r="A394" s="41" t="s">
        <v>267</v>
      </c>
      <c r="B394" s="41" t="s">
        <v>4414</v>
      </c>
      <c r="C394" s="41" t="s">
        <v>3490</v>
      </c>
      <c r="D394" s="42">
        <v>34738</v>
      </c>
      <c r="E394" s="41">
        <v>2</v>
      </c>
      <c r="F394" s="41">
        <v>1</v>
      </c>
      <c r="G394" s="41" t="s">
        <v>4415</v>
      </c>
      <c r="H394" s="41">
        <v>2</v>
      </c>
    </row>
    <row r="395" spans="1:8" ht="16" x14ac:dyDescent="0.2">
      <c r="A395" s="41" t="s">
        <v>268</v>
      </c>
      <c r="B395" s="41" t="s">
        <v>4416</v>
      </c>
      <c r="C395" s="41" t="s">
        <v>3490</v>
      </c>
      <c r="D395" s="42">
        <v>44396</v>
      </c>
      <c r="E395" s="41">
        <v>1</v>
      </c>
      <c r="F395" s="41">
        <v>1</v>
      </c>
      <c r="G395" s="41" t="s">
        <v>4417</v>
      </c>
      <c r="H395" s="41">
        <v>1</v>
      </c>
    </row>
    <row r="396" spans="1:8" ht="16" x14ac:dyDescent="0.2">
      <c r="A396" s="41" t="s">
        <v>4418</v>
      </c>
      <c r="B396" s="41" t="s">
        <v>4419</v>
      </c>
      <c r="C396" s="41" t="s">
        <v>3490</v>
      </c>
      <c r="D396" s="42">
        <v>42825</v>
      </c>
      <c r="E396" s="41">
        <v>5</v>
      </c>
      <c r="F396" s="41">
        <v>1</v>
      </c>
      <c r="G396" s="41" t="s">
        <v>4420</v>
      </c>
      <c r="H396" s="41">
        <v>5</v>
      </c>
    </row>
    <row r="397" spans="1:8" ht="16" x14ac:dyDescent="0.2">
      <c r="A397" s="41" t="s">
        <v>269</v>
      </c>
      <c r="B397" s="41" t="s">
        <v>4421</v>
      </c>
      <c r="C397" s="41" t="s">
        <v>3490</v>
      </c>
      <c r="D397" s="42">
        <v>44328</v>
      </c>
      <c r="E397" s="41">
        <v>2</v>
      </c>
      <c r="F397" s="41">
        <v>1</v>
      </c>
      <c r="G397" s="41" t="s">
        <v>4422</v>
      </c>
      <c r="H397" s="41">
        <v>2</v>
      </c>
    </row>
    <row r="398" spans="1:8" ht="16" x14ac:dyDescent="0.2">
      <c r="A398" s="41" t="s">
        <v>270</v>
      </c>
      <c r="B398" s="41" t="s">
        <v>4423</v>
      </c>
      <c r="C398" s="41" t="s">
        <v>3490</v>
      </c>
      <c r="D398" s="42">
        <v>44561</v>
      </c>
      <c r="E398" s="41">
        <v>10</v>
      </c>
      <c r="F398" s="41">
        <v>1</v>
      </c>
      <c r="G398" s="41" t="s">
        <v>4424</v>
      </c>
      <c r="H398" s="41">
        <v>10</v>
      </c>
    </row>
    <row r="399" spans="1:8" ht="16" x14ac:dyDescent="0.2">
      <c r="A399" s="41" t="s">
        <v>271</v>
      </c>
      <c r="B399" s="41" t="s">
        <v>4425</v>
      </c>
      <c r="C399" s="41" t="s">
        <v>3490</v>
      </c>
      <c r="D399" s="42">
        <v>40486</v>
      </c>
      <c r="E399" s="41">
        <v>10</v>
      </c>
      <c r="F399" s="41">
        <v>1</v>
      </c>
      <c r="G399" s="41" t="s">
        <v>4426</v>
      </c>
      <c r="H399" s="41">
        <v>10</v>
      </c>
    </row>
    <row r="400" spans="1:8" ht="16" x14ac:dyDescent="0.2">
      <c r="A400" s="41" t="s">
        <v>4427</v>
      </c>
      <c r="B400" s="41" t="s">
        <v>4428</v>
      </c>
      <c r="C400" s="41" t="s">
        <v>3490</v>
      </c>
      <c r="D400" s="42">
        <v>44477</v>
      </c>
      <c r="E400" s="41">
        <v>2</v>
      </c>
      <c r="F400" s="41">
        <v>1</v>
      </c>
      <c r="G400" s="41" t="s">
        <v>4429</v>
      </c>
      <c r="H400" s="41">
        <v>2</v>
      </c>
    </row>
    <row r="401" spans="1:8" ht="16" x14ac:dyDescent="0.2">
      <c r="A401" s="41" t="s">
        <v>272</v>
      </c>
      <c r="B401" s="41" t="s">
        <v>4430</v>
      </c>
      <c r="C401" s="41" t="s">
        <v>3490</v>
      </c>
      <c r="D401" s="42">
        <v>42958</v>
      </c>
      <c r="E401" s="41">
        <v>5</v>
      </c>
      <c r="F401" s="41">
        <v>1</v>
      </c>
      <c r="G401" s="41" t="s">
        <v>4431</v>
      </c>
      <c r="H401" s="41">
        <v>5</v>
      </c>
    </row>
    <row r="402" spans="1:8" ht="16" x14ac:dyDescent="0.2">
      <c r="A402" s="41" t="s">
        <v>273</v>
      </c>
      <c r="B402" s="41" t="s">
        <v>4432</v>
      </c>
      <c r="C402" s="41" t="s">
        <v>3490</v>
      </c>
      <c r="D402" s="42">
        <v>42310</v>
      </c>
      <c r="E402" s="41">
        <v>10</v>
      </c>
      <c r="F402" s="41">
        <v>1</v>
      </c>
      <c r="G402" s="41" t="s">
        <v>4433</v>
      </c>
      <c r="H402" s="41">
        <v>10</v>
      </c>
    </row>
    <row r="403" spans="1:8" ht="16" x14ac:dyDescent="0.2">
      <c r="A403" s="41" t="s">
        <v>274</v>
      </c>
      <c r="B403" s="41" t="s">
        <v>4434</v>
      </c>
      <c r="C403" s="41" t="s">
        <v>3490</v>
      </c>
      <c r="D403" s="42">
        <v>38229</v>
      </c>
      <c r="E403" s="41">
        <v>2</v>
      </c>
      <c r="F403" s="41">
        <v>1</v>
      </c>
      <c r="G403" s="41" t="s">
        <v>4435</v>
      </c>
      <c r="H403" s="41">
        <v>2</v>
      </c>
    </row>
    <row r="404" spans="1:8" ht="16" x14ac:dyDescent="0.2">
      <c r="A404" s="41" t="s">
        <v>4436</v>
      </c>
      <c r="B404" s="41" t="s">
        <v>4437</v>
      </c>
      <c r="C404" s="41" t="s">
        <v>3490</v>
      </c>
      <c r="D404" s="42">
        <v>43899</v>
      </c>
      <c r="E404" s="41">
        <v>1</v>
      </c>
      <c r="F404" s="41">
        <v>1</v>
      </c>
      <c r="G404" s="41" t="s">
        <v>4438</v>
      </c>
      <c r="H404" s="41">
        <v>1</v>
      </c>
    </row>
    <row r="405" spans="1:8" ht="16" x14ac:dyDescent="0.2">
      <c r="A405" s="41" t="s">
        <v>275</v>
      </c>
      <c r="B405" s="41" t="s">
        <v>4439</v>
      </c>
      <c r="C405" s="41" t="s">
        <v>3490</v>
      </c>
      <c r="D405" s="42">
        <v>39433</v>
      </c>
      <c r="E405" s="41">
        <v>1</v>
      </c>
      <c r="F405" s="41">
        <v>1</v>
      </c>
      <c r="G405" s="41" t="s">
        <v>4440</v>
      </c>
      <c r="H405" s="41">
        <v>1</v>
      </c>
    </row>
    <row r="406" spans="1:8" ht="16" x14ac:dyDescent="0.2">
      <c r="A406" s="41" t="s">
        <v>4441</v>
      </c>
      <c r="B406" s="41" t="s">
        <v>4442</v>
      </c>
      <c r="C406" s="41" t="s">
        <v>3797</v>
      </c>
      <c r="D406" s="42">
        <v>42558</v>
      </c>
      <c r="E406" s="41">
        <v>2</v>
      </c>
      <c r="F406" s="41">
        <v>1</v>
      </c>
      <c r="G406" s="41" t="s">
        <v>4443</v>
      </c>
      <c r="H406" s="41">
        <v>2</v>
      </c>
    </row>
    <row r="407" spans="1:8" ht="16" x14ac:dyDescent="0.2">
      <c r="A407" s="41" t="s">
        <v>4444</v>
      </c>
      <c r="B407" s="41" t="s">
        <v>4445</v>
      </c>
      <c r="C407" s="41" t="s">
        <v>3490</v>
      </c>
      <c r="D407" s="42">
        <v>40970</v>
      </c>
      <c r="E407" s="41">
        <v>2</v>
      </c>
      <c r="F407" s="41">
        <v>1</v>
      </c>
      <c r="G407" s="41" t="s">
        <v>4446</v>
      </c>
      <c r="H407" s="41">
        <v>2</v>
      </c>
    </row>
    <row r="408" spans="1:8" ht="16" x14ac:dyDescent="0.2">
      <c r="A408" s="41" t="s">
        <v>4447</v>
      </c>
      <c r="B408" s="41" t="s">
        <v>4448</v>
      </c>
      <c r="C408" s="41" t="s">
        <v>3490</v>
      </c>
      <c r="D408" s="42">
        <v>45314</v>
      </c>
      <c r="E408" s="41">
        <v>10</v>
      </c>
      <c r="F408" s="41">
        <v>1</v>
      </c>
      <c r="G408" s="41" t="s">
        <v>4449</v>
      </c>
      <c r="H408" s="41">
        <v>10</v>
      </c>
    </row>
    <row r="409" spans="1:8" ht="16" x14ac:dyDescent="0.2">
      <c r="A409" s="41" t="s">
        <v>276</v>
      </c>
      <c r="B409" s="41" t="s">
        <v>4450</v>
      </c>
      <c r="C409" s="41" t="s">
        <v>3490</v>
      </c>
      <c r="D409" s="42">
        <v>35557</v>
      </c>
      <c r="E409" s="41">
        <v>5</v>
      </c>
      <c r="F409" s="41">
        <v>1</v>
      </c>
      <c r="G409" s="41" t="s">
        <v>4451</v>
      </c>
      <c r="H409" s="41">
        <v>5</v>
      </c>
    </row>
    <row r="410" spans="1:8" ht="16" x14ac:dyDescent="0.2">
      <c r="A410" s="41" t="s">
        <v>277</v>
      </c>
      <c r="B410" s="41" t="s">
        <v>4452</v>
      </c>
      <c r="C410" s="41" t="s">
        <v>3490</v>
      </c>
      <c r="D410" s="42">
        <v>45156</v>
      </c>
      <c r="E410" s="41">
        <v>1</v>
      </c>
      <c r="F410" s="41">
        <v>1</v>
      </c>
      <c r="G410" s="41" t="s">
        <v>4453</v>
      </c>
      <c r="H410" s="41">
        <v>1</v>
      </c>
    </row>
    <row r="411" spans="1:8" ht="16" x14ac:dyDescent="0.2">
      <c r="A411" s="41" t="s">
        <v>278</v>
      </c>
      <c r="B411" s="41" t="s">
        <v>4454</v>
      </c>
      <c r="C411" s="41" t="s">
        <v>3490</v>
      </c>
      <c r="D411" s="42">
        <v>43629</v>
      </c>
      <c r="E411" s="41">
        <v>1</v>
      </c>
      <c r="F411" s="41">
        <v>1</v>
      </c>
      <c r="G411" s="41" t="s">
        <v>4455</v>
      </c>
      <c r="H411" s="41">
        <v>1</v>
      </c>
    </row>
    <row r="412" spans="1:8" ht="16" x14ac:dyDescent="0.2">
      <c r="A412" s="41" t="s">
        <v>279</v>
      </c>
      <c r="B412" s="41" t="s">
        <v>4456</v>
      </c>
      <c r="C412" s="41" t="s">
        <v>3490</v>
      </c>
      <c r="D412" s="42">
        <v>38440</v>
      </c>
      <c r="E412" s="41">
        <v>10</v>
      </c>
      <c r="F412" s="41">
        <v>1</v>
      </c>
      <c r="G412" s="41" t="s">
        <v>4457</v>
      </c>
      <c r="H412" s="41">
        <v>10</v>
      </c>
    </row>
    <row r="413" spans="1:8" ht="16" x14ac:dyDescent="0.2">
      <c r="A413" s="41" t="s">
        <v>280</v>
      </c>
      <c r="B413" s="41" t="s">
        <v>4458</v>
      </c>
      <c r="C413" s="41" t="s">
        <v>3490</v>
      </c>
      <c r="D413" s="42">
        <v>42545</v>
      </c>
      <c r="E413" s="41">
        <v>10</v>
      </c>
      <c r="F413" s="41">
        <v>1</v>
      </c>
      <c r="G413" s="41" t="s">
        <v>4459</v>
      </c>
      <c r="H413" s="41">
        <v>10</v>
      </c>
    </row>
    <row r="414" spans="1:8" ht="16" x14ac:dyDescent="0.2">
      <c r="A414" s="41" t="s">
        <v>4460</v>
      </c>
      <c r="B414" s="41" t="s">
        <v>4461</v>
      </c>
      <c r="C414" s="41" t="s">
        <v>3490</v>
      </c>
      <c r="D414" s="42">
        <v>35149</v>
      </c>
      <c r="E414" s="41">
        <v>2</v>
      </c>
      <c r="F414" s="41">
        <v>1</v>
      </c>
      <c r="G414" s="41" t="s">
        <v>4462</v>
      </c>
      <c r="H414" s="41">
        <v>2</v>
      </c>
    </row>
    <row r="415" spans="1:8" ht="16" x14ac:dyDescent="0.2">
      <c r="A415" s="41" t="s">
        <v>4463</v>
      </c>
      <c r="B415" s="41" t="s">
        <v>4464</v>
      </c>
      <c r="C415" s="41" t="s">
        <v>3490</v>
      </c>
      <c r="D415" s="42">
        <v>39491</v>
      </c>
      <c r="E415" s="41">
        <v>10</v>
      </c>
      <c r="F415" s="41">
        <v>1</v>
      </c>
      <c r="G415" s="41" t="s">
        <v>4465</v>
      </c>
      <c r="H415" s="41">
        <v>10</v>
      </c>
    </row>
    <row r="416" spans="1:8" ht="16" x14ac:dyDescent="0.2">
      <c r="A416" s="41" t="s">
        <v>281</v>
      </c>
      <c r="B416" s="41" t="s">
        <v>4466</v>
      </c>
      <c r="C416" s="41" t="s">
        <v>3490</v>
      </c>
      <c r="D416" s="42">
        <v>34850</v>
      </c>
      <c r="E416" s="41">
        <v>1</v>
      </c>
      <c r="F416" s="41">
        <v>1</v>
      </c>
      <c r="G416" s="41" t="s">
        <v>4467</v>
      </c>
      <c r="H416" s="41">
        <v>1</v>
      </c>
    </row>
    <row r="417" spans="1:8" ht="16" x14ac:dyDescent="0.2">
      <c r="A417" s="41" t="s">
        <v>282</v>
      </c>
      <c r="B417" s="41" t="s">
        <v>4468</v>
      </c>
      <c r="C417" s="41" t="s">
        <v>3490</v>
      </c>
      <c r="D417" s="42">
        <v>34844</v>
      </c>
      <c r="E417" s="41">
        <v>10</v>
      </c>
      <c r="F417" s="41">
        <v>1</v>
      </c>
      <c r="G417" s="41" t="s">
        <v>4469</v>
      </c>
      <c r="H417" s="41">
        <v>10</v>
      </c>
    </row>
    <row r="418" spans="1:8" ht="16" x14ac:dyDescent="0.2">
      <c r="A418" s="41" t="s">
        <v>4470</v>
      </c>
      <c r="B418" s="41" t="s">
        <v>4471</v>
      </c>
      <c r="C418" s="41" t="s">
        <v>3490</v>
      </c>
      <c r="D418" s="42">
        <v>39835</v>
      </c>
      <c r="E418" s="41">
        <v>1</v>
      </c>
      <c r="F418" s="41">
        <v>1</v>
      </c>
      <c r="G418" s="41" t="s">
        <v>4472</v>
      </c>
      <c r="H418" s="41">
        <v>1</v>
      </c>
    </row>
    <row r="419" spans="1:8" ht="16" x14ac:dyDescent="0.2">
      <c r="A419" s="41" t="s">
        <v>4473</v>
      </c>
      <c r="B419" s="41" t="s">
        <v>4474</v>
      </c>
      <c r="C419" s="41" t="s">
        <v>3490</v>
      </c>
      <c r="D419" s="42">
        <v>40457</v>
      </c>
      <c r="E419" s="41">
        <v>10</v>
      </c>
      <c r="F419" s="41">
        <v>1</v>
      </c>
      <c r="G419" s="41" t="s">
        <v>4475</v>
      </c>
      <c r="H419" s="41">
        <v>10</v>
      </c>
    </row>
    <row r="420" spans="1:8" ht="16" x14ac:dyDescent="0.2">
      <c r="A420" s="41" t="s">
        <v>4476</v>
      </c>
      <c r="B420" s="41" t="s">
        <v>4477</v>
      </c>
      <c r="C420" s="41" t="s">
        <v>3490</v>
      </c>
      <c r="D420" s="42">
        <v>45905</v>
      </c>
      <c r="E420" s="41">
        <v>10</v>
      </c>
      <c r="F420" s="41">
        <v>1</v>
      </c>
      <c r="G420" s="41" t="s">
        <v>4478</v>
      </c>
      <c r="H420" s="41">
        <v>10</v>
      </c>
    </row>
    <row r="421" spans="1:8" ht="16" x14ac:dyDescent="0.2">
      <c r="A421" s="41" t="s">
        <v>4479</v>
      </c>
      <c r="B421" s="41" t="s">
        <v>4480</v>
      </c>
      <c r="C421" s="41" t="s">
        <v>3490</v>
      </c>
      <c r="D421" s="42">
        <v>45874</v>
      </c>
      <c r="E421" s="41">
        <v>1</v>
      </c>
      <c r="F421" s="41">
        <v>1</v>
      </c>
      <c r="G421" s="41" t="s">
        <v>4481</v>
      </c>
      <c r="H421" s="41">
        <v>1</v>
      </c>
    </row>
    <row r="422" spans="1:8" ht="16" x14ac:dyDescent="0.2">
      <c r="A422" s="41" t="s">
        <v>283</v>
      </c>
      <c r="B422" s="41" t="s">
        <v>4482</v>
      </c>
      <c r="C422" s="41" t="s">
        <v>3490</v>
      </c>
      <c r="D422" s="42">
        <v>44280</v>
      </c>
      <c r="E422" s="41">
        <v>5</v>
      </c>
      <c r="F422" s="41">
        <v>1</v>
      </c>
      <c r="G422" s="41" t="s">
        <v>4483</v>
      </c>
      <c r="H422" s="41">
        <v>5</v>
      </c>
    </row>
    <row r="423" spans="1:8" ht="16" x14ac:dyDescent="0.2">
      <c r="A423" s="41" t="s">
        <v>284</v>
      </c>
      <c r="B423" s="41" t="s">
        <v>4484</v>
      </c>
      <c r="C423" s="41" t="s">
        <v>3490</v>
      </c>
      <c r="D423" s="42">
        <v>43682</v>
      </c>
      <c r="E423" s="41">
        <v>10</v>
      </c>
      <c r="F423" s="41">
        <v>1</v>
      </c>
      <c r="G423" s="41" t="s">
        <v>4485</v>
      </c>
      <c r="H423" s="41">
        <v>10</v>
      </c>
    </row>
    <row r="424" spans="1:8" ht="16" x14ac:dyDescent="0.2">
      <c r="A424" s="41" t="s">
        <v>4486</v>
      </c>
      <c r="B424" s="41" t="s">
        <v>4487</v>
      </c>
      <c r="C424" s="41" t="s">
        <v>3510</v>
      </c>
      <c r="D424" s="42">
        <v>36880</v>
      </c>
      <c r="E424" s="41">
        <v>5</v>
      </c>
      <c r="F424" s="41">
        <v>1</v>
      </c>
      <c r="G424" s="41" t="s">
        <v>4488</v>
      </c>
      <c r="H424" s="41">
        <v>5</v>
      </c>
    </row>
    <row r="425" spans="1:8" ht="16" x14ac:dyDescent="0.2">
      <c r="A425" s="41" t="s">
        <v>285</v>
      </c>
      <c r="B425" s="41" t="s">
        <v>4489</v>
      </c>
      <c r="C425" s="41" t="s">
        <v>3490</v>
      </c>
      <c r="D425" s="42">
        <v>43335</v>
      </c>
      <c r="E425" s="41">
        <v>10</v>
      </c>
      <c r="F425" s="41">
        <v>1</v>
      </c>
      <c r="G425" s="41" t="s">
        <v>4490</v>
      </c>
      <c r="H425" s="41">
        <v>10</v>
      </c>
    </row>
    <row r="426" spans="1:8" ht="16" x14ac:dyDescent="0.2">
      <c r="A426" s="41" t="s">
        <v>286</v>
      </c>
      <c r="B426" s="41" t="s">
        <v>4491</v>
      </c>
      <c r="C426" s="41" t="s">
        <v>3490</v>
      </c>
      <c r="D426" s="42">
        <v>39078</v>
      </c>
      <c r="E426" s="41">
        <v>10</v>
      </c>
      <c r="F426" s="41">
        <v>1</v>
      </c>
      <c r="G426" s="41" t="s">
        <v>4492</v>
      </c>
      <c r="H426" s="41">
        <v>10</v>
      </c>
    </row>
    <row r="427" spans="1:8" ht="16" x14ac:dyDescent="0.2">
      <c r="A427" s="41" t="s">
        <v>287</v>
      </c>
      <c r="B427" s="41" t="s">
        <v>4493</v>
      </c>
      <c r="C427" s="41" t="s">
        <v>3490</v>
      </c>
      <c r="D427" s="42">
        <v>34878</v>
      </c>
      <c r="E427" s="41">
        <v>1</v>
      </c>
      <c r="F427" s="41">
        <v>1</v>
      </c>
      <c r="G427" s="41" t="s">
        <v>4494</v>
      </c>
      <c r="H427" s="41">
        <v>1</v>
      </c>
    </row>
    <row r="428" spans="1:8" ht="16" x14ac:dyDescent="0.2">
      <c r="A428" s="41" t="s">
        <v>4495</v>
      </c>
      <c r="B428" s="41" t="s">
        <v>4496</v>
      </c>
      <c r="C428" s="41" t="s">
        <v>3490</v>
      </c>
      <c r="D428" s="42">
        <v>45847</v>
      </c>
      <c r="E428" s="41">
        <v>2</v>
      </c>
      <c r="F428" s="41">
        <v>1</v>
      </c>
      <c r="G428" s="41" t="s">
        <v>4497</v>
      </c>
      <c r="H428" s="41">
        <v>2</v>
      </c>
    </row>
    <row r="429" spans="1:8" ht="16" x14ac:dyDescent="0.2">
      <c r="A429" s="41" t="s">
        <v>288</v>
      </c>
      <c r="B429" s="41" t="s">
        <v>4498</v>
      </c>
      <c r="C429" s="41" t="s">
        <v>3490</v>
      </c>
      <c r="D429" s="42">
        <v>42503</v>
      </c>
      <c r="E429" s="41">
        <v>2</v>
      </c>
      <c r="F429" s="41">
        <v>1</v>
      </c>
      <c r="G429" s="41" t="s">
        <v>4499</v>
      </c>
      <c r="H429" s="41">
        <v>2</v>
      </c>
    </row>
    <row r="430" spans="1:8" ht="16" x14ac:dyDescent="0.2">
      <c r="A430" s="41" t="s">
        <v>4500</v>
      </c>
      <c r="B430" s="41" t="s">
        <v>4501</v>
      </c>
      <c r="C430" s="41" t="s">
        <v>3490</v>
      </c>
      <c r="D430" s="42">
        <v>44600</v>
      </c>
      <c r="E430" s="41">
        <v>10</v>
      </c>
      <c r="F430" s="41">
        <v>1</v>
      </c>
      <c r="G430" s="41" t="s">
        <v>4502</v>
      </c>
      <c r="H430" s="41">
        <v>10</v>
      </c>
    </row>
    <row r="431" spans="1:8" ht="16" x14ac:dyDescent="0.2">
      <c r="A431" s="41" t="s">
        <v>289</v>
      </c>
      <c r="B431" s="41" t="s">
        <v>4503</v>
      </c>
      <c r="C431" s="41" t="s">
        <v>3490</v>
      </c>
      <c r="D431" s="42">
        <v>43803</v>
      </c>
      <c r="E431" s="41">
        <v>10</v>
      </c>
      <c r="F431" s="41">
        <v>1</v>
      </c>
      <c r="G431" s="41" t="s">
        <v>4504</v>
      </c>
      <c r="H431" s="41">
        <v>10</v>
      </c>
    </row>
    <row r="432" spans="1:8" ht="16" x14ac:dyDescent="0.2">
      <c r="A432" s="41" t="s">
        <v>290</v>
      </c>
      <c r="B432" s="41" t="s">
        <v>4505</v>
      </c>
      <c r="C432" s="41" t="s">
        <v>3490</v>
      </c>
      <c r="D432" s="42">
        <v>44763</v>
      </c>
      <c r="E432" s="41">
        <v>10</v>
      </c>
      <c r="F432" s="41">
        <v>1</v>
      </c>
      <c r="G432" s="41" t="s">
        <v>4506</v>
      </c>
      <c r="H432" s="41">
        <v>10</v>
      </c>
    </row>
    <row r="433" spans="1:8" ht="16" x14ac:dyDescent="0.2">
      <c r="A433" s="41" t="s">
        <v>4507</v>
      </c>
      <c r="B433" s="41" t="s">
        <v>4508</v>
      </c>
      <c r="C433" s="41" t="s">
        <v>3510</v>
      </c>
      <c r="D433" s="42">
        <v>39120</v>
      </c>
      <c r="E433" s="41">
        <v>10</v>
      </c>
      <c r="F433" s="41">
        <v>1</v>
      </c>
      <c r="G433" s="41" t="s">
        <v>4509</v>
      </c>
      <c r="H433" s="41">
        <v>10</v>
      </c>
    </row>
    <row r="434" spans="1:8" ht="16" x14ac:dyDescent="0.2">
      <c r="A434" s="41" t="s">
        <v>291</v>
      </c>
      <c r="B434" s="41" t="s">
        <v>4510</v>
      </c>
      <c r="C434" s="41" t="s">
        <v>3490</v>
      </c>
      <c r="D434" s="42">
        <v>36032</v>
      </c>
      <c r="E434" s="41">
        <v>1</v>
      </c>
      <c r="F434" s="41">
        <v>1</v>
      </c>
      <c r="G434" s="41" t="s">
        <v>4511</v>
      </c>
      <c r="H434" s="41">
        <v>1</v>
      </c>
    </row>
    <row r="435" spans="1:8" ht="16" x14ac:dyDescent="0.2">
      <c r="A435" s="41" t="s">
        <v>4512</v>
      </c>
      <c r="B435" s="41" t="s">
        <v>4513</v>
      </c>
      <c r="C435" s="41" t="s">
        <v>3510</v>
      </c>
      <c r="D435" s="42">
        <v>35179</v>
      </c>
      <c r="E435" s="41">
        <v>10</v>
      </c>
      <c r="F435" s="41">
        <v>1</v>
      </c>
      <c r="G435" s="41" t="s">
        <v>4514</v>
      </c>
      <c r="H435" s="41">
        <v>10</v>
      </c>
    </row>
    <row r="436" spans="1:8" ht="16" x14ac:dyDescent="0.2">
      <c r="A436" s="41" t="s">
        <v>292</v>
      </c>
      <c r="B436" s="41" t="s">
        <v>4515</v>
      </c>
      <c r="C436" s="41" t="s">
        <v>3490</v>
      </c>
      <c r="D436" s="42">
        <v>34787</v>
      </c>
      <c r="E436" s="41">
        <v>2</v>
      </c>
      <c r="F436" s="41">
        <v>1</v>
      </c>
      <c r="G436" s="41" t="s">
        <v>4516</v>
      </c>
      <c r="H436" s="41">
        <v>2</v>
      </c>
    </row>
    <row r="437" spans="1:8" ht="16" x14ac:dyDescent="0.2">
      <c r="A437" s="41" t="s">
        <v>293</v>
      </c>
      <c r="B437" s="41" t="s">
        <v>4517</v>
      </c>
      <c r="C437" s="41" t="s">
        <v>3490</v>
      </c>
      <c r="D437" s="42">
        <v>42629</v>
      </c>
      <c r="E437" s="41">
        <v>1</v>
      </c>
      <c r="F437" s="41">
        <v>1</v>
      </c>
      <c r="G437" s="41" t="s">
        <v>4518</v>
      </c>
      <c r="H437" s="41">
        <v>1</v>
      </c>
    </row>
    <row r="438" spans="1:8" ht="16" x14ac:dyDescent="0.2">
      <c r="A438" s="41" t="s">
        <v>4519</v>
      </c>
      <c r="B438" s="41" t="s">
        <v>4520</v>
      </c>
      <c r="C438" s="41" t="s">
        <v>3510</v>
      </c>
      <c r="D438" s="42">
        <v>45737</v>
      </c>
      <c r="E438" s="41">
        <v>10</v>
      </c>
      <c r="F438" s="41">
        <v>1</v>
      </c>
      <c r="G438" s="41" t="s">
        <v>4521</v>
      </c>
      <c r="H438" s="41">
        <v>10</v>
      </c>
    </row>
    <row r="439" spans="1:8" ht="16" x14ac:dyDescent="0.2">
      <c r="A439" s="41" t="s">
        <v>4522</v>
      </c>
      <c r="B439" s="41" t="s">
        <v>4523</v>
      </c>
      <c r="C439" s="41" t="s">
        <v>3490</v>
      </c>
      <c r="D439" s="42">
        <v>38513</v>
      </c>
      <c r="E439" s="41">
        <v>10</v>
      </c>
      <c r="F439" s="41">
        <v>1</v>
      </c>
      <c r="G439" s="41" t="s">
        <v>4524</v>
      </c>
      <c r="H439" s="41">
        <v>10</v>
      </c>
    </row>
    <row r="440" spans="1:8" ht="16" x14ac:dyDescent="0.2">
      <c r="A440" s="41" t="s">
        <v>294</v>
      </c>
      <c r="B440" s="41" t="s">
        <v>4525</v>
      </c>
      <c r="C440" s="41" t="s">
        <v>3490</v>
      </c>
      <c r="D440" s="42">
        <v>36187</v>
      </c>
      <c r="E440" s="41">
        <v>10</v>
      </c>
      <c r="F440" s="41">
        <v>1</v>
      </c>
      <c r="G440" s="41" t="s">
        <v>4526</v>
      </c>
      <c r="H440" s="41">
        <v>10</v>
      </c>
    </row>
    <row r="441" spans="1:8" ht="16" x14ac:dyDescent="0.2">
      <c r="A441" s="41" t="s">
        <v>295</v>
      </c>
      <c r="B441" s="41" t="s">
        <v>4527</v>
      </c>
      <c r="C441" s="41" t="s">
        <v>3490</v>
      </c>
      <c r="D441" s="42">
        <v>36068</v>
      </c>
      <c r="E441" s="41">
        <v>5</v>
      </c>
      <c r="F441" s="41">
        <v>1</v>
      </c>
      <c r="G441" s="41" t="s">
        <v>4528</v>
      </c>
      <c r="H441" s="41">
        <v>5</v>
      </c>
    </row>
    <row r="442" spans="1:8" ht="16" x14ac:dyDescent="0.2">
      <c r="A442" s="41" t="s">
        <v>296</v>
      </c>
      <c r="B442" s="41" t="s">
        <v>4529</v>
      </c>
      <c r="C442" s="41" t="s">
        <v>3490</v>
      </c>
      <c r="D442" s="42">
        <v>45117</v>
      </c>
      <c r="E442" s="41">
        <v>10</v>
      </c>
      <c r="F442" s="41">
        <v>1</v>
      </c>
      <c r="G442" s="41" t="s">
        <v>4530</v>
      </c>
      <c r="H442" s="41">
        <v>10</v>
      </c>
    </row>
    <row r="443" spans="1:8" ht="16" x14ac:dyDescent="0.2">
      <c r="A443" s="41" t="s">
        <v>297</v>
      </c>
      <c r="B443" s="41" t="s">
        <v>4531</v>
      </c>
      <c r="C443" s="41" t="s">
        <v>3490</v>
      </c>
      <c r="D443" s="42">
        <v>36278</v>
      </c>
      <c r="E443" s="41">
        <v>1</v>
      </c>
      <c r="F443" s="41">
        <v>1</v>
      </c>
      <c r="G443" s="41" t="s">
        <v>4532</v>
      </c>
      <c r="H443" s="41">
        <v>1</v>
      </c>
    </row>
    <row r="444" spans="1:8" ht="16" x14ac:dyDescent="0.2">
      <c r="A444" s="41" t="s">
        <v>298</v>
      </c>
      <c r="B444" s="41" t="s">
        <v>4533</v>
      </c>
      <c r="C444" s="41" t="s">
        <v>3490</v>
      </c>
      <c r="D444" s="42">
        <v>43487</v>
      </c>
      <c r="E444" s="41">
        <v>2</v>
      </c>
      <c r="F444" s="41">
        <v>1</v>
      </c>
      <c r="G444" s="41" t="s">
        <v>4534</v>
      </c>
      <c r="H444" s="41">
        <v>2</v>
      </c>
    </row>
    <row r="445" spans="1:8" ht="16" x14ac:dyDescent="0.2">
      <c r="A445" s="41" t="s">
        <v>299</v>
      </c>
      <c r="B445" s="41" t="s">
        <v>4535</v>
      </c>
      <c r="C445" s="41" t="s">
        <v>3490</v>
      </c>
      <c r="D445" s="42">
        <v>35081</v>
      </c>
      <c r="E445" s="41">
        <v>2</v>
      </c>
      <c r="F445" s="41">
        <v>1</v>
      </c>
      <c r="G445" s="41" t="s">
        <v>4536</v>
      </c>
      <c r="H445" s="41">
        <v>2</v>
      </c>
    </row>
    <row r="446" spans="1:8" ht="16" x14ac:dyDescent="0.2">
      <c r="A446" s="41" t="s">
        <v>4537</v>
      </c>
      <c r="B446" s="41" t="s">
        <v>4538</v>
      </c>
      <c r="C446" s="41" t="s">
        <v>3490</v>
      </c>
      <c r="D446" s="42">
        <v>45653</v>
      </c>
      <c r="E446" s="41">
        <v>2</v>
      </c>
      <c r="F446" s="41">
        <v>1</v>
      </c>
      <c r="G446" s="41" t="s">
        <v>4539</v>
      </c>
      <c r="H446" s="41">
        <v>2</v>
      </c>
    </row>
    <row r="447" spans="1:8" ht="16" x14ac:dyDescent="0.2">
      <c r="A447" s="41" t="s">
        <v>4540</v>
      </c>
      <c r="B447" s="41" t="s">
        <v>4541</v>
      </c>
      <c r="C447" s="41" t="s">
        <v>3490</v>
      </c>
      <c r="D447" s="42">
        <v>42555</v>
      </c>
      <c r="E447" s="41">
        <v>5</v>
      </c>
      <c r="F447" s="41">
        <v>1</v>
      </c>
      <c r="G447" s="41" t="s">
        <v>4542</v>
      </c>
      <c r="H447" s="41">
        <v>5</v>
      </c>
    </row>
    <row r="448" spans="1:8" ht="16" x14ac:dyDescent="0.2">
      <c r="A448" s="41" t="s">
        <v>4543</v>
      </c>
      <c r="B448" s="41" t="s">
        <v>4544</v>
      </c>
      <c r="C448" s="41" t="s">
        <v>3510</v>
      </c>
      <c r="D448" s="42">
        <v>44148</v>
      </c>
      <c r="E448" s="41">
        <v>1</v>
      </c>
      <c r="F448" s="41">
        <v>1</v>
      </c>
      <c r="G448" s="41" t="s">
        <v>4545</v>
      </c>
      <c r="H448" s="41">
        <v>1</v>
      </c>
    </row>
    <row r="449" spans="1:8" ht="16" x14ac:dyDescent="0.2">
      <c r="A449" s="41" t="s">
        <v>300</v>
      </c>
      <c r="B449" s="41" t="s">
        <v>4546</v>
      </c>
      <c r="C449" s="41" t="s">
        <v>3490</v>
      </c>
      <c r="D449" s="42">
        <v>38114</v>
      </c>
      <c r="E449" s="41">
        <v>5</v>
      </c>
      <c r="F449" s="41">
        <v>1</v>
      </c>
      <c r="G449" s="41" t="s">
        <v>4547</v>
      </c>
      <c r="H449" s="41">
        <v>5</v>
      </c>
    </row>
    <row r="450" spans="1:8" ht="16" x14ac:dyDescent="0.2">
      <c r="A450" s="41" t="s">
        <v>301</v>
      </c>
      <c r="B450" s="41" t="s">
        <v>4548</v>
      </c>
      <c r="C450" s="41" t="s">
        <v>3490</v>
      </c>
      <c r="D450" s="42">
        <v>44554</v>
      </c>
      <c r="E450" s="41">
        <v>2</v>
      </c>
      <c r="F450" s="41">
        <v>1</v>
      </c>
      <c r="G450" s="41" t="s">
        <v>4549</v>
      </c>
      <c r="H450" s="41">
        <v>2</v>
      </c>
    </row>
    <row r="451" spans="1:8" ht="16" x14ac:dyDescent="0.2">
      <c r="A451" s="41" t="s">
        <v>302</v>
      </c>
      <c r="B451" s="41" t="s">
        <v>4550</v>
      </c>
      <c r="C451" s="41" t="s">
        <v>3490</v>
      </c>
      <c r="D451" s="42">
        <v>45316</v>
      </c>
      <c r="E451" s="41">
        <v>1</v>
      </c>
      <c r="F451" s="41">
        <v>1</v>
      </c>
      <c r="G451" s="41" t="s">
        <v>4551</v>
      </c>
      <c r="H451" s="41">
        <v>1</v>
      </c>
    </row>
    <row r="452" spans="1:8" ht="16" x14ac:dyDescent="0.2">
      <c r="A452" s="41" t="s">
        <v>303</v>
      </c>
      <c r="B452" s="41" t="s">
        <v>4552</v>
      </c>
      <c r="C452" s="41" t="s">
        <v>3490</v>
      </c>
      <c r="D452" s="42">
        <v>40184</v>
      </c>
      <c r="E452" s="41">
        <v>10</v>
      </c>
      <c r="F452" s="41">
        <v>1</v>
      </c>
      <c r="G452" s="41" t="s">
        <v>4553</v>
      </c>
      <c r="H452" s="41">
        <v>10</v>
      </c>
    </row>
    <row r="453" spans="1:8" ht="16" x14ac:dyDescent="0.2">
      <c r="A453" s="41" t="s">
        <v>4554</v>
      </c>
      <c r="B453" s="41" t="s">
        <v>4555</v>
      </c>
      <c r="C453" s="41" t="s">
        <v>3490</v>
      </c>
      <c r="D453" s="42">
        <v>45593</v>
      </c>
      <c r="E453" s="41">
        <v>10</v>
      </c>
      <c r="F453" s="41">
        <v>1</v>
      </c>
      <c r="G453" s="41" t="s">
        <v>4556</v>
      </c>
      <c r="H453" s="41">
        <v>10</v>
      </c>
    </row>
    <row r="454" spans="1:8" ht="16" x14ac:dyDescent="0.2">
      <c r="A454" s="41" t="s">
        <v>304</v>
      </c>
      <c r="B454" s="41" t="s">
        <v>4557</v>
      </c>
      <c r="C454" s="41" t="s">
        <v>3490</v>
      </c>
      <c r="D454" s="42">
        <v>42593</v>
      </c>
      <c r="E454" s="41">
        <v>10</v>
      </c>
      <c r="F454" s="41">
        <v>1</v>
      </c>
      <c r="G454" s="41" t="s">
        <v>4558</v>
      </c>
      <c r="H454" s="41">
        <v>10</v>
      </c>
    </row>
    <row r="455" spans="1:8" ht="16" x14ac:dyDescent="0.2">
      <c r="A455" s="41" t="s">
        <v>305</v>
      </c>
      <c r="B455" s="41" t="s">
        <v>4559</v>
      </c>
      <c r="C455" s="41" t="s">
        <v>3490</v>
      </c>
      <c r="D455" s="42">
        <v>44812</v>
      </c>
      <c r="E455" s="41">
        <v>10</v>
      </c>
      <c r="F455" s="41">
        <v>1</v>
      </c>
      <c r="G455" s="41" t="s">
        <v>4560</v>
      </c>
      <c r="H455" s="41">
        <v>10</v>
      </c>
    </row>
    <row r="456" spans="1:8" ht="16" x14ac:dyDescent="0.2">
      <c r="A456" s="41" t="s">
        <v>306</v>
      </c>
      <c r="B456" s="41" t="s">
        <v>4561</v>
      </c>
      <c r="C456" s="41" t="s">
        <v>3490</v>
      </c>
      <c r="D456" s="42">
        <v>40233</v>
      </c>
      <c r="E456" s="41">
        <v>10</v>
      </c>
      <c r="F456" s="41">
        <v>1</v>
      </c>
      <c r="G456" s="41" t="s">
        <v>4562</v>
      </c>
      <c r="H456" s="41">
        <v>10</v>
      </c>
    </row>
    <row r="457" spans="1:8" ht="16" x14ac:dyDescent="0.2">
      <c r="A457" s="41" t="s">
        <v>4563</v>
      </c>
      <c r="B457" s="41" t="s">
        <v>4564</v>
      </c>
      <c r="C457" s="41" t="s">
        <v>3490</v>
      </c>
      <c r="D457" s="42">
        <v>40968</v>
      </c>
      <c r="E457" s="41">
        <v>2</v>
      </c>
      <c r="F457" s="41">
        <v>1</v>
      </c>
      <c r="G457" s="41" t="s">
        <v>4565</v>
      </c>
      <c r="H457" s="41">
        <v>2</v>
      </c>
    </row>
    <row r="458" spans="1:8" ht="16" x14ac:dyDescent="0.2">
      <c r="A458" s="41" t="s">
        <v>307</v>
      </c>
      <c r="B458" s="41" t="s">
        <v>4566</v>
      </c>
      <c r="C458" s="41" t="s">
        <v>3510</v>
      </c>
      <c r="D458" s="42">
        <v>42999</v>
      </c>
      <c r="E458" s="41">
        <v>2</v>
      </c>
      <c r="F458" s="41">
        <v>1</v>
      </c>
      <c r="G458" s="41" t="s">
        <v>4567</v>
      </c>
      <c r="H458" s="41">
        <v>2</v>
      </c>
    </row>
    <row r="459" spans="1:8" ht="16" x14ac:dyDescent="0.2">
      <c r="A459" s="41" t="s">
        <v>308</v>
      </c>
      <c r="B459" s="41" t="s">
        <v>4568</v>
      </c>
      <c r="C459" s="41" t="s">
        <v>3490</v>
      </c>
      <c r="D459" s="42">
        <v>39017</v>
      </c>
      <c r="E459" s="41">
        <v>10</v>
      </c>
      <c r="F459" s="41">
        <v>1</v>
      </c>
      <c r="G459" s="41" t="s">
        <v>4569</v>
      </c>
      <c r="H459" s="41">
        <v>10</v>
      </c>
    </row>
    <row r="460" spans="1:8" ht="16" x14ac:dyDescent="0.2">
      <c r="A460" s="41" t="s">
        <v>4570</v>
      </c>
      <c r="B460" s="41" t="s">
        <v>4571</v>
      </c>
      <c r="C460" s="41" t="s">
        <v>3490</v>
      </c>
      <c r="D460" s="42">
        <v>44853</v>
      </c>
      <c r="E460" s="41">
        <v>10</v>
      </c>
      <c r="F460" s="41">
        <v>1</v>
      </c>
      <c r="G460" s="41" t="s">
        <v>4572</v>
      </c>
      <c r="H460" s="41">
        <v>10</v>
      </c>
    </row>
    <row r="461" spans="1:8" ht="16" x14ac:dyDescent="0.2">
      <c r="A461" s="41" t="s">
        <v>4573</v>
      </c>
      <c r="B461" s="41" t="s">
        <v>4574</v>
      </c>
      <c r="C461" s="41" t="s">
        <v>3490</v>
      </c>
      <c r="D461" s="42">
        <v>34787</v>
      </c>
      <c r="E461" s="41">
        <v>10</v>
      </c>
      <c r="F461" s="41">
        <v>1</v>
      </c>
      <c r="G461" s="41" t="s">
        <v>4575</v>
      </c>
      <c r="H461" s="41">
        <v>10</v>
      </c>
    </row>
    <row r="462" spans="1:8" ht="16" x14ac:dyDescent="0.2">
      <c r="A462" s="41" t="s">
        <v>4576</v>
      </c>
      <c r="B462" s="41" t="s">
        <v>4577</v>
      </c>
      <c r="C462" s="41" t="s">
        <v>3510</v>
      </c>
      <c r="D462" s="42">
        <v>35571</v>
      </c>
      <c r="E462" s="41">
        <v>10</v>
      </c>
      <c r="F462" s="41">
        <v>1</v>
      </c>
      <c r="G462" s="41" t="s">
        <v>4578</v>
      </c>
      <c r="H462" s="41">
        <v>10</v>
      </c>
    </row>
    <row r="463" spans="1:8" ht="16" x14ac:dyDescent="0.2">
      <c r="A463" s="41" t="s">
        <v>309</v>
      </c>
      <c r="B463" s="41" t="s">
        <v>4579</v>
      </c>
      <c r="C463" s="41" t="s">
        <v>3490</v>
      </c>
      <c r="D463" s="42">
        <v>43662</v>
      </c>
      <c r="E463" s="41">
        <v>10</v>
      </c>
      <c r="F463" s="41">
        <v>1</v>
      </c>
      <c r="G463" s="41" t="s">
        <v>4580</v>
      </c>
      <c r="H463" s="41">
        <v>10</v>
      </c>
    </row>
    <row r="464" spans="1:8" ht="16" x14ac:dyDescent="0.2">
      <c r="A464" s="41" t="s">
        <v>310</v>
      </c>
      <c r="B464" s="41" t="s">
        <v>4581</v>
      </c>
      <c r="C464" s="41" t="s">
        <v>3490</v>
      </c>
      <c r="D464" s="42">
        <v>34801</v>
      </c>
      <c r="E464" s="41">
        <v>2</v>
      </c>
      <c r="F464" s="41">
        <v>1</v>
      </c>
      <c r="G464" s="41" t="s">
        <v>4582</v>
      </c>
      <c r="H464" s="41">
        <v>2</v>
      </c>
    </row>
    <row r="465" spans="1:8" ht="16" x14ac:dyDescent="0.2">
      <c r="A465" s="41" t="s">
        <v>311</v>
      </c>
      <c r="B465" s="41" t="s">
        <v>4583</v>
      </c>
      <c r="C465" s="41" t="s">
        <v>3490</v>
      </c>
      <c r="D465" s="42">
        <v>44554</v>
      </c>
      <c r="E465" s="41">
        <v>2</v>
      </c>
      <c r="F465" s="41">
        <v>1</v>
      </c>
      <c r="G465" s="41" t="s">
        <v>4584</v>
      </c>
      <c r="H465" s="41">
        <v>2</v>
      </c>
    </row>
    <row r="466" spans="1:8" ht="16" x14ac:dyDescent="0.2">
      <c r="A466" s="41" t="s">
        <v>312</v>
      </c>
      <c r="B466" s="41" t="s">
        <v>4585</v>
      </c>
      <c r="C466" s="41" t="s">
        <v>3490</v>
      </c>
      <c r="D466" s="42">
        <v>34844</v>
      </c>
      <c r="E466" s="41">
        <v>2</v>
      </c>
      <c r="F466" s="41">
        <v>1</v>
      </c>
      <c r="G466" s="41" t="s">
        <v>4586</v>
      </c>
      <c r="H466" s="41">
        <v>2</v>
      </c>
    </row>
    <row r="467" spans="1:8" ht="16" x14ac:dyDescent="0.2">
      <c r="A467" s="41" t="s">
        <v>313</v>
      </c>
      <c r="B467" s="41" t="s">
        <v>4587</v>
      </c>
      <c r="C467" s="41" t="s">
        <v>3490</v>
      </c>
      <c r="D467" s="42">
        <v>44876</v>
      </c>
      <c r="E467" s="41">
        <v>2</v>
      </c>
      <c r="F467" s="41">
        <v>1</v>
      </c>
      <c r="G467" s="41" t="s">
        <v>4588</v>
      </c>
      <c r="H467" s="41">
        <v>2</v>
      </c>
    </row>
    <row r="468" spans="1:8" ht="16" x14ac:dyDescent="0.2">
      <c r="A468" s="41" t="s">
        <v>4589</v>
      </c>
      <c r="B468" s="41" t="s">
        <v>4590</v>
      </c>
      <c r="C468" s="41" t="s">
        <v>3490</v>
      </c>
      <c r="D468" s="42">
        <v>45672</v>
      </c>
      <c r="E468" s="41">
        <v>1</v>
      </c>
      <c r="F468" s="41">
        <v>1</v>
      </c>
      <c r="G468" s="41" t="s">
        <v>4591</v>
      </c>
      <c r="H468" s="41">
        <v>1</v>
      </c>
    </row>
    <row r="469" spans="1:8" ht="16" x14ac:dyDescent="0.2">
      <c r="A469" s="41" t="s">
        <v>314</v>
      </c>
      <c r="B469" s="41" t="s">
        <v>4592</v>
      </c>
      <c r="C469" s="41" t="s">
        <v>3490</v>
      </c>
      <c r="D469" s="42">
        <v>39296</v>
      </c>
      <c r="E469" s="41">
        <v>5</v>
      </c>
      <c r="F469" s="41">
        <v>1</v>
      </c>
      <c r="G469" s="41" t="s">
        <v>4593</v>
      </c>
      <c r="H469" s="41">
        <v>5</v>
      </c>
    </row>
    <row r="470" spans="1:8" ht="16" x14ac:dyDescent="0.2">
      <c r="A470" s="41" t="s">
        <v>315</v>
      </c>
      <c r="B470" s="41" t="s">
        <v>4594</v>
      </c>
      <c r="C470" s="41" t="s">
        <v>3490</v>
      </c>
      <c r="D470" s="42">
        <v>45469</v>
      </c>
      <c r="E470" s="41">
        <v>10</v>
      </c>
      <c r="F470" s="41">
        <v>1</v>
      </c>
      <c r="G470" s="41" t="s">
        <v>4595</v>
      </c>
      <c r="H470" s="41">
        <v>10</v>
      </c>
    </row>
    <row r="471" spans="1:8" ht="16" x14ac:dyDescent="0.2">
      <c r="A471" s="41" t="s">
        <v>316</v>
      </c>
      <c r="B471" s="41" t="s">
        <v>4596</v>
      </c>
      <c r="C471" s="41" t="s">
        <v>3490</v>
      </c>
      <c r="D471" s="42">
        <v>37638</v>
      </c>
      <c r="E471" s="41">
        <v>10</v>
      </c>
      <c r="F471" s="41">
        <v>1</v>
      </c>
      <c r="G471" s="41" t="s">
        <v>4597</v>
      </c>
      <c r="H471" s="41">
        <v>10</v>
      </c>
    </row>
    <row r="472" spans="1:8" ht="16" x14ac:dyDescent="0.2">
      <c r="A472" s="41" t="s">
        <v>317</v>
      </c>
      <c r="B472" s="41" t="s">
        <v>4598</v>
      </c>
      <c r="C472" s="41" t="s">
        <v>3490</v>
      </c>
      <c r="D472" s="42">
        <v>40450</v>
      </c>
      <c r="E472" s="41">
        <v>2</v>
      </c>
      <c r="F472" s="41">
        <v>1</v>
      </c>
      <c r="G472" s="41" t="s">
        <v>4599</v>
      </c>
      <c r="H472" s="41">
        <v>2</v>
      </c>
    </row>
    <row r="473" spans="1:8" ht="16" x14ac:dyDescent="0.2">
      <c r="A473" s="41" t="s">
        <v>318</v>
      </c>
      <c r="B473" s="41" t="s">
        <v>4600</v>
      </c>
      <c r="C473" s="41" t="s">
        <v>3490</v>
      </c>
      <c r="D473" s="42">
        <v>44313</v>
      </c>
      <c r="E473" s="41">
        <v>5</v>
      </c>
      <c r="F473" s="41">
        <v>1</v>
      </c>
      <c r="G473" s="41" t="s">
        <v>4601</v>
      </c>
      <c r="H473" s="41">
        <v>5</v>
      </c>
    </row>
    <row r="474" spans="1:8" ht="16" x14ac:dyDescent="0.2">
      <c r="A474" s="41" t="s">
        <v>319</v>
      </c>
      <c r="B474" s="41" t="s">
        <v>4602</v>
      </c>
      <c r="C474" s="41" t="s">
        <v>3490</v>
      </c>
      <c r="D474" s="42">
        <v>44705</v>
      </c>
      <c r="E474" s="41">
        <v>1</v>
      </c>
      <c r="F474" s="41">
        <v>1</v>
      </c>
      <c r="G474" s="41" t="s">
        <v>4603</v>
      </c>
      <c r="H474" s="41">
        <v>1</v>
      </c>
    </row>
    <row r="475" spans="1:8" ht="16" x14ac:dyDescent="0.2">
      <c r="A475" s="41" t="s">
        <v>4604</v>
      </c>
      <c r="B475" s="41" t="s">
        <v>4605</v>
      </c>
      <c r="C475" s="41" t="s">
        <v>3510</v>
      </c>
      <c r="D475" s="42">
        <v>40722</v>
      </c>
      <c r="E475" s="41">
        <v>10</v>
      </c>
      <c r="F475" s="41">
        <v>1</v>
      </c>
      <c r="G475" s="41" t="s">
        <v>4606</v>
      </c>
      <c r="H475" s="41">
        <v>10</v>
      </c>
    </row>
    <row r="476" spans="1:8" ht="16" x14ac:dyDescent="0.2">
      <c r="A476" s="41" t="s">
        <v>320</v>
      </c>
      <c r="B476" s="41" t="s">
        <v>4607</v>
      </c>
      <c r="C476" s="41" t="s">
        <v>3490</v>
      </c>
      <c r="D476" s="42">
        <v>39388</v>
      </c>
      <c r="E476" s="41">
        <v>1</v>
      </c>
      <c r="F476" s="41">
        <v>1</v>
      </c>
      <c r="G476" s="41" t="s">
        <v>4608</v>
      </c>
      <c r="H476" s="41">
        <v>1</v>
      </c>
    </row>
    <row r="477" spans="1:8" ht="16" x14ac:dyDescent="0.2">
      <c r="A477" s="41" t="s">
        <v>4609</v>
      </c>
      <c r="B477" s="41" t="s">
        <v>4610</v>
      </c>
      <c r="C477" s="41" t="s">
        <v>3510</v>
      </c>
      <c r="D477" s="42">
        <v>34990</v>
      </c>
      <c r="E477" s="41">
        <v>10</v>
      </c>
      <c r="F477" s="41">
        <v>1</v>
      </c>
      <c r="G477" s="41" t="s">
        <v>4611</v>
      </c>
      <c r="H477" s="41">
        <v>10</v>
      </c>
    </row>
    <row r="478" spans="1:8" ht="16" x14ac:dyDescent="0.2">
      <c r="A478" s="41" t="s">
        <v>321</v>
      </c>
      <c r="B478" s="41" t="s">
        <v>4612</v>
      </c>
      <c r="C478" s="41" t="s">
        <v>3490</v>
      </c>
      <c r="D478" s="42">
        <v>40141</v>
      </c>
      <c r="E478" s="41">
        <v>10</v>
      </c>
      <c r="F478" s="41">
        <v>1</v>
      </c>
      <c r="G478" s="41" t="s">
        <v>4613</v>
      </c>
      <c r="H478" s="41">
        <v>10</v>
      </c>
    </row>
    <row r="479" spans="1:8" ht="16" x14ac:dyDescent="0.2">
      <c r="A479" s="41" t="s">
        <v>322</v>
      </c>
      <c r="B479" s="41" t="s">
        <v>4614</v>
      </c>
      <c r="C479" s="41" t="s">
        <v>3490</v>
      </c>
      <c r="D479" s="42">
        <v>35649</v>
      </c>
      <c r="E479" s="41">
        <v>10</v>
      </c>
      <c r="F479" s="41">
        <v>1</v>
      </c>
      <c r="G479" s="41" t="s">
        <v>4615</v>
      </c>
      <c r="H479" s="41">
        <v>10</v>
      </c>
    </row>
    <row r="480" spans="1:8" ht="16" x14ac:dyDescent="0.2">
      <c r="A480" s="41" t="s">
        <v>4616</v>
      </c>
      <c r="B480" s="41" t="s">
        <v>4617</v>
      </c>
      <c r="C480" s="41" t="s">
        <v>3490</v>
      </c>
      <c r="D480" s="42">
        <v>45686</v>
      </c>
      <c r="E480" s="41">
        <v>10</v>
      </c>
      <c r="F480" s="41">
        <v>1</v>
      </c>
      <c r="G480" s="41" t="s">
        <v>4618</v>
      </c>
      <c r="H480" s="41">
        <v>10</v>
      </c>
    </row>
    <row r="481" spans="1:8" ht="16" x14ac:dyDescent="0.2">
      <c r="A481" s="41" t="s">
        <v>4619</v>
      </c>
      <c r="B481" s="41" t="s">
        <v>4620</v>
      </c>
      <c r="C481" s="41" t="s">
        <v>3490</v>
      </c>
      <c r="D481" s="42">
        <v>44607</v>
      </c>
      <c r="E481" s="41">
        <v>2</v>
      </c>
      <c r="F481" s="41">
        <v>1</v>
      </c>
      <c r="G481" s="41" t="s">
        <v>4621</v>
      </c>
      <c r="H481" s="41">
        <v>2</v>
      </c>
    </row>
    <row r="482" spans="1:8" ht="16" x14ac:dyDescent="0.2">
      <c r="A482" s="41" t="s">
        <v>324</v>
      </c>
      <c r="B482" s="41" t="s">
        <v>4622</v>
      </c>
      <c r="C482" s="41" t="s">
        <v>3490</v>
      </c>
      <c r="D482" s="42">
        <v>44424</v>
      </c>
      <c r="E482" s="41">
        <v>1</v>
      </c>
      <c r="F482" s="41">
        <v>1</v>
      </c>
      <c r="G482" s="41" t="s">
        <v>4623</v>
      </c>
      <c r="H482" s="41">
        <v>1</v>
      </c>
    </row>
    <row r="483" spans="1:8" ht="16" x14ac:dyDescent="0.2">
      <c r="A483" s="41" t="s">
        <v>4624</v>
      </c>
      <c r="B483" s="41" t="s">
        <v>4625</v>
      </c>
      <c r="C483" s="41" t="s">
        <v>3510</v>
      </c>
      <c r="D483" s="42">
        <v>43634</v>
      </c>
      <c r="E483" s="41">
        <v>2</v>
      </c>
      <c r="F483" s="41">
        <v>1</v>
      </c>
      <c r="G483" s="41" t="s">
        <v>4626</v>
      </c>
      <c r="H483" s="41">
        <v>2</v>
      </c>
    </row>
    <row r="484" spans="1:8" ht="16" x14ac:dyDescent="0.2">
      <c r="A484" s="41" t="s">
        <v>325</v>
      </c>
      <c r="B484" s="41" t="s">
        <v>4627</v>
      </c>
      <c r="C484" s="41" t="s">
        <v>3490</v>
      </c>
      <c r="D484" s="42">
        <v>34787</v>
      </c>
      <c r="E484" s="41">
        <v>10</v>
      </c>
      <c r="F484" s="41">
        <v>1</v>
      </c>
      <c r="G484" s="41" t="s">
        <v>4628</v>
      </c>
      <c r="H484" s="41">
        <v>10</v>
      </c>
    </row>
    <row r="485" spans="1:8" ht="16" x14ac:dyDescent="0.2">
      <c r="A485" s="41" t="s">
        <v>326</v>
      </c>
      <c r="B485" s="41" t="s">
        <v>4629</v>
      </c>
      <c r="C485" s="41" t="s">
        <v>3490</v>
      </c>
      <c r="D485" s="42">
        <v>38078</v>
      </c>
      <c r="E485" s="41">
        <v>10</v>
      </c>
      <c r="F485" s="41">
        <v>1</v>
      </c>
      <c r="G485" s="41" t="s">
        <v>4630</v>
      </c>
      <c r="H485" s="41">
        <v>10</v>
      </c>
    </row>
    <row r="486" spans="1:8" ht="16" x14ac:dyDescent="0.2">
      <c r="A486" s="41" t="s">
        <v>327</v>
      </c>
      <c r="B486" s="41" t="s">
        <v>4631</v>
      </c>
      <c r="C486" s="41" t="s">
        <v>3490</v>
      </c>
      <c r="D486" s="42">
        <v>39540</v>
      </c>
      <c r="E486" s="41">
        <v>2</v>
      </c>
      <c r="F486" s="41">
        <v>1</v>
      </c>
      <c r="G486" s="41" t="s">
        <v>4632</v>
      </c>
      <c r="H486" s="41">
        <v>2</v>
      </c>
    </row>
    <row r="487" spans="1:8" ht="16" x14ac:dyDescent="0.2">
      <c r="A487" s="41" t="s">
        <v>328</v>
      </c>
      <c r="B487" s="41" t="s">
        <v>4633</v>
      </c>
      <c r="C487" s="41" t="s">
        <v>3490</v>
      </c>
      <c r="D487" s="42">
        <v>40723</v>
      </c>
      <c r="E487" s="41">
        <v>2</v>
      </c>
      <c r="F487" s="41">
        <v>1</v>
      </c>
      <c r="G487" s="41" t="s">
        <v>4634</v>
      </c>
      <c r="H487" s="41">
        <v>2</v>
      </c>
    </row>
    <row r="488" spans="1:8" ht="16" x14ac:dyDescent="0.2">
      <c r="A488" s="41" t="s">
        <v>4635</v>
      </c>
      <c r="B488" s="41" t="s">
        <v>4636</v>
      </c>
      <c r="C488" s="41" t="s">
        <v>3510</v>
      </c>
      <c r="D488" s="42">
        <v>43192</v>
      </c>
      <c r="E488" s="41">
        <v>1</v>
      </c>
      <c r="F488" s="41">
        <v>1</v>
      </c>
      <c r="G488" s="41" t="s">
        <v>4637</v>
      </c>
      <c r="H488" s="41">
        <v>1</v>
      </c>
    </row>
    <row r="489" spans="1:8" ht="16" x14ac:dyDescent="0.2">
      <c r="A489" s="41" t="s">
        <v>329</v>
      </c>
      <c r="B489" s="41" t="s">
        <v>4638</v>
      </c>
      <c r="C489" s="41" t="s">
        <v>3510</v>
      </c>
      <c r="D489" s="42">
        <v>44903</v>
      </c>
      <c r="E489" s="41">
        <v>10</v>
      </c>
      <c r="F489" s="41">
        <v>1</v>
      </c>
      <c r="G489" s="41" t="s">
        <v>4639</v>
      </c>
      <c r="H489" s="41">
        <v>10</v>
      </c>
    </row>
    <row r="490" spans="1:8" ht="16" x14ac:dyDescent="0.2">
      <c r="A490" s="41" t="s">
        <v>4640</v>
      </c>
      <c r="B490" s="41" t="s">
        <v>4641</v>
      </c>
      <c r="C490" s="41" t="s">
        <v>3510</v>
      </c>
      <c r="D490" s="42">
        <v>44525</v>
      </c>
      <c r="E490" s="41">
        <v>10</v>
      </c>
      <c r="F490" s="41">
        <v>1</v>
      </c>
      <c r="G490" s="41" t="s">
        <v>4642</v>
      </c>
      <c r="H490" s="41">
        <v>10</v>
      </c>
    </row>
    <row r="491" spans="1:8" ht="16" x14ac:dyDescent="0.2">
      <c r="A491" s="41" t="s">
        <v>330</v>
      </c>
      <c r="B491" s="41" t="s">
        <v>4643</v>
      </c>
      <c r="C491" s="41" t="s">
        <v>3490</v>
      </c>
      <c r="D491" s="42">
        <v>40620</v>
      </c>
      <c r="E491" s="41">
        <v>10</v>
      </c>
      <c r="F491" s="41">
        <v>1</v>
      </c>
      <c r="G491" s="41" t="s">
        <v>4644</v>
      </c>
      <c r="H491" s="41">
        <v>10</v>
      </c>
    </row>
    <row r="492" spans="1:8" ht="16" x14ac:dyDescent="0.2">
      <c r="A492" s="41" t="s">
        <v>331</v>
      </c>
      <c r="B492" s="41" t="s">
        <v>4645</v>
      </c>
      <c r="C492" s="41" t="s">
        <v>3490</v>
      </c>
      <c r="D492" s="42">
        <v>45184</v>
      </c>
      <c r="E492" s="41">
        <v>1</v>
      </c>
      <c r="F492" s="41">
        <v>1</v>
      </c>
      <c r="G492" s="41" t="s">
        <v>4646</v>
      </c>
      <c r="H492" s="41">
        <v>1</v>
      </c>
    </row>
    <row r="493" spans="1:8" ht="16" x14ac:dyDescent="0.2">
      <c r="A493" s="41" t="s">
        <v>332</v>
      </c>
      <c r="B493" s="41" t="s">
        <v>4647</v>
      </c>
      <c r="C493" s="41" t="s">
        <v>3490</v>
      </c>
      <c r="D493" s="42">
        <v>45194</v>
      </c>
      <c r="E493" s="41">
        <v>10</v>
      </c>
      <c r="F493" s="41">
        <v>1</v>
      </c>
      <c r="G493" s="41" t="s">
        <v>4648</v>
      </c>
      <c r="H493" s="41">
        <v>10</v>
      </c>
    </row>
    <row r="494" spans="1:8" ht="16" x14ac:dyDescent="0.2">
      <c r="A494" s="41" t="s">
        <v>333</v>
      </c>
      <c r="B494" s="41" t="s">
        <v>4649</v>
      </c>
      <c r="C494" s="41" t="s">
        <v>3490</v>
      </c>
      <c r="D494" s="42">
        <v>43013</v>
      </c>
      <c r="E494" s="41">
        <v>5</v>
      </c>
      <c r="F494" s="41">
        <v>1</v>
      </c>
      <c r="G494" s="41" t="s">
        <v>4650</v>
      </c>
      <c r="H494" s="41">
        <v>5</v>
      </c>
    </row>
    <row r="495" spans="1:8" ht="16" x14ac:dyDescent="0.2">
      <c r="A495" s="41" t="s">
        <v>4651</v>
      </c>
      <c r="B495" s="41" t="s">
        <v>4652</v>
      </c>
      <c r="C495" s="41" t="s">
        <v>3490</v>
      </c>
      <c r="D495" s="42">
        <v>34941</v>
      </c>
      <c r="E495" s="41">
        <v>10</v>
      </c>
      <c r="F495" s="41">
        <v>1</v>
      </c>
      <c r="G495" s="41" t="s">
        <v>4653</v>
      </c>
      <c r="H495" s="41">
        <v>10</v>
      </c>
    </row>
    <row r="496" spans="1:8" ht="16" x14ac:dyDescent="0.2">
      <c r="A496" s="41" t="s">
        <v>4654</v>
      </c>
      <c r="B496" s="41" t="s">
        <v>4655</v>
      </c>
      <c r="C496" s="41" t="s">
        <v>3490</v>
      </c>
      <c r="D496" s="42">
        <v>45569</v>
      </c>
      <c r="E496" s="41">
        <v>10</v>
      </c>
      <c r="F496" s="41">
        <v>1</v>
      </c>
      <c r="G496" s="41" t="s">
        <v>4656</v>
      </c>
      <c r="H496" s="41">
        <v>10</v>
      </c>
    </row>
    <row r="497" spans="1:8" ht="16" x14ac:dyDescent="0.2">
      <c r="A497" s="41" t="s">
        <v>4657</v>
      </c>
      <c r="B497" s="41" t="s">
        <v>4658</v>
      </c>
      <c r="C497" s="41" t="s">
        <v>3490</v>
      </c>
      <c r="D497" s="42">
        <v>45301</v>
      </c>
      <c r="E497" s="41">
        <v>10</v>
      </c>
      <c r="F497" s="41">
        <v>1</v>
      </c>
      <c r="G497" s="41" t="s">
        <v>4659</v>
      </c>
      <c r="H497" s="41">
        <v>10</v>
      </c>
    </row>
    <row r="498" spans="1:8" ht="16" x14ac:dyDescent="0.2">
      <c r="A498" s="41" t="s">
        <v>334</v>
      </c>
      <c r="B498" s="41" t="s">
        <v>4660</v>
      </c>
      <c r="C498" s="41" t="s">
        <v>3490</v>
      </c>
      <c r="D498" s="42">
        <v>39595</v>
      </c>
      <c r="E498" s="41">
        <v>3</v>
      </c>
      <c r="F498" s="41">
        <v>1</v>
      </c>
      <c r="G498" s="41" t="s">
        <v>4661</v>
      </c>
      <c r="H498" s="41">
        <v>3</v>
      </c>
    </row>
    <row r="499" spans="1:8" ht="16" x14ac:dyDescent="0.2">
      <c r="A499" s="41" t="s">
        <v>4662</v>
      </c>
      <c r="B499" s="41" t="s">
        <v>4663</v>
      </c>
      <c r="C499" s="41" t="s">
        <v>3490</v>
      </c>
      <c r="D499" s="42">
        <v>45819</v>
      </c>
      <c r="E499" s="41">
        <v>10</v>
      </c>
      <c r="F499" s="41">
        <v>1</v>
      </c>
      <c r="G499" s="41" t="s">
        <v>4664</v>
      </c>
      <c r="H499" s="41">
        <v>10</v>
      </c>
    </row>
    <row r="500" spans="1:8" ht="16" x14ac:dyDescent="0.2">
      <c r="A500" s="41" t="s">
        <v>4665</v>
      </c>
      <c r="B500" s="41" t="s">
        <v>4666</v>
      </c>
      <c r="C500" s="41" t="s">
        <v>3510</v>
      </c>
      <c r="D500" s="42">
        <v>44487</v>
      </c>
      <c r="E500" s="41">
        <v>10</v>
      </c>
      <c r="F500" s="41">
        <v>1</v>
      </c>
      <c r="G500" s="41" t="s">
        <v>4667</v>
      </c>
      <c r="H500" s="41">
        <v>10</v>
      </c>
    </row>
    <row r="501" spans="1:8" ht="16" x14ac:dyDescent="0.2">
      <c r="A501" s="41" t="s">
        <v>4668</v>
      </c>
      <c r="B501" s="41" t="s">
        <v>4669</v>
      </c>
      <c r="C501" s="41" t="s">
        <v>3490</v>
      </c>
      <c r="D501" s="42">
        <v>44651</v>
      </c>
      <c r="E501" s="41">
        <v>10</v>
      </c>
      <c r="F501" s="41">
        <v>1</v>
      </c>
      <c r="G501" s="41" t="s">
        <v>4670</v>
      </c>
      <c r="H501" s="41">
        <v>10</v>
      </c>
    </row>
    <row r="502" spans="1:8" ht="16" x14ac:dyDescent="0.2">
      <c r="A502" s="41" t="s">
        <v>335</v>
      </c>
      <c r="B502" s="41" t="s">
        <v>4671</v>
      </c>
      <c r="C502" s="41" t="s">
        <v>3490</v>
      </c>
      <c r="D502" s="42">
        <v>39190</v>
      </c>
      <c r="E502" s="41">
        <v>1</v>
      </c>
      <c r="F502" s="41">
        <v>1</v>
      </c>
      <c r="G502" s="41" t="s">
        <v>4672</v>
      </c>
      <c r="H502" s="41">
        <v>1</v>
      </c>
    </row>
    <row r="503" spans="1:8" ht="16" x14ac:dyDescent="0.2">
      <c r="A503" s="41" t="s">
        <v>336</v>
      </c>
      <c r="B503" s="41" t="s">
        <v>4673</v>
      </c>
      <c r="C503" s="41" t="s">
        <v>3490</v>
      </c>
      <c r="D503" s="42">
        <v>44999</v>
      </c>
      <c r="E503" s="41">
        <v>5</v>
      </c>
      <c r="F503" s="41">
        <v>1</v>
      </c>
      <c r="G503" s="41" t="s">
        <v>4674</v>
      </c>
      <c r="H503" s="41">
        <v>5</v>
      </c>
    </row>
    <row r="504" spans="1:8" ht="16" x14ac:dyDescent="0.2">
      <c r="A504" s="41" t="s">
        <v>337</v>
      </c>
      <c r="B504" s="41" t="s">
        <v>4675</v>
      </c>
      <c r="C504" s="41" t="s">
        <v>3490</v>
      </c>
      <c r="D504" s="42">
        <v>37692</v>
      </c>
      <c r="E504" s="41">
        <v>2</v>
      </c>
      <c r="F504" s="41">
        <v>1</v>
      </c>
      <c r="G504" s="41" t="s">
        <v>4676</v>
      </c>
      <c r="H504" s="41">
        <v>2</v>
      </c>
    </row>
    <row r="505" spans="1:8" ht="16" x14ac:dyDescent="0.2">
      <c r="A505" s="41" t="s">
        <v>338</v>
      </c>
      <c r="B505" s="41" t="s">
        <v>4677</v>
      </c>
      <c r="C505" s="41" t="s">
        <v>3490</v>
      </c>
      <c r="D505" s="42">
        <v>42996</v>
      </c>
      <c r="E505" s="41">
        <v>2</v>
      </c>
      <c r="F505" s="41">
        <v>1</v>
      </c>
      <c r="G505" s="41" t="s">
        <v>4678</v>
      </c>
      <c r="H505" s="41">
        <v>2</v>
      </c>
    </row>
    <row r="506" spans="1:8" ht="16" x14ac:dyDescent="0.2">
      <c r="A506" s="41" t="s">
        <v>4679</v>
      </c>
      <c r="B506" s="41" t="s">
        <v>4680</v>
      </c>
      <c r="C506" s="41" t="s">
        <v>3490</v>
      </c>
      <c r="D506" s="42">
        <v>44900</v>
      </c>
      <c r="E506" s="41">
        <v>10</v>
      </c>
      <c r="F506" s="41">
        <v>1</v>
      </c>
      <c r="G506" s="41" t="s">
        <v>4681</v>
      </c>
      <c r="H506" s="41">
        <v>10</v>
      </c>
    </row>
    <row r="507" spans="1:8" ht="16" x14ac:dyDescent="0.2">
      <c r="A507" s="41" t="s">
        <v>339</v>
      </c>
      <c r="B507" s="41" t="s">
        <v>4682</v>
      </c>
      <c r="C507" s="41" t="s">
        <v>3490</v>
      </c>
      <c r="D507" s="42">
        <v>39268</v>
      </c>
      <c r="E507" s="41">
        <v>2</v>
      </c>
      <c r="F507" s="41">
        <v>1</v>
      </c>
      <c r="G507" s="41" t="s">
        <v>4683</v>
      </c>
      <c r="H507" s="41">
        <v>2</v>
      </c>
    </row>
    <row r="508" spans="1:8" ht="16" x14ac:dyDescent="0.2">
      <c r="A508" s="41" t="s">
        <v>340</v>
      </c>
      <c r="B508" s="41" t="s">
        <v>4684</v>
      </c>
      <c r="C508" s="41" t="s">
        <v>3490</v>
      </c>
      <c r="D508" s="42">
        <v>40165</v>
      </c>
      <c r="E508" s="41">
        <v>2</v>
      </c>
      <c r="F508" s="41">
        <v>1</v>
      </c>
      <c r="G508" s="41" t="s">
        <v>4685</v>
      </c>
      <c r="H508" s="41">
        <v>2</v>
      </c>
    </row>
    <row r="509" spans="1:8" ht="16" x14ac:dyDescent="0.2">
      <c r="A509" s="41" t="s">
        <v>341</v>
      </c>
      <c r="B509" s="41" t="s">
        <v>4686</v>
      </c>
      <c r="C509" s="41" t="s">
        <v>3490</v>
      </c>
      <c r="D509" s="42">
        <v>42815</v>
      </c>
      <c r="E509" s="41">
        <v>10</v>
      </c>
      <c r="F509" s="41">
        <v>1</v>
      </c>
      <c r="G509" s="41" t="s">
        <v>4687</v>
      </c>
      <c r="H509" s="41">
        <v>10</v>
      </c>
    </row>
    <row r="510" spans="1:8" ht="16" x14ac:dyDescent="0.2">
      <c r="A510" s="41" t="s">
        <v>342</v>
      </c>
      <c r="B510" s="41" t="s">
        <v>4688</v>
      </c>
      <c r="C510" s="41" t="s">
        <v>3490</v>
      </c>
      <c r="D510" s="42">
        <v>44531</v>
      </c>
      <c r="E510" s="41">
        <v>10</v>
      </c>
      <c r="F510" s="41">
        <v>1</v>
      </c>
      <c r="G510" s="41" t="s">
        <v>4689</v>
      </c>
      <c r="H510" s="41">
        <v>10</v>
      </c>
    </row>
    <row r="511" spans="1:8" ht="16" x14ac:dyDescent="0.2">
      <c r="A511" s="41" t="s">
        <v>4690</v>
      </c>
      <c r="B511" s="41" t="s">
        <v>4691</v>
      </c>
      <c r="C511" s="41" t="s">
        <v>3490</v>
      </c>
      <c r="D511" s="42">
        <v>43080</v>
      </c>
      <c r="E511" s="41">
        <v>1</v>
      </c>
      <c r="F511" s="41">
        <v>1</v>
      </c>
      <c r="G511" s="41" t="s">
        <v>4692</v>
      </c>
      <c r="H511" s="41">
        <v>1</v>
      </c>
    </row>
    <row r="512" spans="1:8" ht="16" x14ac:dyDescent="0.2">
      <c r="A512" s="41" t="s">
        <v>343</v>
      </c>
      <c r="B512" s="41" t="s">
        <v>4693</v>
      </c>
      <c r="C512" s="41" t="s">
        <v>3490</v>
      </c>
      <c r="D512" s="42">
        <v>44375</v>
      </c>
      <c r="E512" s="41">
        <v>10</v>
      </c>
      <c r="F512" s="41">
        <v>1</v>
      </c>
      <c r="G512" s="41" t="s">
        <v>4694</v>
      </c>
      <c r="H512" s="41">
        <v>10</v>
      </c>
    </row>
    <row r="513" spans="1:8" ht="16" x14ac:dyDescent="0.2">
      <c r="A513" s="41" t="s">
        <v>344</v>
      </c>
      <c r="B513" s="41" t="s">
        <v>4695</v>
      </c>
      <c r="C513" s="41" t="s">
        <v>3490</v>
      </c>
      <c r="D513" s="42">
        <v>45303</v>
      </c>
      <c r="E513" s="41">
        <v>1</v>
      </c>
      <c r="F513" s="41">
        <v>1</v>
      </c>
      <c r="G513" s="41" t="s">
        <v>4696</v>
      </c>
      <c r="H513" s="41">
        <v>1</v>
      </c>
    </row>
    <row r="514" spans="1:8" ht="16" x14ac:dyDescent="0.2">
      <c r="A514" s="41" t="s">
        <v>345</v>
      </c>
      <c r="B514" s="41" t="s">
        <v>4697</v>
      </c>
      <c r="C514" s="41" t="s">
        <v>3490</v>
      </c>
      <c r="D514" s="42">
        <v>42846</v>
      </c>
      <c r="E514" s="41">
        <v>2</v>
      </c>
      <c r="F514" s="41">
        <v>1</v>
      </c>
      <c r="G514" s="41" t="s">
        <v>4698</v>
      </c>
      <c r="H514" s="41">
        <v>2</v>
      </c>
    </row>
    <row r="515" spans="1:8" ht="16" x14ac:dyDescent="0.2">
      <c r="A515" s="41" t="s">
        <v>346</v>
      </c>
      <c r="B515" s="41" t="s">
        <v>4699</v>
      </c>
      <c r="C515" s="41" t="s">
        <v>3490</v>
      </c>
      <c r="D515" s="42">
        <v>45159</v>
      </c>
      <c r="E515" s="41">
        <v>1</v>
      </c>
      <c r="F515" s="41">
        <v>1</v>
      </c>
      <c r="G515" s="41" t="s">
        <v>4700</v>
      </c>
      <c r="H515" s="41">
        <v>1</v>
      </c>
    </row>
    <row r="516" spans="1:8" ht="16" x14ac:dyDescent="0.2">
      <c r="A516" s="41" t="s">
        <v>347</v>
      </c>
      <c r="B516" s="41" t="s">
        <v>4701</v>
      </c>
      <c r="C516" s="41" t="s">
        <v>3490</v>
      </c>
      <c r="D516" s="42">
        <v>45280</v>
      </c>
      <c r="E516" s="41">
        <v>10</v>
      </c>
      <c r="F516" s="41">
        <v>1</v>
      </c>
      <c r="G516" s="41" t="s">
        <v>4702</v>
      </c>
      <c r="H516" s="41">
        <v>10</v>
      </c>
    </row>
    <row r="517" spans="1:8" ht="16" x14ac:dyDescent="0.2">
      <c r="A517" s="41" t="s">
        <v>348</v>
      </c>
      <c r="B517" s="41" t="s">
        <v>4703</v>
      </c>
      <c r="C517" s="41" t="s">
        <v>3490</v>
      </c>
      <c r="D517" s="42">
        <v>39071</v>
      </c>
      <c r="E517" s="41">
        <v>2</v>
      </c>
      <c r="F517" s="41">
        <v>1</v>
      </c>
      <c r="G517" s="41" t="s">
        <v>4704</v>
      </c>
      <c r="H517" s="41">
        <v>2</v>
      </c>
    </row>
    <row r="518" spans="1:8" ht="16" x14ac:dyDescent="0.2">
      <c r="A518" s="41" t="s">
        <v>349</v>
      </c>
      <c r="B518" s="41" t="s">
        <v>4705</v>
      </c>
      <c r="C518" s="41" t="s">
        <v>3490</v>
      </c>
      <c r="D518" s="42">
        <v>44138</v>
      </c>
      <c r="E518" s="41">
        <v>10</v>
      </c>
      <c r="F518" s="41">
        <v>1</v>
      </c>
      <c r="G518" s="41" t="s">
        <v>4706</v>
      </c>
      <c r="H518" s="41">
        <v>10</v>
      </c>
    </row>
    <row r="519" spans="1:8" ht="16" x14ac:dyDescent="0.2">
      <c r="A519" s="41" t="s">
        <v>350</v>
      </c>
      <c r="B519" s="41" t="s">
        <v>4707</v>
      </c>
      <c r="C519" s="41" t="s">
        <v>3490</v>
      </c>
      <c r="D519" s="42">
        <v>39559</v>
      </c>
      <c r="E519" s="41">
        <v>1</v>
      </c>
      <c r="F519" s="41">
        <v>1</v>
      </c>
      <c r="G519" s="41" t="s">
        <v>4708</v>
      </c>
      <c r="H519" s="41">
        <v>1</v>
      </c>
    </row>
    <row r="520" spans="1:8" ht="16" x14ac:dyDescent="0.2">
      <c r="A520" s="41" t="s">
        <v>351</v>
      </c>
      <c r="B520" s="41" t="s">
        <v>4709</v>
      </c>
      <c r="C520" s="41" t="s">
        <v>3490</v>
      </c>
      <c r="D520" s="42">
        <v>43847</v>
      </c>
      <c r="E520" s="41">
        <v>10</v>
      </c>
      <c r="F520" s="41">
        <v>1</v>
      </c>
      <c r="G520" s="41" t="s">
        <v>4710</v>
      </c>
      <c r="H520" s="41">
        <v>10</v>
      </c>
    </row>
    <row r="521" spans="1:8" ht="16" x14ac:dyDescent="0.2">
      <c r="A521" s="41" t="s">
        <v>4711</v>
      </c>
      <c r="B521" s="41" t="s">
        <v>4712</v>
      </c>
      <c r="C521" s="41" t="s">
        <v>3510</v>
      </c>
      <c r="D521" s="42">
        <v>44265</v>
      </c>
      <c r="E521" s="41">
        <v>1</v>
      </c>
      <c r="F521" s="41">
        <v>1</v>
      </c>
      <c r="G521" s="41" t="s">
        <v>4713</v>
      </c>
      <c r="H521" s="41">
        <v>1</v>
      </c>
    </row>
    <row r="522" spans="1:8" ht="16" x14ac:dyDescent="0.2">
      <c r="A522" s="41" t="s">
        <v>352</v>
      </c>
      <c r="B522" s="41" t="s">
        <v>4714</v>
      </c>
      <c r="C522" s="41" t="s">
        <v>3510</v>
      </c>
      <c r="D522" s="42">
        <v>44810</v>
      </c>
      <c r="E522" s="41">
        <v>2</v>
      </c>
      <c r="F522" s="41">
        <v>1</v>
      </c>
      <c r="G522" s="41" t="s">
        <v>4715</v>
      </c>
      <c r="H522" s="41">
        <v>2</v>
      </c>
    </row>
    <row r="523" spans="1:8" ht="16" x14ac:dyDescent="0.2">
      <c r="A523" s="41" t="s">
        <v>353</v>
      </c>
      <c r="B523" s="41" t="s">
        <v>4716</v>
      </c>
      <c r="C523" s="41" t="s">
        <v>3490</v>
      </c>
      <c r="D523" s="42">
        <v>38001</v>
      </c>
      <c r="E523" s="41">
        <v>10</v>
      </c>
      <c r="F523" s="41">
        <v>1</v>
      </c>
      <c r="G523" s="41" t="s">
        <v>4717</v>
      </c>
      <c r="H523" s="41">
        <v>10</v>
      </c>
    </row>
    <row r="524" spans="1:8" ht="16" x14ac:dyDescent="0.2">
      <c r="A524" s="41" t="s">
        <v>355</v>
      </c>
      <c r="B524" s="41" t="s">
        <v>4718</v>
      </c>
      <c r="C524" s="41" t="s">
        <v>3490</v>
      </c>
      <c r="D524" s="42">
        <v>37771</v>
      </c>
      <c r="E524" s="41">
        <v>1</v>
      </c>
      <c r="F524" s="41">
        <v>1</v>
      </c>
      <c r="G524" s="41" t="s">
        <v>4719</v>
      </c>
      <c r="H524" s="41">
        <v>1</v>
      </c>
    </row>
    <row r="525" spans="1:8" ht="16" x14ac:dyDescent="0.2">
      <c r="A525" s="41" t="s">
        <v>356</v>
      </c>
      <c r="B525" s="41" t="s">
        <v>4720</v>
      </c>
      <c r="C525" s="41" t="s">
        <v>3490</v>
      </c>
      <c r="D525" s="42">
        <v>40878</v>
      </c>
      <c r="E525" s="41">
        <v>10</v>
      </c>
      <c r="F525" s="41">
        <v>1</v>
      </c>
      <c r="G525" s="41" t="s">
        <v>4721</v>
      </c>
      <c r="H525" s="41">
        <v>10</v>
      </c>
    </row>
    <row r="526" spans="1:8" ht="16" x14ac:dyDescent="0.2">
      <c r="A526" s="41" t="s">
        <v>4722</v>
      </c>
      <c r="B526" s="41" t="s">
        <v>4723</v>
      </c>
      <c r="C526" s="41" t="s">
        <v>3490</v>
      </c>
      <c r="D526" s="42">
        <v>42024</v>
      </c>
      <c r="E526" s="41">
        <v>10</v>
      </c>
      <c r="F526" s="41">
        <v>1</v>
      </c>
      <c r="G526" s="41" t="s">
        <v>4724</v>
      </c>
      <c r="H526" s="41">
        <v>10</v>
      </c>
    </row>
    <row r="527" spans="1:8" ht="16" x14ac:dyDescent="0.2">
      <c r="A527" s="41" t="s">
        <v>4725</v>
      </c>
      <c r="B527" s="41" t="s">
        <v>4726</v>
      </c>
      <c r="C527" s="41" t="s">
        <v>3490</v>
      </c>
      <c r="D527" s="42">
        <v>41191</v>
      </c>
      <c r="E527" s="41">
        <v>1</v>
      </c>
      <c r="F527" s="41">
        <v>1</v>
      </c>
      <c r="G527" s="41" t="s">
        <v>4727</v>
      </c>
      <c r="H527" s="41">
        <v>1</v>
      </c>
    </row>
    <row r="528" spans="1:8" ht="16" x14ac:dyDescent="0.2">
      <c r="A528" s="41" t="s">
        <v>357</v>
      </c>
      <c r="B528" s="41" t="s">
        <v>4728</v>
      </c>
      <c r="C528" s="41" t="s">
        <v>3490</v>
      </c>
      <c r="D528" s="42">
        <v>39458</v>
      </c>
      <c r="E528" s="41">
        <v>10</v>
      </c>
      <c r="F528" s="41">
        <v>1</v>
      </c>
      <c r="G528" s="41" t="s">
        <v>4729</v>
      </c>
      <c r="H528" s="41">
        <v>10</v>
      </c>
    </row>
    <row r="529" spans="1:8" ht="16" x14ac:dyDescent="0.2">
      <c r="A529" s="41" t="s">
        <v>358</v>
      </c>
      <c r="B529" s="41" t="s">
        <v>4730</v>
      </c>
      <c r="C529" s="41" t="s">
        <v>3490</v>
      </c>
      <c r="D529" s="42">
        <v>38352</v>
      </c>
      <c r="E529" s="41">
        <v>1</v>
      </c>
      <c r="F529" s="41">
        <v>1</v>
      </c>
      <c r="G529" s="41" t="s">
        <v>4731</v>
      </c>
      <c r="H529" s="41">
        <v>1</v>
      </c>
    </row>
    <row r="530" spans="1:8" ht="16" x14ac:dyDescent="0.2">
      <c r="A530" s="41" t="s">
        <v>359</v>
      </c>
      <c r="B530" s="41" t="s">
        <v>4732</v>
      </c>
      <c r="C530" s="41" t="s">
        <v>3490</v>
      </c>
      <c r="D530" s="42">
        <v>44769</v>
      </c>
      <c r="E530" s="41">
        <v>10</v>
      </c>
      <c r="F530" s="41">
        <v>1</v>
      </c>
      <c r="G530" s="41" t="s">
        <v>4733</v>
      </c>
      <c r="H530" s="41">
        <v>10</v>
      </c>
    </row>
    <row r="531" spans="1:8" ht="16" x14ac:dyDescent="0.2">
      <c r="A531" s="41" t="s">
        <v>360</v>
      </c>
      <c r="B531" s="41" t="s">
        <v>4734</v>
      </c>
      <c r="C531" s="41" t="s">
        <v>3490</v>
      </c>
      <c r="D531" s="42">
        <v>38974</v>
      </c>
      <c r="E531" s="41">
        <v>10</v>
      </c>
      <c r="F531" s="41">
        <v>1</v>
      </c>
      <c r="G531" s="41" t="s">
        <v>4735</v>
      </c>
      <c r="H531" s="41">
        <v>10</v>
      </c>
    </row>
    <row r="532" spans="1:8" ht="16" x14ac:dyDescent="0.2">
      <c r="A532" s="41" t="s">
        <v>4736</v>
      </c>
      <c r="B532" s="41" t="s">
        <v>4737</v>
      </c>
      <c r="C532" s="41" t="s">
        <v>3490</v>
      </c>
      <c r="D532" s="42">
        <v>42935</v>
      </c>
      <c r="E532" s="41">
        <v>10</v>
      </c>
      <c r="F532" s="41">
        <v>1</v>
      </c>
      <c r="G532" s="41" t="s">
        <v>4738</v>
      </c>
      <c r="H532" s="41">
        <v>10</v>
      </c>
    </row>
    <row r="533" spans="1:8" ht="16" x14ac:dyDescent="0.2">
      <c r="A533" s="41" t="s">
        <v>361</v>
      </c>
      <c r="B533" s="41" t="s">
        <v>4739</v>
      </c>
      <c r="C533" s="41" t="s">
        <v>3490</v>
      </c>
      <c r="D533" s="42">
        <v>44663</v>
      </c>
      <c r="E533" s="41">
        <v>10</v>
      </c>
      <c r="F533" s="41">
        <v>1</v>
      </c>
      <c r="G533" s="41" t="s">
        <v>4740</v>
      </c>
      <c r="H533" s="41">
        <v>10</v>
      </c>
    </row>
    <row r="534" spans="1:8" ht="16" x14ac:dyDescent="0.2">
      <c r="A534" s="41" t="s">
        <v>362</v>
      </c>
      <c r="B534" s="41" t="s">
        <v>4741</v>
      </c>
      <c r="C534" s="41" t="s">
        <v>3490</v>
      </c>
      <c r="D534" s="42">
        <v>44274</v>
      </c>
      <c r="E534" s="41">
        <v>1</v>
      </c>
      <c r="F534" s="41">
        <v>1</v>
      </c>
      <c r="G534" s="41" t="s">
        <v>4742</v>
      </c>
      <c r="H534" s="41">
        <v>1</v>
      </c>
    </row>
    <row r="535" spans="1:8" ht="16" x14ac:dyDescent="0.2">
      <c r="A535" s="41" t="s">
        <v>4743</v>
      </c>
      <c r="B535" s="41" t="s">
        <v>4744</v>
      </c>
      <c r="C535" s="41" t="s">
        <v>3490</v>
      </c>
      <c r="D535" s="42">
        <v>45868</v>
      </c>
      <c r="E535" s="41">
        <v>2</v>
      </c>
      <c r="F535" s="41">
        <v>1</v>
      </c>
      <c r="G535" s="41" t="s">
        <v>4745</v>
      </c>
      <c r="H535" s="41">
        <v>2</v>
      </c>
    </row>
    <row r="536" spans="1:8" ht="16" x14ac:dyDescent="0.2">
      <c r="A536" s="41" t="s">
        <v>363</v>
      </c>
      <c r="B536" s="41" t="s">
        <v>4746</v>
      </c>
      <c r="C536" s="41" t="s">
        <v>3490</v>
      </c>
      <c r="D536" s="42">
        <v>39447</v>
      </c>
      <c r="E536" s="41">
        <v>10</v>
      </c>
      <c r="F536" s="41">
        <v>1</v>
      </c>
      <c r="G536" s="41" t="s">
        <v>4747</v>
      </c>
      <c r="H536" s="41">
        <v>10</v>
      </c>
    </row>
    <row r="537" spans="1:8" ht="16" x14ac:dyDescent="0.2">
      <c r="A537" s="41" t="s">
        <v>4748</v>
      </c>
      <c r="B537" s="41" t="s">
        <v>4749</v>
      </c>
      <c r="C537" s="41" t="s">
        <v>3490</v>
      </c>
      <c r="D537" s="42">
        <v>45539</v>
      </c>
      <c r="E537" s="41">
        <v>2</v>
      </c>
      <c r="F537" s="41">
        <v>1</v>
      </c>
      <c r="G537" s="41" t="s">
        <v>4750</v>
      </c>
      <c r="H537" s="41">
        <v>2</v>
      </c>
    </row>
    <row r="538" spans="1:8" ht="16" x14ac:dyDescent="0.2">
      <c r="A538" s="41" t="s">
        <v>364</v>
      </c>
      <c r="B538" s="41" t="s">
        <v>4751</v>
      </c>
      <c r="C538" s="41" t="s">
        <v>3490</v>
      </c>
      <c r="D538" s="42">
        <v>39428</v>
      </c>
      <c r="E538" s="41">
        <v>1</v>
      </c>
      <c r="F538" s="41">
        <v>1</v>
      </c>
      <c r="G538" s="41" t="s">
        <v>4752</v>
      </c>
      <c r="H538" s="41">
        <v>1</v>
      </c>
    </row>
    <row r="539" spans="1:8" ht="16" x14ac:dyDescent="0.2">
      <c r="A539" s="41" t="s">
        <v>4753</v>
      </c>
      <c r="B539" s="41" t="s">
        <v>4754</v>
      </c>
      <c r="C539" s="41" t="s">
        <v>3490</v>
      </c>
      <c r="D539" s="42">
        <v>45889</v>
      </c>
      <c r="E539" s="41">
        <v>2</v>
      </c>
      <c r="F539" s="41">
        <v>1</v>
      </c>
      <c r="G539" s="41" t="s">
        <v>4755</v>
      </c>
      <c r="H539" s="41">
        <v>2</v>
      </c>
    </row>
    <row r="540" spans="1:8" ht="16" x14ac:dyDescent="0.2">
      <c r="A540" s="41" t="s">
        <v>365</v>
      </c>
      <c r="B540" s="41" t="s">
        <v>4756</v>
      </c>
      <c r="C540" s="41" t="s">
        <v>3490</v>
      </c>
      <c r="D540" s="42">
        <v>38237</v>
      </c>
      <c r="E540" s="41">
        <v>1</v>
      </c>
      <c r="F540" s="41">
        <v>1</v>
      </c>
      <c r="G540" s="41" t="s">
        <v>4757</v>
      </c>
      <c r="H540" s="41">
        <v>1</v>
      </c>
    </row>
    <row r="541" spans="1:8" ht="16" x14ac:dyDescent="0.2">
      <c r="A541" s="41" t="s">
        <v>366</v>
      </c>
      <c r="B541" s="41" t="s">
        <v>4758</v>
      </c>
      <c r="C541" s="41" t="s">
        <v>3490</v>
      </c>
      <c r="D541" s="42">
        <v>34829</v>
      </c>
      <c r="E541" s="41">
        <v>1</v>
      </c>
      <c r="F541" s="41">
        <v>1</v>
      </c>
      <c r="G541" s="41" t="s">
        <v>4759</v>
      </c>
      <c r="H541" s="41">
        <v>1</v>
      </c>
    </row>
    <row r="542" spans="1:8" ht="16" x14ac:dyDescent="0.2">
      <c r="A542" s="41" t="s">
        <v>3473</v>
      </c>
      <c r="B542" s="41" t="s">
        <v>4760</v>
      </c>
      <c r="C542" s="41" t="s">
        <v>3490</v>
      </c>
      <c r="D542" s="42">
        <v>45625</v>
      </c>
      <c r="E542" s="41">
        <v>10</v>
      </c>
      <c r="F542" s="41">
        <v>1</v>
      </c>
      <c r="G542" s="41" t="s">
        <v>4761</v>
      </c>
      <c r="H542" s="41">
        <v>10</v>
      </c>
    </row>
    <row r="543" spans="1:8" ht="16" x14ac:dyDescent="0.2">
      <c r="A543" s="41" t="s">
        <v>4762</v>
      </c>
      <c r="B543" s="41" t="s">
        <v>4763</v>
      </c>
      <c r="C543" s="41" t="s">
        <v>3510</v>
      </c>
      <c r="D543" s="42">
        <v>44481</v>
      </c>
      <c r="E543" s="41">
        <v>10</v>
      </c>
      <c r="F543" s="41">
        <v>1</v>
      </c>
      <c r="G543" s="41" t="s">
        <v>4764</v>
      </c>
      <c r="H543" s="41">
        <v>10</v>
      </c>
    </row>
    <row r="544" spans="1:8" ht="16" x14ac:dyDescent="0.2">
      <c r="A544" s="41" t="s">
        <v>367</v>
      </c>
      <c r="B544" s="41" t="s">
        <v>4765</v>
      </c>
      <c r="C544" s="41" t="s">
        <v>3490</v>
      </c>
      <c r="D544" s="42">
        <v>39546</v>
      </c>
      <c r="E544" s="41">
        <v>10</v>
      </c>
      <c r="F544" s="41">
        <v>1</v>
      </c>
      <c r="G544" s="41" t="s">
        <v>4766</v>
      </c>
      <c r="H544" s="41">
        <v>10</v>
      </c>
    </row>
    <row r="545" spans="1:8" ht="16" x14ac:dyDescent="0.2">
      <c r="A545" s="41" t="s">
        <v>368</v>
      </c>
      <c r="B545" s="41" t="s">
        <v>4767</v>
      </c>
      <c r="C545" s="41" t="s">
        <v>3490</v>
      </c>
      <c r="D545" s="42">
        <v>34738</v>
      </c>
      <c r="E545" s="41">
        <v>2</v>
      </c>
      <c r="F545" s="41">
        <v>1</v>
      </c>
      <c r="G545" s="41" t="s">
        <v>4768</v>
      </c>
      <c r="H545" s="41">
        <v>2</v>
      </c>
    </row>
    <row r="546" spans="1:8" ht="16" x14ac:dyDescent="0.2">
      <c r="A546" s="41" t="s">
        <v>369</v>
      </c>
      <c r="B546" s="41" t="s">
        <v>4769</v>
      </c>
      <c r="C546" s="41" t="s">
        <v>3490</v>
      </c>
      <c r="D546" s="42">
        <v>35172</v>
      </c>
      <c r="E546" s="41">
        <v>10</v>
      </c>
      <c r="F546" s="41">
        <v>1</v>
      </c>
      <c r="G546" s="41" t="s">
        <v>4770</v>
      </c>
      <c r="H546" s="41">
        <v>10</v>
      </c>
    </row>
    <row r="547" spans="1:8" ht="16" x14ac:dyDescent="0.2">
      <c r="A547" s="41" t="s">
        <v>370</v>
      </c>
      <c r="B547" s="41" t="s">
        <v>4771</v>
      </c>
      <c r="C547" s="41" t="s">
        <v>3490</v>
      </c>
      <c r="D547" s="42">
        <v>38701</v>
      </c>
      <c r="E547" s="41">
        <v>2</v>
      </c>
      <c r="F547" s="41">
        <v>1</v>
      </c>
      <c r="G547" s="41" t="s">
        <v>4772</v>
      </c>
      <c r="H547" s="41">
        <v>2</v>
      </c>
    </row>
    <row r="548" spans="1:8" ht="16" x14ac:dyDescent="0.2">
      <c r="A548" s="41" t="s">
        <v>371</v>
      </c>
      <c r="B548" s="41" t="s">
        <v>4773</v>
      </c>
      <c r="C548" s="41" t="s">
        <v>3490</v>
      </c>
      <c r="D548" s="42">
        <v>44663</v>
      </c>
      <c r="E548" s="41">
        <v>2</v>
      </c>
      <c r="F548" s="41">
        <v>1</v>
      </c>
      <c r="G548" s="41" t="s">
        <v>4774</v>
      </c>
      <c r="H548" s="41">
        <v>2</v>
      </c>
    </row>
    <row r="549" spans="1:8" ht="16" x14ac:dyDescent="0.2">
      <c r="A549" s="41" t="s">
        <v>372</v>
      </c>
      <c r="B549" s="41" t="s">
        <v>4775</v>
      </c>
      <c r="C549" s="41" t="s">
        <v>3490</v>
      </c>
      <c r="D549" s="42">
        <v>38989</v>
      </c>
      <c r="E549" s="41">
        <v>1</v>
      </c>
      <c r="F549" s="41">
        <v>1</v>
      </c>
      <c r="G549" s="41" t="s">
        <v>4776</v>
      </c>
      <c r="H549" s="41">
        <v>1</v>
      </c>
    </row>
    <row r="550" spans="1:8" ht="16" x14ac:dyDescent="0.2">
      <c r="A550" s="41" t="s">
        <v>373</v>
      </c>
      <c r="B550" s="41" t="s">
        <v>4777</v>
      </c>
      <c r="C550" s="41" t="s">
        <v>3490</v>
      </c>
      <c r="D550" s="42">
        <v>37792</v>
      </c>
      <c r="E550" s="41">
        <v>1</v>
      </c>
      <c r="F550" s="41">
        <v>1</v>
      </c>
      <c r="G550" s="41" t="s">
        <v>4778</v>
      </c>
      <c r="H550" s="41">
        <v>1</v>
      </c>
    </row>
    <row r="551" spans="1:8" ht="16" x14ac:dyDescent="0.2">
      <c r="A551" s="41" t="s">
        <v>374</v>
      </c>
      <c r="B551" s="41" t="s">
        <v>4779</v>
      </c>
      <c r="C551" s="41" t="s">
        <v>3490</v>
      </c>
      <c r="D551" s="42">
        <v>39314</v>
      </c>
      <c r="E551" s="41">
        <v>10</v>
      </c>
      <c r="F551" s="41">
        <v>1</v>
      </c>
      <c r="G551" s="41" t="s">
        <v>4780</v>
      </c>
      <c r="H551" s="41">
        <v>10</v>
      </c>
    </row>
    <row r="552" spans="1:8" ht="16" x14ac:dyDescent="0.2">
      <c r="A552" s="41" t="s">
        <v>375</v>
      </c>
      <c r="B552" s="41" t="s">
        <v>4781</v>
      </c>
      <c r="C552" s="41" t="s">
        <v>3490</v>
      </c>
      <c r="D552" s="42">
        <v>35025</v>
      </c>
      <c r="E552" s="41">
        <v>1</v>
      </c>
      <c r="F552" s="41">
        <v>1</v>
      </c>
      <c r="G552" s="41" t="s">
        <v>4782</v>
      </c>
      <c r="H552" s="41">
        <v>1</v>
      </c>
    </row>
    <row r="553" spans="1:8" ht="16" x14ac:dyDescent="0.2">
      <c r="A553" s="41" t="s">
        <v>4783</v>
      </c>
      <c r="B553" s="41" t="s">
        <v>4784</v>
      </c>
      <c r="C553" s="41" t="s">
        <v>3510</v>
      </c>
      <c r="D553" s="42">
        <v>40765</v>
      </c>
      <c r="E553" s="41">
        <v>1</v>
      </c>
      <c r="F553" s="41">
        <v>1</v>
      </c>
      <c r="G553" s="41" t="s">
        <v>4785</v>
      </c>
      <c r="H553" s="41">
        <v>1</v>
      </c>
    </row>
    <row r="554" spans="1:8" ht="16" x14ac:dyDescent="0.2">
      <c r="A554" s="41" t="s">
        <v>376</v>
      </c>
      <c r="B554" s="41" t="s">
        <v>4786</v>
      </c>
      <c r="C554" s="41" t="s">
        <v>3490</v>
      </c>
      <c r="D554" s="42">
        <v>44925</v>
      </c>
      <c r="E554" s="41">
        <v>5</v>
      </c>
      <c r="F554" s="41">
        <v>1</v>
      </c>
      <c r="G554" s="41" t="s">
        <v>4787</v>
      </c>
      <c r="H554" s="41">
        <v>5</v>
      </c>
    </row>
    <row r="555" spans="1:8" ht="16" x14ac:dyDescent="0.2">
      <c r="A555" s="41" t="s">
        <v>4788</v>
      </c>
      <c r="B555" s="41" t="s">
        <v>4789</v>
      </c>
      <c r="C555" s="41" t="s">
        <v>3490</v>
      </c>
      <c r="D555" s="42">
        <v>45839</v>
      </c>
      <c r="E555" s="41">
        <v>2</v>
      </c>
      <c r="F555" s="41">
        <v>1</v>
      </c>
      <c r="G555" s="41" t="s">
        <v>4790</v>
      </c>
      <c r="H555" s="41">
        <v>2</v>
      </c>
    </row>
    <row r="556" spans="1:8" ht="16" x14ac:dyDescent="0.2">
      <c r="A556" s="41" t="s">
        <v>377</v>
      </c>
      <c r="B556" s="41" t="s">
        <v>4791</v>
      </c>
      <c r="C556" s="41" t="s">
        <v>3490</v>
      </c>
      <c r="D556" s="42">
        <v>38932</v>
      </c>
      <c r="E556" s="41">
        <v>1</v>
      </c>
      <c r="F556" s="41">
        <v>1</v>
      </c>
      <c r="G556" s="41" t="s">
        <v>4792</v>
      </c>
      <c r="H556" s="41">
        <v>1</v>
      </c>
    </row>
    <row r="557" spans="1:8" ht="16" x14ac:dyDescent="0.2">
      <c r="A557" s="41" t="s">
        <v>378</v>
      </c>
      <c r="B557" s="41" t="s">
        <v>4793</v>
      </c>
      <c r="C557" s="41" t="s">
        <v>3490</v>
      </c>
      <c r="D557" s="42">
        <v>43615</v>
      </c>
      <c r="E557" s="41">
        <v>2</v>
      </c>
      <c r="F557" s="41">
        <v>1</v>
      </c>
      <c r="G557" s="41" t="s">
        <v>4794</v>
      </c>
      <c r="H557" s="41">
        <v>2</v>
      </c>
    </row>
    <row r="558" spans="1:8" ht="16" x14ac:dyDescent="0.2">
      <c r="A558" s="41" t="s">
        <v>4795</v>
      </c>
      <c r="B558" s="41" t="s">
        <v>4796</v>
      </c>
      <c r="C558" s="41" t="s">
        <v>3490</v>
      </c>
      <c r="D558" s="42">
        <v>40387</v>
      </c>
      <c r="E558" s="41">
        <v>2</v>
      </c>
      <c r="F558" s="41">
        <v>1</v>
      </c>
      <c r="G558" s="41" t="s">
        <v>4797</v>
      </c>
      <c r="H558" s="41">
        <v>2</v>
      </c>
    </row>
    <row r="559" spans="1:8" ht="16" x14ac:dyDescent="0.2">
      <c r="A559" s="41" t="s">
        <v>4798</v>
      </c>
      <c r="B559" s="41" t="s">
        <v>4799</v>
      </c>
      <c r="C559" s="41" t="s">
        <v>3490</v>
      </c>
      <c r="D559" s="42">
        <v>39164</v>
      </c>
      <c r="E559" s="41">
        <v>2</v>
      </c>
      <c r="F559" s="41">
        <v>1</v>
      </c>
      <c r="G559" s="41" t="s">
        <v>4800</v>
      </c>
      <c r="H559" s="41">
        <v>2</v>
      </c>
    </row>
    <row r="560" spans="1:8" ht="16" x14ac:dyDescent="0.2">
      <c r="A560" s="41" t="s">
        <v>4801</v>
      </c>
      <c r="B560" s="41" t="s">
        <v>4802</v>
      </c>
      <c r="C560" s="41" t="s">
        <v>3490</v>
      </c>
      <c r="D560" s="42">
        <v>45483</v>
      </c>
      <c r="E560" s="41">
        <v>10</v>
      </c>
      <c r="F560" s="41">
        <v>1</v>
      </c>
      <c r="G560" s="41" t="s">
        <v>4803</v>
      </c>
      <c r="H560" s="41">
        <v>10</v>
      </c>
    </row>
    <row r="561" spans="1:8" ht="16" x14ac:dyDescent="0.2">
      <c r="A561" s="41" t="s">
        <v>380</v>
      </c>
      <c r="B561" s="41" t="s">
        <v>4804</v>
      </c>
      <c r="C561" s="41" t="s">
        <v>3490</v>
      </c>
      <c r="D561" s="42">
        <v>44851</v>
      </c>
      <c r="E561" s="41">
        <v>10</v>
      </c>
      <c r="F561" s="41">
        <v>1</v>
      </c>
      <c r="G561" s="41" t="s">
        <v>4805</v>
      </c>
      <c r="H561" s="41">
        <v>10</v>
      </c>
    </row>
    <row r="562" spans="1:8" ht="16" x14ac:dyDescent="0.2">
      <c r="A562" s="41" t="s">
        <v>4806</v>
      </c>
      <c r="B562" s="41" t="s">
        <v>4807</v>
      </c>
      <c r="C562" s="41" t="s">
        <v>3490</v>
      </c>
      <c r="D562" s="42">
        <v>38835</v>
      </c>
      <c r="E562" s="41">
        <v>10</v>
      </c>
      <c r="F562" s="41">
        <v>1</v>
      </c>
      <c r="G562" s="41" t="s">
        <v>4808</v>
      </c>
      <c r="H562" s="41">
        <v>10</v>
      </c>
    </row>
    <row r="563" spans="1:8" ht="16" x14ac:dyDescent="0.2">
      <c r="A563" s="41" t="s">
        <v>4809</v>
      </c>
      <c r="B563" s="41" t="s">
        <v>4810</v>
      </c>
      <c r="C563" s="41" t="s">
        <v>3490</v>
      </c>
      <c r="D563" s="42">
        <v>40233</v>
      </c>
      <c r="E563" s="41">
        <v>10</v>
      </c>
      <c r="F563" s="41">
        <v>1</v>
      </c>
      <c r="G563" s="41" t="s">
        <v>4811</v>
      </c>
      <c r="H563" s="41">
        <v>10</v>
      </c>
    </row>
    <row r="564" spans="1:8" ht="16" x14ac:dyDescent="0.2">
      <c r="A564" s="41" t="s">
        <v>382</v>
      </c>
      <c r="B564" s="41" t="s">
        <v>4812</v>
      </c>
      <c r="C564" s="41" t="s">
        <v>3490</v>
      </c>
      <c r="D564" s="42">
        <v>45190</v>
      </c>
      <c r="E564" s="41">
        <v>10</v>
      </c>
      <c r="F564" s="41">
        <v>1</v>
      </c>
      <c r="G564" s="41" t="s">
        <v>4813</v>
      </c>
      <c r="H564" s="41">
        <v>10</v>
      </c>
    </row>
    <row r="565" spans="1:8" ht="16" x14ac:dyDescent="0.2">
      <c r="A565" s="41" t="s">
        <v>383</v>
      </c>
      <c r="B565" s="41" t="s">
        <v>4814</v>
      </c>
      <c r="C565" s="41" t="s">
        <v>3490</v>
      </c>
      <c r="D565" s="42">
        <v>44713</v>
      </c>
      <c r="E565" s="41">
        <v>5</v>
      </c>
      <c r="F565" s="41">
        <v>1</v>
      </c>
      <c r="G565" s="41" t="s">
        <v>4815</v>
      </c>
      <c r="H565" s="41">
        <v>5</v>
      </c>
    </row>
    <row r="566" spans="1:8" ht="16" x14ac:dyDescent="0.2">
      <c r="A566" s="41" t="s">
        <v>384</v>
      </c>
      <c r="B566" s="41" t="s">
        <v>4816</v>
      </c>
      <c r="C566" s="41" t="s">
        <v>3490</v>
      </c>
      <c r="D566" s="42">
        <v>42662</v>
      </c>
      <c r="E566" s="41">
        <v>10</v>
      </c>
      <c r="F566" s="41">
        <v>1</v>
      </c>
      <c r="G566" s="41" t="s">
        <v>4817</v>
      </c>
      <c r="H566" s="41">
        <v>10</v>
      </c>
    </row>
    <row r="567" spans="1:8" ht="16" x14ac:dyDescent="0.2">
      <c r="A567" s="41" t="s">
        <v>4818</v>
      </c>
      <c r="B567" s="41" t="s">
        <v>4819</v>
      </c>
      <c r="C567" s="41" t="s">
        <v>3510</v>
      </c>
      <c r="D567" s="42">
        <v>39388</v>
      </c>
      <c r="E567" s="41">
        <v>10</v>
      </c>
      <c r="F567" s="41">
        <v>1</v>
      </c>
      <c r="G567" s="41" t="s">
        <v>4820</v>
      </c>
      <c r="H567" s="41">
        <v>10</v>
      </c>
    </row>
    <row r="568" spans="1:8" ht="16" x14ac:dyDescent="0.2">
      <c r="A568" s="41" t="s">
        <v>385</v>
      </c>
      <c r="B568" s="41" t="s">
        <v>4821</v>
      </c>
      <c r="C568" s="41" t="s">
        <v>3490</v>
      </c>
      <c r="D568" s="42">
        <v>35662</v>
      </c>
      <c r="E568" s="41">
        <v>5</v>
      </c>
      <c r="F568" s="41">
        <v>1</v>
      </c>
      <c r="G568" s="41" t="s">
        <v>4822</v>
      </c>
      <c r="H568" s="41">
        <v>5</v>
      </c>
    </row>
    <row r="569" spans="1:8" ht="16" x14ac:dyDescent="0.2">
      <c r="A569" s="41" t="s">
        <v>386</v>
      </c>
      <c r="B569" s="41" t="s">
        <v>4823</v>
      </c>
      <c r="C569" s="41" t="s">
        <v>3490</v>
      </c>
      <c r="D569" s="42">
        <v>38763</v>
      </c>
      <c r="E569" s="41">
        <v>10</v>
      </c>
      <c r="F569" s="41">
        <v>1</v>
      </c>
      <c r="G569" s="41" t="s">
        <v>4824</v>
      </c>
      <c r="H569" s="41">
        <v>10</v>
      </c>
    </row>
    <row r="570" spans="1:8" ht="16" x14ac:dyDescent="0.2">
      <c r="A570" s="41" t="s">
        <v>4825</v>
      </c>
      <c r="B570" s="41" t="s">
        <v>4826</v>
      </c>
      <c r="C570" s="41" t="s">
        <v>3490</v>
      </c>
      <c r="D570" s="42">
        <v>45827</v>
      </c>
      <c r="E570" s="41">
        <v>2</v>
      </c>
      <c r="F570" s="41">
        <v>1</v>
      </c>
      <c r="G570" s="41" t="s">
        <v>4827</v>
      </c>
      <c r="H570" s="41">
        <v>2</v>
      </c>
    </row>
    <row r="571" spans="1:8" ht="16" x14ac:dyDescent="0.2">
      <c r="A571" s="41" t="s">
        <v>387</v>
      </c>
      <c r="B571" s="41" t="s">
        <v>4828</v>
      </c>
      <c r="C571" s="41" t="s">
        <v>3490</v>
      </c>
      <c r="D571" s="42">
        <v>45338</v>
      </c>
      <c r="E571" s="41">
        <v>10</v>
      </c>
      <c r="F571" s="41">
        <v>1</v>
      </c>
      <c r="G571" s="41" t="s">
        <v>4829</v>
      </c>
      <c r="H571" s="41">
        <v>10</v>
      </c>
    </row>
    <row r="572" spans="1:8" ht="16" x14ac:dyDescent="0.2">
      <c r="A572" s="41" t="s">
        <v>388</v>
      </c>
      <c r="B572" s="41" t="s">
        <v>4830</v>
      </c>
      <c r="C572" s="41" t="s">
        <v>3490</v>
      </c>
      <c r="D572" s="42">
        <v>45321</v>
      </c>
      <c r="E572" s="41">
        <v>10</v>
      </c>
      <c r="F572" s="41">
        <v>1</v>
      </c>
      <c r="G572" s="41" t="s">
        <v>4831</v>
      </c>
      <c r="H572" s="41">
        <v>10</v>
      </c>
    </row>
    <row r="573" spans="1:8" ht="16" x14ac:dyDescent="0.2">
      <c r="A573" s="41" t="s">
        <v>389</v>
      </c>
      <c r="B573" s="41" t="s">
        <v>4832</v>
      </c>
      <c r="C573" s="41" t="s">
        <v>3490</v>
      </c>
      <c r="D573" s="42">
        <v>44426</v>
      </c>
      <c r="E573" s="41">
        <v>10</v>
      </c>
      <c r="F573" s="41">
        <v>1</v>
      </c>
      <c r="G573" s="41" t="s">
        <v>4833</v>
      </c>
      <c r="H573" s="41">
        <v>10</v>
      </c>
    </row>
    <row r="574" spans="1:8" ht="16" x14ac:dyDescent="0.2">
      <c r="A574" s="41" t="s">
        <v>390</v>
      </c>
      <c r="B574" s="41" t="s">
        <v>4834</v>
      </c>
      <c r="C574" s="41" t="s">
        <v>3490</v>
      </c>
      <c r="D574" s="42">
        <v>37298</v>
      </c>
      <c r="E574" s="41">
        <v>2</v>
      </c>
      <c r="F574" s="41">
        <v>1</v>
      </c>
      <c r="G574" s="41" t="s">
        <v>4835</v>
      </c>
      <c r="H574" s="41">
        <v>2</v>
      </c>
    </row>
    <row r="575" spans="1:8" ht="16" x14ac:dyDescent="0.2">
      <c r="A575" s="41" t="s">
        <v>4836</v>
      </c>
      <c r="B575" s="41" t="s">
        <v>4837</v>
      </c>
      <c r="C575" s="41" t="s">
        <v>3510</v>
      </c>
      <c r="D575" s="42">
        <v>44335</v>
      </c>
      <c r="E575" s="41">
        <v>1</v>
      </c>
      <c r="F575" s="41">
        <v>1</v>
      </c>
      <c r="G575" s="41" t="s">
        <v>4838</v>
      </c>
      <c r="H575" s="41">
        <v>1</v>
      </c>
    </row>
    <row r="576" spans="1:8" ht="16" x14ac:dyDescent="0.2">
      <c r="A576" s="41" t="s">
        <v>391</v>
      </c>
      <c r="B576" s="41" t="s">
        <v>4839</v>
      </c>
      <c r="C576" s="41" t="s">
        <v>3490</v>
      </c>
      <c r="D576" s="42">
        <v>44137</v>
      </c>
      <c r="E576" s="41">
        <v>10</v>
      </c>
      <c r="F576" s="41">
        <v>1</v>
      </c>
      <c r="G576" s="41" t="s">
        <v>4840</v>
      </c>
      <c r="H576" s="41">
        <v>10</v>
      </c>
    </row>
    <row r="577" spans="1:8" ht="16" x14ac:dyDescent="0.2">
      <c r="A577" s="41" t="s">
        <v>392</v>
      </c>
      <c r="B577" s="41" t="s">
        <v>4841</v>
      </c>
      <c r="C577" s="41" t="s">
        <v>3490</v>
      </c>
      <c r="D577" s="42">
        <v>42915</v>
      </c>
      <c r="E577" s="41">
        <v>1</v>
      </c>
      <c r="F577" s="41">
        <v>1</v>
      </c>
      <c r="G577" s="41" t="s">
        <v>4842</v>
      </c>
      <c r="H577" s="41">
        <v>1</v>
      </c>
    </row>
    <row r="578" spans="1:8" ht="16" x14ac:dyDescent="0.2">
      <c r="A578" s="41" t="s">
        <v>393</v>
      </c>
      <c r="B578" s="41" t="s">
        <v>4843</v>
      </c>
      <c r="C578" s="41" t="s">
        <v>3490</v>
      </c>
      <c r="D578" s="42">
        <v>35004</v>
      </c>
      <c r="E578" s="41">
        <v>10</v>
      </c>
      <c r="F578" s="41">
        <v>1</v>
      </c>
      <c r="G578" s="41" t="s">
        <v>4844</v>
      </c>
      <c r="H578" s="41">
        <v>10</v>
      </c>
    </row>
    <row r="579" spans="1:8" ht="16" x14ac:dyDescent="0.2">
      <c r="A579" s="41" t="s">
        <v>394</v>
      </c>
      <c r="B579" s="41" t="s">
        <v>4845</v>
      </c>
      <c r="C579" s="41" t="s">
        <v>3490</v>
      </c>
      <c r="D579" s="42">
        <v>45240</v>
      </c>
      <c r="E579" s="41">
        <v>10</v>
      </c>
      <c r="F579" s="41">
        <v>1</v>
      </c>
      <c r="G579" s="41" t="s">
        <v>4846</v>
      </c>
      <c r="H579" s="41">
        <v>10</v>
      </c>
    </row>
    <row r="580" spans="1:8" ht="16" x14ac:dyDescent="0.2">
      <c r="A580" s="41" t="s">
        <v>395</v>
      </c>
      <c r="B580" s="41" t="s">
        <v>4847</v>
      </c>
      <c r="C580" s="41" t="s">
        <v>3490</v>
      </c>
      <c r="D580" s="42">
        <v>34759</v>
      </c>
      <c r="E580" s="41">
        <v>10</v>
      </c>
      <c r="F580" s="41">
        <v>1</v>
      </c>
      <c r="G580" s="41" t="s">
        <v>4848</v>
      </c>
      <c r="H580" s="41">
        <v>10</v>
      </c>
    </row>
    <row r="581" spans="1:8" ht="16" x14ac:dyDescent="0.2">
      <c r="A581" s="41" t="s">
        <v>396</v>
      </c>
      <c r="B581" s="41" t="s">
        <v>4849</v>
      </c>
      <c r="C581" s="41" t="s">
        <v>3490</v>
      </c>
      <c r="D581" s="42">
        <v>40862</v>
      </c>
      <c r="E581" s="41">
        <v>10</v>
      </c>
      <c r="F581" s="41">
        <v>1</v>
      </c>
      <c r="G581" s="41" t="s">
        <v>4850</v>
      </c>
      <c r="H581" s="41">
        <v>10</v>
      </c>
    </row>
    <row r="582" spans="1:8" ht="16" x14ac:dyDescent="0.2">
      <c r="A582" s="41" t="s">
        <v>4851</v>
      </c>
      <c r="B582" s="41" t="s">
        <v>4852</v>
      </c>
      <c r="C582" s="41" t="s">
        <v>3490</v>
      </c>
      <c r="D582" s="42">
        <v>41506</v>
      </c>
      <c r="E582" s="41">
        <v>1</v>
      </c>
      <c r="F582" s="41">
        <v>1</v>
      </c>
      <c r="G582" s="41" t="s">
        <v>4853</v>
      </c>
      <c r="H582" s="41">
        <v>1</v>
      </c>
    </row>
    <row r="583" spans="1:8" ht="16" x14ac:dyDescent="0.2">
      <c r="A583" s="41" t="s">
        <v>397</v>
      </c>
      <c r="B583" s="41" t="s">
        <v>4854</v>
      </c>
      <c r="C583" s="41" t="s">
        <v>3490</v>
      </c>
      <c r="D583" s="42">
        <v>40714</v>
      </c>
      <c r="E583" s="41">
        <v>5</v>
      </c>
      <c r="F583" s="41">
        <v>1</v>
      </c>
      <c r="G583" s="41" t="s">
        <v>4855</v>
      </c>
      <c r="H583" s="41">
        <v>5</v>
      </c>
    </row>
    <row r="584" spans="1:8" ht="16" x14ac:dyDescent="0.2">
      <c r="A584" s="41" t="s">
        <v>4856</v>
      </c>
      <c r="B584" s="41" t="s">
        <v>4857</v>
      </c>
      <c r="C584" s="41" t="s">
        <v>3490</v>
      </c>
      <c r="D584" s="42">
        <v>44400</v>
      </c>
      <c r="E584" s="41">
        <v>1</v>
      </c>
      <c r="F584" s="41">
        <v>1</v>
      </c>
      <c r="G584" s="41" t="s">
        <v>4858</v>
      </c>
      <c r="H584" s="41">
        <v>1</v>
      </c>
    </row>
    <row r="585" spans="1:8" ht="16" x14ac:dyDescent="0.2">
      <c r="A585" s="41" t="s">
        <v>398</v>
      </c>
      <c r="B585" s="41" t="s">
        <v>4859</v>
      </c>
      <c r="C585" s="41" t="s">
        <v>3490</v>
      </c>
      <c r="D585" s="42">
        <v>44711</v>
      </c>
      <c r="E585" s="41">
        <v>10</v>
      </c>
      <c r="F585" s="41">
        <v>1</v>
      </c>
      <c r="G585" s="41" t="s">
        <v>4860</v>
      </c>
      <c r="H585" s="41">
        <v>10</v>
      </c>
    </row>
    <row r="586" spans="1:8" ht="16" x14ac:dyDescent="0.2">
      <c r="A586" s="41" t="s">
        <v>4861</v>
      </c>
      <c r="B586" s="41" t="s">
        <v>4862</v>
      </c>
      <c r="C586" s="41" t="s">
        <v>3490</v>
      </c>
      <c r="D586" s="42">
        <v>45546</v>
      </c>
      <c r="E586" s="41">
        <v>10</v>
      </c>
      <c r="F586" s="41">
        <v>1</v>
      </c>
      <c r="G586" s="41" t="s">
        <v>4863</v>
      </c>
      <c r="H586" s="41">
        <v>10</v>
      </c>
    </row>
    <row r="587" spans="1:8" ht="16" x14ac:dyDescent="0.2">
      <c r="A587" s="41" t="s">
        <v>399</v>
      </c>
      <c r="B587" s="41" t="s">
        <v>4864</v>
      </c>
      <c r="C587" s="41" t="s">
        <v>3490</v>
      </c>
      <c r="D587" s="42">
        <v>45870</v>
      </c>
      <c r="E587" s="41">
        <v>10</v>
      </c>
      <c r="F587" s="41">
        <v>1</v>
      </c>
      <c r="G587" s="41" t="s">
        <v>4865</v>
      </c>
      <c r="H587" s="41">
        <v>10</v>
      </c>
    </row>
    <row r="588" spans="1:8" ht="16" x14ac:dyDescent="0.2">
      <c r="A588" s="41" t="s">
        <v>4866</v>
      </c>
      <c r="B588" s="41" t="s">
        <v>4867</v>
      </c>
      <c r="C588" s="41" t="s">
        <v>3490</v>
      </c>
      <c r="D588" s="42">
        <v>35095</v>
      </c>
      <c r="E588" s="41">
        <v>10</v>
      </c>
      <c r="F588" s="41">
        <v>1</v>
      </c>
      <c r="G588" s="41" t="s">
        <v>4868</v>
      </c>
      <c r="H588" s="41">
        <v>10</v>
      </c>
    </row>
    <row r="589" spans="1:8" ht="16" x14ac:dyDescent="0.2">
      <c r="A589" s="41" t="s">
        <v>400</v>
      </c>
      <c r="B589" s="41" t="s">
        <v>4869</v>
      </c>
      <c r="C589" s="41" t="s">
        <v>3490</v>
      </c>
      <c r="D589" s="42">
        <v>38469</v>
      </c>
      <c r="E589" s="41">
        <v>5</v>
      </c>
      <c r="F589" s="41">
        <v>1</v>
      </c>
      <c r="G589" s="41" t="s">
        <v>4870</v>
      </c>
      <c r="H589" s="41">
        <v>5</v>
      </c>
    </row>
    <row r="590" spans="1:8" ht="16" x14ac:dyDescent="0.2">
      <c r="A590" s="41" t="s">
        <v>401</v>
      </c>
      <c r="B590" s="41" t="s">
        <v>4871</v>
      </c>
      <c r="C590" s="41" t="s">
        <v>3490</v>
      </c>
      <c r="D590" s="42">
        <v>34787</v>
      </c>
      <c r="E590" s="41">
        <v>10</v>
      </c>
      <c r="F590" s="41">
        <v>1</v>
      </c>
      <c r="G590" s="41" t="s">
        <v>4872</v>
      </c>
      <c r="H590" s="41">
        <v>10</v>
      </c>
    </row>
    <row r="591" spans="1:8" ht="16" x14ac:dyDescent="0.2">
      <c r="A591" s="41" t="s">
        <v>4873</v>
      </c>
      <c r="B591" s="41" t="s">
        <v>4874</v>
      </c>
      <c r="C591" s="41" t="s">
        <v>3510</v>
      </c>
      <c r="D591" s="42">
        <v>40028</v>
      </c>
      <c r="E591" s="41">
        <v>1</v>
      </c>
      <c r="F591" s="41">
        <v>1</v>
      </c>
      <c r="G591" s="41" t="s">
        <v>4875</v>
      </c>
      <c r="H591" s="41">
        <v>1</v>
      </c>
    </row>
    <row r="592" spans="1:8" ht="16" x14ac:dyDescent="0.2">
      <c r="A592" s="41" t="s">
        <v>402</v>
      </c>
      <c r="B592" s="41" t="s">
        <v>4876</v>
      </c>
      <c r="C592" s="41" t="s">
        <v>3490</v>
      </c>
      <c r="D592" s="42">
        <v>38154</v>
      </c>
      <c r="E592" s="41">
        <v>5</v>
      </c>
      <c r="F592" s="41">
        <v>1</v>
      </c>
      <c r="G592" s="41" t="s">
        <v>4877</v>
      </c>
      <c r="H592" s="41">
        <v>5</v>
      </c>
    </row>
    <row r="593" spans="1:8" ht="16" x14ac:dyDescent="0.2">
      <c r="A593" s="41" t="s">
        <v>403</v>
      </c>
      <c r="B593" s="41" t="s">
        <v>4878</v>
      </c>
      <c r="C593" s="41" t="s">
        <v>3490</v>
      </c>
      <c r="D593" s="42">
        <v>45356</v>
      </c>
      <c r="E593" s="41">
        <v>10</v>
      </c>
      <c r="F593" s="41">
        <v>1</v>
      </c>
      <c r="G593" s="41" t="s">
        <v>4879</v>
      </c>
      <c r="H593" s="41">
        <v>10</v>
      </c>
    </row>
    <row r="594" spans="1:8" ht="16" x14ac:dyDescent="0.2">
      <c r="A594" s="41" t="s">
        <v>404</v>
      </c>
      <c r="B594" s="41" t="s">
        <v>4880</v>
      </c>
      <c r="C594" s="41" t="s">
        <v>3490</v>
      </c>
      <c r="D594" s="42">
        <v>37789</v>
      </c>
      <c r="E594" s="41">
        <v>1</v>
      </c>
      <c r="F594" s="41">
        <v>1</v>
      </c>
      <c r="G594" s="41" t="s">
        <v>4881</v>
      </c>
      <c r="H594" s="41">
        <v>1</v>
      </c>
    </row>
    <row r="595" spans="1:8" ht="16" x14ac:dyDescent="0.2">
      <c r="A595" s="41" t="s">
        <v>405</v>
      </c>
      <c r="B595" s="41" t="s">
        <v>4882</v>
      </c>
      <c r="C595" s="41" t="s">
        <v>3490</v>
      </c>
      <c r="D595" s="42">
        <v>40112</v>
      </c>
      <c r="E595" s="41">
        <v>10</v>
      </c>
      <c r="F595" s="41">
        <v>1</v>
      </c>
      <c r="G595" s="41" t="s">
        <v>4883</v>
      </c>
      <c r="H595" s="41">
        <v>10</v>
      </c>
    </row>
    <row r="596" spans="1:8" ht="16" x14ac:dyDescent="0.2">
      <c r="A596" s="41" t="s">
        <v>4884</v>
      </c>
      <c r="B596" s="41" t="s">
        <v>4885</v>
      </c>
      <c r="C596" s="41" t="s">
        <v>3510</v>
      </c>
      <c r="D596" s="42">
        <v>44424</v>
      </c>
      <c r="E596" s="41">
        <v>1</v>
      </c>
      <c r="F596" s="41">
        <v>1</v>
      </c>
      <c r="G596" s="41" t="s">
        <v>4886</v>
      </c>
      <c r="H596" s="41">
        <v>1</v>
      </c>
    </row>
    <row r="597" spans="1:8" ht="16" x14ac:dyDescent="0.2">
      <c r="A597" s="41" t="s">
        <v>406</v>
      </c>
      <c r="B597" s="41" t="s">
        <v>4887</v>
      </c>
      <c r="C597" s="41" t="s">
        <v>3490</v>
      </c>
      <c r="D597" s="42">
        <v>34801</v>
      </c>
      <c r="E597" s="41">
        <v>10</v>
      </c>
      <c r="F597" s="41">
        <v>1</v>
      </c>
      <c r="G597" s="41" t="s">
        <v>4888</v>
      </c>
      <c r="H597" s="41">
        <v>10</v>
      </c>
    </row>
    <row r="598" spans="1:8" ht="16" x14ac:dyDescent="0.2">
      <c r="A598" s="41" t="s">
        <v>407</v>
      </c>
      <c r="B598" s="41" t="s">
        <v>4889</v>
      </c>
      <c r="C598" s="41" t="s">
        <v>3490</v>
      </c>
      <c r="D598" s="42">
        <v>44189</v>
      </c>
      <c r="E598" s="41">
        <v>10</v>
      </c>
      <c r="F598" s="41">
        <v>1</v>
      </c>
      <c r="G598" s="41" t="s">
        <v>4890</v>
      </c>
      <c r="H598" s="41">
        <v>10</v>
      </c>
    </row>
    <row r="599" spans="1:8" ht="16" x14ac:dyDescent="0.2">
      <c r="A599" s="41" t="s">
        <v>408</v>
      </c>
      <c r="B599" s="41" t="s">
        <v>4891</v>
      </c>
      <c r="C599" s="41" t="s">
        <v>3490</v>
      </c>
      <c r="D599" s="42">
        <v>44883</v>
      </c>
      <c r="E599" s="41">
        <v>10</v>
      </c>
      <c r="F599" s="41">
        <v>1</v>
      </c>
      <c r="G599" s="41" t="s">
        <v>4892</v>
      </c>
      <c r="H599" s="41">
        <v>10</v>
      </c>
    </row>
    <row r="600" spans="1:8" ht="16" x14ac:dyDescent="0.2">
      <c r="A600" s="41" t="s">
        <v>409</v>
      </c>
      <c r="B600" s="41" t="s">
        <v>4893</v>
      </c>
      <c r="C600" s="41" t="s">
        <v>3490</v>
      </c>
      <c r="D600" s="42">
        <v>42019</v>
      </c>
      <c r="E600" s="41">
        <v>2</v>
      </c>
      <c r="F600" s="41">
        <v>1</v>
      </c>
      <c r="G600" s="41" t="s">
        <v>4894</v>
      </c>
      <c r="H600" s="41">
        <v>2</v>
      </c>
    </row>
    <row r="601" spans="1:8" ht="16" x14ac:dyDescent="0.2">
      <c r="A601" s="41" t="s">
        <v>410</v>
      </c>
      <c r="B601" s="41" t="s">
        <v>4895</v>
      </c>
      <c r="C601" s="41" t="s">
        <v>3490</v>
      </c>
      <c r="D601" s="42">
        <v>38616</v>
      </c>
      <c r="E601" s="41">
        <v>1</v>
      </c>
      <c r="F601" s="41">
        <v>1</v>
      </c>
      <c r="G601" s="41" t="s">
        <v>4896</v>
      </c>
      <c r="H601" s="41">
        <v>1</v>
      </c>
    </row>
    <row r="602" spans="1:8" ht="16" x14ac:dyDescent="0.2">
      <c r="A602" s="41" t="s">
        <v>411</v>
      </c>
      <c r="B602" s="41" t="s">
        <v>4897</v>
      </c>
      <c r="C602" s="41" t="s">
        <v>3490</v>
      </c>
      <c r="D602" s="42">
        <v>35649</v>
      </c>
      <c r="E602" s="41">
        <v>1</v>
      </c>
      <c r="F602" s="41">
        <v>1</v>
      </c>
      <c r="G602" s="41" t="s">
        <v>4898</v>
      </c>
      <c r="H602" s="41">
        <v>1</v>
      </c>
    </row>
    <row r="603" spans="1:8" ht="16" x14ac:dyDescent="0.2">
      <c r="A603" s="41" t="s">
        <v>412</v>
      </c>
      <c r="B603" s="41" t="s">
        <v>4899</v>
      </c>
      <c r="C603" s="41" t="s">
        <v>3490</v>
      </c>
      <c r="D603" s="42">
        <v>34738</v>
      </c>
      <c r="E603" s="41">
        <v>2</v>
      </c>
      <c r="F603" s="41">
        <v>1</v>
      </c>
      <c r="G603" s="41" t="s">
        <v>4900</v>
      </c>
      <c r="H603" s="41">
        <v>2</v>
      </c>
    </row>
    <row r="604" spans="1:8" ht="16" x14ac:dyDescent="0.2">
      <c r="A604" s="41" t="s">
        <v>413</v>
      </c>
      <c r="B604" s="41" t="s">
        <v>4901</v>
      </c>
      <c r="C604" s="41" t="s">
        <v>3490</v>
      </c>
      <c r="D604" s="42">
        <v>45260</v>
      </c>
      <c r="E604" s="41">
        <v>10</v>
      </c>
      <c r="F604" s="41">
        <v>1</v>
      </c>
      <c r="G604" s="41" t="s">
        <v>4902</v>
      </c>
      <c r="H604" s="41">
        <v>10</v>
      </c>
    </row>
    <row r="605" spans="1:8" ht="16" x14ac:dyDescent="0.2">
      <c r="A605" s="41" t="s">
        <v>4903</v>
      </c>
      <c r="B605" s="41" t="s">
        <v>4904</v>
      </c>
      <c r="C605" s="41" t="s">
        <v>3797</v>
      </c>
      <c r="D605" s="42">
        <v>37200</v>
      </c>
      <c r="E605" s="41">
        <v>2</v>
      </c>
      <c r="F605" s="41">
        <v>1</v>
      </c>
      <c r="G605" s="41" t="s">
        <v>4905</v>
      </c>
      <c r="H605" s="41">
        <v>2</v>
      </c>
    </row>
    <row r="606" spans="1:8" ht="16" x14ac:dyDescent="0.2">
      <c r="A606" s="41" t="s">
        <v>4906</v>
      </c>
      <c r="B606" s="41" t="s">
        <v>4904</v>
      </c>
      <c r="C606" s="41" t="s">
        <v>3797</v>
      </c>
      <c r="D606" s="42">
        <v>39857</v>
      </c>
      <c r="E606" s="41">
        <v>2</v>
      </c>
      <c r="F606" s="41">
        <v>1</v>
      </c>
      <c r="G606" s="41" t="s">
        <v>4907</v>
      </c>
      <c r="H606" s="41">
        <v>2</v>
      </c>
    </row>
    <row r="607" spans="1:8" ht="16" x14ac:dyDescent="0.2">
      <c r="A607" s="41" t="s">
        <v>4908</v>
      </c>
      <c r="B607" s="41" t="s">
        <v>4909</v>
      </c>
      <c r="C607" s="41" t="s">
        <v>3490</v>
      </c>
      <c r="D607" s="42">
        <v>44608</v>
      </c>
      <c r="E607" s="41">
        <v>10</v>
      </c>
      <c r="F607" s="41">
        <v>1</v>
      </c>
      <c r="G607" s="41" t="s">
        <v>4910</v>
      </c>
      <c r="H607" s="41">
        <v>10</v>
      </c>
    </row>
    <row r="608" spans="1:8" ht="16" x14ac:dyDescent="0.2">
      <c r="A608" s="41" t="s">
        <v>414</v>
      </c>
      <c r="B608" s="41" t="s">
        <v>4911</v>
      </c>
      <c r="C608" s="41" t="s">
        <v>3490</v>
      </c>
      <c r="D608" s="42">
        <v>39009</v>
      </c>
      <c r="E608" s="41">
        <v>10</v>
      </c>
      <c r="F608" s="41">
        <v>1</v>
      </c>
      <c r="G608" s="41" t="s">
        <v>4912</v>
      </c>
      <c r="H608" s="41">
        <v>10</v>
      </c>
    </row>
    <row r="609" spans="1:8" ht="16" x14ac:dyDescent="0.2">
      <c r="A609" s="41" t="s">
        <v>415</v>
      </c>
      <c r="B609" s="41" t="s">
        <v>4913</v>
      </c>
      <c r="C609" s="41" t="s">
        <v>3490</v>
      </c>
      <c r="D609" s="42">
        <v>40784</v>
      </c>
      <c r="E609" s="41">
        <v>1</v>
      </c>
      <c r="F609" s="41">
        <v>1</v>
      </c>
      <c r="G609" s="41" t="s">
        <v>4914</v>
      </c>
      <c r="H609" s="41">
        <v>1</v>
      </c>
    </row>
    <row r="610" spans="1:8" ht="16" x14ac:dyDescent="0.2">
      <c r="A610" s="41" t="s">
        <v>416</v>
      </c>
      <c r="B610" s="41" t="s">
        <v>4915</v>
      </c>
      <c r="C610" s="41" t="s">
        <v>3490</v>
      </c>
      <c r="D610" s="42">
        <v>45418</v>
      </c>
      <c r="E610" s="41">
        <v>1</v>
      </c>
      <c r="F610" s="41">
        <v>1</v>
      </c>
      <c r="G610" s="41" t="s">
        <v>4916</v>
      </c>
      <c r="H610" s="41">
        <v>1</v>
      </c>
    </row>
    <row r="611" spans="1:8" ht="16" x14ac:dyDescent="0.2">
      <c r="A611" s="41" t="s">
        <v>417</v>
      </c>
      <c r="B611" s="41" t="s">
        <v>4917</v>
      </c>
      <c r="C611" s="41" t="s">
        <v>3490</v>
      </c>
      <c r="D611" s="42">
        <v>34745</v>
      </c>
      <c r="E611" s="41">
        <v>2</v>
      </c>
      <c r="F611" s="41">
        <v>1</v>
      </c>
      <c r="G611" s="41" t="s">
        <v>4918</v>
      </c>
      <c r="H611" s="41">
        <v>2</v>
      </c>
    </row>
    <row r="612" spans="1:8" ht="16" x14ac:dyDescent="0.2">
      <c r="A612" s="41" t="s">
        <v>418</v>
      </c>
      <c r="B612" s="41" t="s">
        <v>4919</v>
      </c>
      <c r="C612" s="41" t="s">
        <v>3490</v>
      </c>
      <c r="D612" s="42">
        <v>43283</v>
      </c>
      <c r="E612" s="41">
        <v>5</v>
      </c>
      <c r="F612" s="41">
        <v>1</v>
      </c>
      <c r="G612" s="41" t="s">
        <v>4920</v>
      </c>
      <c r="H612" s="41">
        <v>5</v>
      </c>
    </row>
    <row r="613" spans="1:8" ht="16" x14ac:dyDescent="0.2">
      <c r="A613" s="41" t="s">
        <v>419</v>
      </c>
      <c r="B613" s="41" t="s">
        <v>4921</v>
      </c>
      <c r="C613" s="41" t="s">
        <v>3490</v>
      </c>
      <c r="D613" s="42">
        <v>44512</v>
      </c>
      <c r="E613" s="41">
        <v>10</v>
      </c>
      <c r="F613" s="41">
        <v>1</v>
      </c>
      <c r="G613" s="41" t="s">
        <v>4922</v>
      </c>
      <c r="H613" s="41">
        <v>10</v>
      </c>
    </row>
    <row r="614" spans="1:8" ht="16" x14ac:dyDescent="0.2">
      <c r="A614" s="41" t="s">
        <v>420</v>
      </c>
      <c r="B614" s="41" t="s">
        <v>4923</v>
      </c>
      <c r="C614" s="41" t="s">
        <v>3490</v>
      </c>
      <c r="D614" s="42">
        <v>34738</v>
      </c>
      <c r="E614" s="41">
        <v>2</v>
      </c>
      <c r="F614" s="41">
        <v>1</v>
      </c>
      <c r="G614" s="41" t="s">
        <v>4924</v>
      </c>
      <c r="H614" s="41">
        <v>2</v>
      </c>
    </row>
    <row r="615" spans="1:8" ht="16" x14ac:dyDescent="0.2">
      <c r="A615" s="41" t="s">
        <v>4925</v>
      </c>
      <c r="B615" s="41" t="s">
        <v>4926</v>
      </c>
      <c r="C615" s="41" t="s">
        <v>3490</v>
      </c>
      <c r="D615" s="42">
        <v>45517</v>
      </c>
      <c r="E615" s="41">
        <v>2</v>
      </c>
      <c r="F615" s="41">
        <v>1</v>
      </c>
      <c r="G615" s="41" t="s">
        <v>4927</v>
      </c>
      <c r="H615" s="41">
        <v>2</v>
      </c>
    </row>
    <row r="616" spans="1:8" ht="16" x14ac:dyDescent="0.2">
      <c r="A616" s="41" t="s">
        <v>421</v>
      </c>
      <c r="B616" s="41" t="s">
        <v>4928</v>
      </c>
      <c r="C616" s="41" t="s">
        <v>3490</v>
      </c>
      <c r="D616" s="42">
        <v>45848</v>
      </c>
      <c r="E616" s="41">
        <v>10</v>
      </c>
      <c r="F616" s="41">
        <v>1</v>
      </c>
      <c r="G616" s="41" t="s">
        <v>4929</v>
      </c>
      <c r="H616" s="41">
        <v>10</v>
      </c>
    </row>
    <row r="617" spans="1:8" ht="16" x14ac:dyDescent="0.2">
      <c r="A617" s="41" t="s">
        <v>422</v>
      </c>
      <c r="B617" s="41" t="s">
        <v>4930</v>
      </c>
      <c r="C617" s="41" t="s">
        <v>3490</v>
      </c>
      <c r="D617" s="42">
        <v>44886</v>
      </c>
      <c r="E617" s="41">
        <v>1</v>
      </c>
      <c r="F617" s="41">
        <v>1</v>
      </c>
      <c r="G617" s="41" t="s">
        <v>4931</v>
      </c>
      <c r="H617" s="41">
        <v>1</v>
      </c>
    </row>
    <row r="618" spans="1:8" ht="16" x14ac:dyDescent="0.2">
      <c r="A618" s="41" t="s">
        <v>423</v>
      </c>
      <c r="B618" s="41" t="s">
        <v>4932</v>
      </c>
      <c r="C618" s="41" t="s">
        <v>3490</v>
      </c>
      <c r="D618" s="42">
        <v>45261</v>
      </c>
      <c r="E618" s="41">
        <v>5</v>
      </c>
      <c r="F618" s="41">
        <v>1</v>
      </c>
      <c r="G618" s="41" t="s">
        <v>4933</v>
      </c>
      <c r="H618" s="41">
        <v>5</v>
      </c>
    </row>
    <row r="619" spans="1:8" ht="16" x14ac:dyDescent="0.2">
      <c r="A619" s="41" t="s">
        <v>4934</v>
      </c>
      <c r="B619" s="41" t="s">
        <v>4935</v>
      </c>
      <c r="C619" s="41" t="s">
        <v>3490</v>
      </c>
      <c r="D619" s="42">
        <v>40835</v>
      </c>
      <c r="E619" s="41">
        <v>10</v>
      </c>
      <c r="F619" s="41">
        <v>1</v>
      </c>
      <c r="G619" s="41" t="s">
        <v>4936</v>
      </c>
      <c r="H619" s="41">
        <v>10</v>
      </c>
    </row>
    <row r="620" spans="1:8" ht="16" x14ac:dyDescent="0.2">
      <c r="A620" s="41" t="s">
        <v>4937</v>
      </c>
      <c r="B620" s="41" t="s">
        <v>4938</v>
      </c>
      <c r="C620" s="41" t="s">
        <v>3797</v>
      </c>
      <c r="D620" s="42">
        <v>41548</v>
      </c>
      <c r="E620" s="41">
        <v>2</v>
      </c>
      <c r="F620" s="41">
        <v>1</v>
      </c>
      <c r="G620" s="41" t="s">
        <v>4939</v>
      </c>
      <c r="H620" s="41">
        <v>2</v>
      </c>
    </row>
    <row r="621" spans="1:8" ht="16" x14ac:dyDescent="0.2">
      <c r="A621" s="41" t="s">
        <v>424</v>
      </c>
      <c r="B621" s="41" t="s">
        <v>4940</v>
      </c>
      <c r="C621" s="41" t="s">
        <v>3490</v>
      </c>
      <c r="D621" s="42">
        <v>43754</v>
      </c>
      <c r="E621" s="41">
        <v>1</v>
      </c>
      <c r="F621" s="41">
        <v>1</v>
      </c>
      <c r="G621" s="41" t="s">
        <v>4941</v>
      </c>
      <c r="H621" s="41">
        <v>1</v>
      </c>
    </row>
    <row r="622" spans="1:8" ht="16" x14ac:dyDescent="0.2">
      <c r="A622" s="41" t="s">
        <v>425</v>
      </c>
      <c r="B622" s="41" t="s">
        <v>4942</v>
      </c>
      <c r="C622" s="41" t="s">
        <v>3490</v>
      </c>
      <c r="D622" s="42">
        <v>34738</v>
      </c>
      <c r="E622" s="41">
        <v>10</v>
      </c>
      <c r="F622" s="41">
        <v>1</v>
      </c>
      <c r="G622" s="41" t="s">
        <v>4943</v>
      </c>
      <c r="H622" s="41">
        <v>10</v>
      </c>
    </row>
    <row r="623" spans="1:8" ht="16" x14ac:dyDescent="0.2">
      <c r="A623" s="41" t="s">
        <v>4944</v>
      </c>
      <c r="B623" s="41" t="s">
        <v>4945</v>
      </c>
      <c r="C623" s="41" t="s">
        <v>3490</v>
      </c>
      <c r="D623" s="42">
        <v>40543</v>
      </c>
      <c r="E623" s="41">
        <v>10</v>
      </c>
      <c r="F623" s="41">
        <v>1</v>
      </c>
      <c r="G623" s="41" t="s">
        <v>4946</v>
      </c>
      <c r="H623" s="41">
        <v>10</v>
      </c>
    </row>
    <row r="624" spans="1:8" ht="16" x14ac:dyDescent="0.2">
      <c r="A624" s="41" t="s">
        <v>426</v>
      </c>
      <c r="B624" s="41" t="s">
        <v>4947</v>
      </c>
      <c r="C624" s="41" t="s">
        <v>3510</v>
      </c>
      <c r="D624" s="42">
        <v>44524</v>
      </c>
      <c r="E624" s="41">
        <v>2</v>
      </c>
      <c r="F624" s="41">
        <v>1</v>
      </c>
      <c r="G624" s="41" t="s">
        <v>4948</v>
      </c>
      <c r="H624" s="41">
        <v>2</v>
      </c>
    </row>
    <row r="625" spans="1:8" ht="16" x14ac:dyDescent="0.2">
      <c r="A625" s="41" t="s">
        <v>427</v>
      </c>
      <c r="B625" s="41" t="s">
        <v>4949</v>
      </c>
      <c r="C625" s="41" t="s">
        <v>3510</v>
      </c>
      <c r="D625" s="42">
        <v>44516</v>
      </c>
      <c r="E625" s="41">
        <v>1</v>
      </c>
      <c r="F625" s="41">
        <v>1</v>
      </c>
      <c r="G625" s="41" t="s">
        <v>4950</v>
      </c>
      <c r="H625" s="41">
        <v>1</v>
      </c>
    </row>
    <row r="626" spans="1:8" ht="16" x14ac:dyDescent="0.2">
      <c r="A626" s="41" t="s">
        <v>428</v>
      </c>
      <c r="B626" s="41" t="s">
        <v>4951</v>
      </c>
      <c r="C626" s="41" t="s">
        <v>3490</v>
      </c>
      <c r="D626" s="42">
        <v>45336</v>
      </c>
      <c r="E626" s="41">
        <v>10</v>
      </c>
      <c r="F626" s="41">
        <v>1</v>
      </c>
      <c r="G626" s="41" t="s">
        <v>4952</v>
      </c>
      <c r="H626" s="41">
        <v>10</v>
      </c>
    </row>
    <row r="627" spans="1:8" ht="16" x14ac:dyDescent="0.2">
      <c r="A627" s="41" t="s">
        <v>429</v>
      </c>
      <c r="B627" s="41" t="s">
        <v>4953</v>
      </c>
      <c r="C627" s="41" t="s">
        <v>3490</v>
      </c>
      <c r="D627" s="42">
        <v>39211</v>
      </c>
      <c r="E627" s="41">
        <v>10</v>
      </c>
      <c r="F627" s="41">
        <v>1</v>
      </c>
      <c r="G627" s="41" t="s">
        <v>4954</v>
      </c>
      <c r="H627" s="41">
        <v>10</v>
      </c>
    </row>
    <row r="628" spans="1:8" ht="16" x14ac:dyDescent="0.2">
      <c r="A628" s="41" t="s">
        <v>430</v>
      </c>
      <c r="B628" s="41" t="s">
        <v>4955</v>
      </c>
      <c r="C628" s="41" t="s">
        <v>3490</v>
      </c>
      <c r="D628" s="42">
        <v>37746</v>
      </c>
      <c r="E628" s="41">
        <v>10</v>
      </c>
      <c r="F628" s="41">
        <v>1</v>
      </c>
      <c r="G628" s="41" t="s">
        <v>4956</v>
      </c>
      <c r="H628" s="41">
        <v>10</v>
      </c>
    </row>
    <row r="629" spans="1:8" ht="16" x14ac:dyDescent="0.2">
      <c r="A629" s="41" t="s">
        <v>4957</v>
      </c>
      <c r="B629" s="41" t="s">
        <v>4958</v>
      </c>
      <c r="C629" s="41" t="s">
        <v>3797</v>
      </c>
      <c r="D629" s="42">
        <v>43087</v>
      </c>
      <c r="E629" s="41">
        <v>10</v>
      </c>
      <c r="F629" s="41">
        <v>1</v>
      </c>
      <c r="G629" s="41" t="s">
        <v>4959</v>
      </c>
      <c r="H629" s="41">
        <v>10</v>
      </c>
    </row>
    <row r="630" spans="1:8" ht="16" x14ac:dyDescent="0.2">
      <c r="A630" s="41" t="s">
        <v>432</v>
      </c>
      <c r="B630" s="41" t="s">
        <v>4960</v>
      </c>
      <c r="C630" s="41" t="s">
        <v>3490</v>
      </c>
      <c r="D630" s="42">
        <v>39135</v>
      </c>
      <c r="E630" s="41">
        <v>10</v>
      </c>
      <c r="F630" s="41">
        <v>1</v>
      </c>
      <c r="G630" s="41" t="s">
        <v>4961</v>
      </c>
      <c r="H630" s="41">
        <v>10</v>
      </c>
    </row>
    <row r="631" spans="1:8" ht="16" x14ac:dyDescent="0.2">
      <c r="A631" s="41" t="s">
        <v>433</v>
      </c>
      <c r="B631" s="41" t="s">
        <v>4962</v>
      </c>
      <c r="C631" s="41" t="s">
        <v>3490</v>
      </c>
      <c r="D631" s="42">
        <v>44880</v>
      </c>
      <c r="E631" s="41">
        <v>10</v>
      </c>
      <c r="F631" s="41">
        <v>1</v>
      </c>
      <c r="G631" s="41" t="s">
        <v>4963</v>
      </c>
      <c r="H631" s="41">
        <v>10</v>
      </c>
    </row>
    <row r="632" spans="1:8" ht="16" x14ac:dyDescent="0.2">
      <c r="A632" s="41" t="s">
        <v>434</v>
      </c>
      <c r="B632" s="41" t="s">
        <v>4964</v>
      </c>
      <c r="C632" s="41" t="s">
        <v>3490</v>
      </c>
      <c r="D632" s="42">
        <v>38462</v>
      </c>
      <c r="E632" s="41">
        <v>1</v>
      </c>
      <c r="F632" s="41">
        <v>1</v>
      </c>
      <c r="G632" s="41" t="s">
        <v>4965</v>
      </c>
      <c r="H632" s="41">
        <v>1</v>
      </c>
    </row>
    <row r="633" spans="1:8" ht="16" x14ac:dyDescent="0.2">
      <c r="A633" s="41" t="s">
        <v>435</v>
      </c>
      <c r="B633" s="41" t="s">
        <v>4966</v>
      </c>
      <c r="C633" s="41" t="s">
        <v>3490</v>
      </c>
      <c r="D633" s="42">
        <v>36810</v>
      </c>
      <c r="E633" s="41">
        <v>1</v>
      </c>
      <c r="F633" s="41">
        <v>1</v>
      </c>
      <c r="G633" s="41" t="s">
        <v>4967</v>
      </c>
      <c r="H633" s="41">
        <v>1</v>
      </c>
    </row>
    <row r="634" spans="1:8" ht="16" x14ac:dyDescent="0.2">
      <c r="A634" s="41" t="s">
        <v>436</v>
      </c>
      <c r="B634" s="41" t="s">
        <v>4968</v>
      </c>
      <c r="C634" s="41" t="s">
        <v>3490</v>
      </c>
      <c r="D634" s="42">
        <v>35522</v>
      </c>
      <c r="E634" s="41">
        <v>10</v>
      </c>
      <c r="F634" s="41">
        <v>1</v>
      </c>
      <c r="G634" s="41" t="s">
        <v>4969</v>
      </c>
      <c r="H634" s="41">
        <v>10</v>
      </c>
    </row>
    <row r="635" spans="1:8" ht="16" x14ac:dyDescent="0.2">
      <c r="A635" s="41" t="s">
        <v>4970</v>
      </c>
      <c r="B635" s="41" t="s">
        <v>4971</v>
      </c>
      <c r="C635" s="41" t="s">
        <v>3490</v>
      </c>
      <c r="D635" s="42">
        <v>45544</v>
      </c>
      <c r="E635" s="41">
        <v>10</v>
      </c>
      <c r="F635" s="41">
        <v>1</v>
      </c>
      <c r="G635" s="41" t="s">
        <v>4972</v>
      </c>
      <c r="H635" s="41">
        <v>10</v>
      </c>
    </row>
    <row r="636" spans="1:8" ht="16" x14ac:dyDescent="0.2">
      <c r="A636" s="41" t="s">
        <v>437</v>
      </c>
      <c r="B636" s="41" t="s">
        <v>4973</v>
      </c>
      <c r="C636" s="41" t="s">
        <v>3490</v>
      </c>
      <c r="D636" s="42">
        <v>43139</v>
      </c>
      <c r="E636" s="41">
        <v>10</v>
      </c>
      <c r="F636" s="41">
        <v>1</v>
      </c>
      <c r="G636" s="41" t="s">
        <v>4974</v>
      </c>
      <c r="H636" s="41">
        <v>10</v>
      </c>
    </row>
    <row r="637" spans="1:8" ht="16" x14ac:dyDescent="0.2">
      <c r="A637" s="41" t="s">
        <v>438</v>
      </c>
      <c r="B637" s="41" t="s">
        <v>4975</v>
      </c>
      <c r="C637" s="41" t="s">
        <v>3490</v>
      </c>
      <c r="D637" s="42">
        <v>38811</v>
      </c>
      <c r="E637" s="41">
        <v>10</v>
      </c>
      <c r="F637" s="41">
        <v>1</v>
      </c>
      <c r="G637" s="41" t="s">
        <v>4976</v>
      </c>
      <c r="H637" s="41">
        <v>10</v>
      </c>
    </row>
    <row r="638" spans="1:8" ht="16" x14ac:dyDescent="0.2">
      <c r="A638" s="41" t="s">
        <v>439</v>
      </c>
      <c r="B638" s="41" t="s">
        <v>4977</v>
      </c>
      <c r="C638" s="41" t="s">
        <v>3490</v>
      </c>
      <c r="D638" s="42">
        <v>45260</v>
      </c>
      <c r="E638" s="41">
        <v>2</v>
      </c>
      <c r="F638" s="41">
        <v>1</v>
      </c>
      <c r="G638" s="41" t="s">
        <v>4978</v>
      </c>
      <c r="H638" s="41">
        <v>2</v>
      </c>
    </row>
    <row r="639" spans="1:8" ht="16" x14ac:dyDescent="0.2">
      <c r="A639" s="41" t="s">
        <v>440</v>
      </c>
      <c r="B639" s="41" t="s">
        <v>4979</v>
      </c>
      <c r="C639" s="41" t="s">
        <v>3490</v>
      </c>
      <c r="D639" s="42">
        <v>39113</v>
      </c>
      <c r="E639" s="41">
        <v>5</v>
      </c>
      <c r="F639" s="41">
        <v>1</v>
      </c>
      <c r="G639" s="41" t="s">
        <v>4980</v>
      </c>
      <c r="H639" s="41">
        <v>5</v>
      </c>
    </row>
    <row r="640" spans="1:8" ht="16" x14ac:dyDescent="0.2">
      <c r="A640" s="41" t="s">
        <v>441</v>
      </c>
      <c r="B640" s="41" t="s">
        <v>4981</v>
      </c>
      <c r="C640" s="41" t="s">
        <v>3490</v>
      </c>
      <c r="D640" s="42">
        <v>42072</v>
      </c>
      <c r="E640" s="41">
        <v>10</v>
      </c>
      <c r="F640" s="41">
        <v>1</v>
      </c>
      <c r="G640" s="41" t="s">
        <v>4982</v>
      </c>
      <c r="H640" s="41">
        <v>10</v>
      </c>
    </row>
    <row r="641" spans="1:8" ht="16" x14ac:dyDescent="0.2">
      <c r="A641" s="41" t="s">
        <v>442</v>
      </c>
      <c r="B641" s="41" t="s">
        <v>4983</v>
      </c>
      <c r="C641" s="41" t="s">
        <v>3490</v>
      </c>
      <c r="D641" s="42">
        <v>44455</v>
      </c>
      <c r="E641" s="41">
        <v>1</v>
      </c>
      <c r="F641" s="41">
        <v>1</v>
      </c>
      <c r="G641" s="41" t="s">
        <v>4984</v>
      </c>
      <c r="H641" s="41">
        <v>1</v>
      </c>
    </row>
    <row r="642" spans="1:8" ht="16" x14ac:dyDescent="0.2">
      <c r="A642" s="41" t="s">
        <v>443</v>
      </c>
      <c r="B642" s="41" t="s">
        <v>4985</v>
      </c>
      <c r="C642" s="41" t="s">
        <v>3490</v>
      </c>
      <c r="D642" s="42">
        <v>39143</v>
      </c>
      <c r="E642" s="41">
        <v>10</v>
      </c>
      <c r="F642" s="41">
        <v>1</v>
      </c>
      <c r="G642" s="41" t="s">
        <v>4986</v>
      </c>
      <c r="H642" s="41">
        <v>10</v>
      </c>
    </row>
    <row r="643" spans="1:8" ht="16" x14ac:dyDescent="0.2">
      <c r="A643" s="41" t="s">
        <v>4987</v>
      </c>
      <c r="B643" s="41" t="s">
        <v>4988</v>
      </c>
      <c r="C643" s="41" t="s">
        <v>3490</v>
      </c>
      <c r="D643" s="42">
        <v>44383</v>
      </c>
      <c r="E643" s="41">
        <v>1</v>
      </c>
      <c r="F643" s="41">
        <v>1</v>
      </c>
      <c r="G643" s="41" t="s">
        <v>4989</v>
      </c>
      <c r="H643" s="41">
        <v>1</v>
      </c>
    </row>
    <row r="644" spans="1:8" ht="16" x14ac:dyDescent="0.2">
      <c r="A644" s="41" t="s">
        <v>4990</v>
      </c>
      <c r="B644" s="41" t="s">
        <v>4991</v>
      </c>
      <c r="C644" s="41" t="s">
        <v>3490</v>
      </c>
      <c r="D644" s="42">
        <v>42944</v>
      </c>
      <c r="E644" s="41">
        <v>10</v>
      </c>
      <c r="F644" s="41">
        <v>1</v>
      </c>
      <c r="G644" s="41" t="s">
        <v>4992</v>
      </c>
      <c r="H644" s="41">
        <v>10</v>
      </c>
    </row>
    <row r="645" spans="1:8" ht="16" x14ac:dyDescent="0.2">
      <c r="A645" s="41" t="s">
        <v>444</v>
      </c>
      <c r="B645" s="41" t="s">
        <v>4993</v>
      </c>
      <c r="C645" s="41" t="s">
        <v>3490</v>
      </c>
      <c r="D645" s="42">
        <v>39175</v>
      </c>
      <c r="E645" s="41">
        <v>10</v>
      </c>
      <c r="F645" s="41">
        <v>1</v>
      </c>
      <c r="G645" s="41" t="s">
        <v>4994</v>
      </c>
      <c r="H645" s="41">
        <v>10</v>
      </c>
    </row>
    <row r="646" spans="1:8" ht="16" x14ac:dyDescent="0.2">
      <c r="A646" s="41" t="s">
        <v>3471</v>
      </c>
      <c r="B646" s="41" t="s">
        <v>4995</v>
      </c>
      <c r="C646" s="41" t="s">
        <v>3490</v>
      </c>
      <c r="D646" s="42">
        <v>45580</v>
      </c>
      <c r="E646" s="41">
        <v>5</v>
      </c>
      <c r="F646" s="41">
        <v>1</v>
      </c>
      <c r="G646" s="41" t="s">
        <v>4996</v>
      </c>
      <c r="H646" s="41">
        <v>5</v>
      </c>
    </row>
    <row r="647" spans="1:8" ht="16" x14ac:dyDescent="0.2">
      <c r="A647" s="41" t="s">
        <v>4997</v>
      </c>
      <c r="B647" s="41" t="s">
        <v>4998</v>
      </c>
      <c r="C647" s="41" t="s">
        <v>3510</v>
      </c>
      <c r="D647" s="42">
        <v>42576</v>
      </c>
      <c r="E647" s="41">
        <v>1</v>
      </c>
      <c r="F647" s="41">
        <v>1</v>
      </c>
      <c r="G647" s="41" t="s">
        <v>4999</v>
      </c>
      <c r="H647" s="41">
        <v>1</v>
      </c>
    </row>
    <row r="648" spans="1:8" ht="16" x14ac:dyDescent="0.2">
      <c r="A648" s="41" t="s">
        <v>5000</v>
      </c>
      <c r="B648" s="41" t="s">
        <v>4998</v>
      </c>
      <c r="C648" s="41" t="s">
        <v>3510</v>
      </c>
      <c r="D648" s="42">
        <v>43018</v>
      </c>
      <c r="E648" s="41">
        <v>1</v>
      </c>
      <c r="F648" s="41">
        <v>1</v>
      </c>
      <c r="G648" s="41" t="s">
        <v>5001</v>
      </c>
      <c r="H648" s="41">
        <v>1</v>
      </c>
    </row>
    <row r="649" spans="1:8" ht="16" x14ac:dyDescent="0.2">
      <c r="A649" s="41" t="s">
        <v>445</v>
      </c>
      <c r="B649" s="41" t="s">
        <v>5002</v>
      </c>
      <c r="C649" s="41" t="s">
        <v>3490</v>
      </c>
      <c r="D649" s="42">
        <v>44642</v>
      </c>
      <c r="E649" s="41">
        <v>10</v>
      </c>
      <c r="F649" s="41">
        <v>1</v>
      </c>
      <c r="G649" s="41" t="s">
        <v>5003</v>
      </c>
      <c r="H649" s="41">
        <v>10</v>
      </c>
    </row>
    <row r="650" spans="1:8" ht="16" x14ac:dyDescent="0.2">
      <c r="A650" s="41" t="s">
        <v>5004</v>
      </c>
      <c r="B650" s="41" t="s">
        <v>5005</v>
      </c>
      <c r="C650" s="41" t="s">
        <v>3510</v>
      </c>
      <c r="D650" s="42">
        <v>43279</v>
      </c>
      <c r="E650" s="41">
        <v>2</v>
      </c>
      <c r="F650" s="41">
        <v>1</v>
      </c>
      <c r="G650" s="41" t="s">
        <v>5006</v>
      </c>
      <c r="H650" s="41">
        <v>2</v>
      </c>
    </row>
    <row r="651" spans="1:8" ht="16" x14ac:dyDescent="0.2">
      <c r="A651" s="41" t="s">
        <v>5007</v>
      </c>
      <c r="B651" s="41" t="s">
        <v>5008</v>
      </c>
      <c r="C651" s="41" t="s">
        <v>3797</v>
      </c>
      <c r="D651" s="42">
        <v>40777</v>
      </c>
      <c r="E651" s="41">
        <v>2</v>
      </c>
      <c r="F651" s="41">
        <v>1</v>
      </c>
      <c r="G651" s="41" t="s">
        <v>5009</v>
      </c>
      <c r="H651" s="41">
        <v>2</v>
      </c>
    </row>
    <row r="652" spans="1:8" ht="16" x14ac:dyDescent="0.2">
      <c r="A652" s="41" t="s">
        <v>5010</v>
      </c>
      <c r="B652" s="41" t="s">
        <v>5011</v>
      </c>
      <c r="C652" s="41" t="s">
        <v>3490</v>
      </c>
      <c r="D652" s="42">
        <v>45904</v>
      </c>
      <c r="E652" s="41">
        <v>10</v>
      </c>
      <c r="F652" s="41">
        <v>1</v>
      </c>
      <c r="G652" s="41" t="s">
        <v>5012</v>
      </c>
      <c r="H652" s="41">
        <v>10</v>
      </c>
    </row>
    <row r="653" spans="1:8" ht="16" x14ac:dyDescent="0.2">
      <c r="A653" s="41" t="s">
        <v>446</v>
      </c>
      <c r="B653" s="41" t="s">
        <v>5013</v>
      </c>
      <c r="C653" s="41" t="s">
        <v>3490</v>
      </c>
      <c r="D653" s="42">
        <v>38994</v>
      </c>
      <c r="E653" s="41">
        <v>10</v>
      </c>
      <c r="F653" s="41">
        <v>1</v>
      </c>
      <c r="G653" s="41" t="s">
        <v>5014</v>
      </c>
      <c r="H653" s="41">
        <v>10</v>
      </c>
    </row>
    <row r="654" spans="1:8" ht="16" x14ac:dyDescent="0.2">
      <c r="A654" s="41" t="s">
        <v>5015</v>
      </c>
      <c r="B654" s="41" t="s">
        <v>5016</v>
      </c>
      <c r="C654" s="41" t="s">
        <v>3490</v>
      </c>
      <c r="D654" s="42">
        <v>43896</v>
      </c>
      <c r="E654" s="41">
        <v>2</v>
      </c>
      <c r="F654" s="41">
        <v>1</v>
      </c>
      <c r="G654" s="41" t="s">
        <v>5017</v>
      </c>
      <c r="H654" s="41">
        <v>2</v>
      </c>
    </row>
    <row r="655" spans="1:8" ht="16" x14ac:dyDescent="0.2">
      <c r="A655" s="41" t="s">
        <v>5018</v>
      </c>
      <c r="B655" s="41" t="s">
        <v>5019</v>
      </c>
      <c r="C655" s="41" t="s">
        <v>3490</v>
      </c>
      <c r="D655" s="42">
        <v>45895</v>
      </c>
      <c r="E655" s="41">
        <v>2</v>
      </c>
      <c r="F655" s="41">
        <v>1</v>
      </c>
      <c r="G655" s="41" t="s">
        <v>5020</v>
      </c>
      <c r="H655" s="41">
        <v>2</v>
      </c>
    </row>
    <row r="656" spans="1:8" ht="16" x14ac:dyDescent="0.2">
      <c r="A656" s="41" t="s">
        <v>5021</v>
      </c>
      <c r="B656" s="41" t="s">
        <v>5022</v>
      </c>
      <c r="C656" s="41" t="s">
        <v>3510</v>
      </c>
      <c r="D656" s="42">
        <v>44243</v>
      </c>
      <c r="E656" s="41">
        <v>5</v>
      </c>
      <c r="F656" s="41">
        <v>1</v>
      </c>
      <c r="G656" s="41" t="s">
        <v>5023</v>
      </c>
      <c r="H656" s="41">
        <v>5</v>
      </c>
    </row>
    <row r="657" spans="1:8" ht="16" x14ac:dyDescent="0.2">
      <c r="A657" s="41" t="s">
        <v>447</v>
      </c>
      <c r="B657" s="41" t="s">
        <v>5024</v>
      </c>
      <c r="C657" s="41" t="s">
        <v>3490</v>
      </c>
      <c r="D657" s="42">
        <v>37644</v>
      </c>
      <c r="E657" s="41">
        <v>5</v>
      </c>
      <c r="F657" s="41">
        <v>1</v>
      </c>
      <c r="G657" s="41" t="s">
        <v>5025</v>
      </c>
      <c r="H657" s="41">
        <v>5</v>
      </c>
    </row>
    <row r="658" spans="1:8" ht="16" x14ac:dyDescent="0.2">
      <c r="A658" s="41" t="s">
        <v>448</v>
      </c>
      <c r="B658" s="41" t="s">
        <v>5026</v>
      </c>
      <c r="C658" s="41" t="s">
        <v>3510</v>
      </c>
      <c r="D658" s="42">
        <v>45110</v>
      </c>
      <c r="E658" s="41">
        <v>10</v>
      </c>
      <c r="F658" s="41">
        <v>1</v>
      </c>
      <c r="G658" s="41" t="s">
        <v>5027</v>
      </c>
      <c r="H658" s="41">
        <v>10</v>
      </c>
    </row>
    <row r="659" spans="1:8" ht="16" x14ac:dyDescent="0.2">
      <c r="A659" s="41" t="s">
        <v>449</v>
      </c>
      <c r="B659" s="41" t="s">
        <v>5028</v>
      </c>
      <c r="C659" s="41" t="s">
        <v>3490</v>
      </c>
      <c r="D659" s="42">
        <v>42051</v>
      </c>
      <c r="E659" s="41">
        <v>1</v>
      </c>
      <c r="F659" s="41">
        <v>1</v>
      </c>
      <c r="G659" s="41" t="s">
        <v>5029</v>
      </c>
      <c r="H659" s="41">
        <v>1</v>
      </c>
    </row>
    <row r="660" spans="1:8" ht="16" x14ac:dyDescent="0.2">
      <c r="A660" s="41" t="s">
        <v>450</v>
      </c>
      <c r="B660" s="41" t="s">
        <v>5030</v>
      </c>
      <c r="C660" s="41" t="s">
        <v>3490</v>
      </c>
      <c r="D660" s="42">
        <v>38541</v>
      </c>
      <c r="E660" s="41">
        <v>1</v>
      </c>
      <c r="F660" s="41">
        <v>1</v>
      </c>
      <c r="G660" s="41" t="s">
        <v>5031</v>
      </c>
      <c r="H660" s="41">
        <v>1</v>
      </c>
    </row>
    <row r="661" spans="1:8" ht="16" x14ac:dyDescent="0.2">
      <c r="A661" s="41" t="s">
        <v>451</v>
      </c>
      <c r="B661" s="41" t="s">
        <v>5032</v>
      </c>
      <c r="C661" s="41" t="s">
        <v>3490</v>
      </c>
      <c r="D661" s="42">
        <v>38534</v>
      </c>
      <c r="E661" s="41">
        <v>1</v>
      </c>
      <c r="F661" s="41">
        <v>1</v>
      </c>
      <c r="G661" s="41" t="s">
        <v>5033</v>
      </c>
      <c r="H661" s="41">
        <v>1</v>
      </c>
    </row>
    <row r="662" spans="1:8" ht="16" x14ac:dyDescent="0.2">
      <c r="A662" s="41" t="s">
        <v>453</v>
      </c>
      <c r="B662" s="41" t="s">
        <v>5034</v>
      </c>
      <c r="C662" s="41" t="s">
        <v>3490</v>
      </c>
      <c r="D662" s="42">
        <v>39048</v>
      </c>
      <c r="E662" s="41">
        <v>10</v>
      </c>
      <c r="F662" s="41">
        <v>1</v>
      </c>
      <c r="G662" s="41" t="s">
        <v>5035</v>
      </c>
      <c r="H662" s="41">
        <v>10</v>
      </c>
    </row>
    <row r="663" spans="1:8" ht="16" x14ac:dyDescent="0.2">
      <c r="A663" s="41" t="s">
        <v>454</v>
      </c>
      <c r="B663" s="41" t="s">
        <v>5036</v>
      </c>
      <c r="C663" s="41" t="s">
        <v>3490</v>
      </c>
      <c r="D663" s="42">
        <v>34844</v>
      </c>
      <c r="E663" s="41">
        <v>1</v>
      </c>
      <c r="F663" s="41">
        <v>1</v>
      </c>
      <c r="G663" s="41" t="s">
        <v>5037</v>
      </c>
      <c r="H663" s="41">
        <v>1</v>
      </c>
    </row>
    <row r="664" spans="1:8" ht="16" x14ac:dyDescent="0.2">
      <c r="A664" s="41" t="s">
        <v>455</v>
      </c>
      <c r="B664" s="41" t="s">
        <v>5038</v>
      </c>
      <c r="C664" s="41" t="s">
        <v>3490</v>
      </c>
      <c r="D664" s="42">
        <v>37833</v>
      </c>
      <c r="E664" s="41">
        <v>10</v>
      </c>
      <c r="F664" s="41">
        <v>1</v>
      </c>
      <c r="G664" s="41" t="s">
        <v>5039</v>
      </c>
      <c r="H664" s="41">
        <v>10</v>
      </c>
    </row>
    <row r="665" spans="1:8" ht="16" x14ac:dyDescent="0.2">
      <c r="A665" s="41" t="s">
        <v>456</v>
      </c>
      <c r="B665" s="41" t="s">
        <v>5040</v>
      </c>
      <c r="C665" s="41" t="s">
        <v>3490</v>
      </c>
      <c r="D665" s="42">
        <v>45089</v>
      </c>
      <c r="E665" s="41">
        <v>2</v>
      </c>
      <c r="F665" s="41">
        <v>1</v>
      </c>
      <c r="G665" s="41" t="s">
        <v>5041</v>
      </c>
      <c r="H665" s="41">
        <v>2</v>
      </c>
    </row>
    <row r="666" spans="1:8" ht="16" x14ac:dyDescent="0.2">
      <c r="A666" s="41" t="s">
        <v>457</v>
      </c>
      <c r="B666" s="41" t="s">
        <v>5042</v>
      </c>
      <c r="C666" s="41" t="s">
        <v>3490</v>
      </c>
      <c r="D666" s="42">
        <v>35193</v>
      </c>
      <c r="E666" s="41">
        <v>10</v>
      </c>
      <c r="F666" s="41">
        <v>1</v>
      </c>
      <c r="G666" s="41" t="s">
        <v>5043</v>
      </c>
      <c r="H666" s="41">
        <v>10</v>
      </c>
    </row>
    <row r="667" spans="1:8" ht="16" x14ac:dyDescent="0.2">
      <c r="A667" s="41" t="s">
        <v>458</v>
      </c>
      <c r="B667" s="41" t="s">
        <v>5044</v>
      </c>
      <c r="C667" s="41" t="s">
        <v>3490</v>
      </c>
      <c r="D667" s="42">
        <v>43033</v>
      </c>
      <c r="E667" s="41">
        <v>5</v>
      </c>
      <c r="F667" s="41">
        <v>1</v>
      </c>
      <c r="G667" s="41" t="s">
        <v>5045</v>
      </c>
      <c r="H667" s="41">
        <v>5</v>
      </c>
    </row>
    <row r="668" spans="1:8" ht="16" x14ac:dyDescent="0.2">
      <c r="A668" s="41" t="s">
        <v>5046</v>
      </c>
      <c r="B668" s="41" t="s">
        <v>5047</v>
      </c>
      <c r="C668" s="41" t="s">
        <v>3490</v>
      </c>
      <c r="D668" s="42">
        <v>40161</v>
      </c>
      <c r="E668" s="41">
        <v>10</v>
      </c>
      <c r="F668" s="41">
        <v>1</v>
      </c>
      <c r="G668" s="41" t="s">
        <v>5048</v>
      </c>
      <c r="H668" s="41">
        <v>10</v>
      </c>
    </row>
    <row r="669" spans="1:8" ht="16" x14ac:dyDescent="0.2">
      <c r="A669" s="41" t="s">
        <v>459</v>
      </c>
      <c r="B669" s="41" t="s">
        <v>5049</v>
      </c>
      <c r="C669" s="41" t="s">
        <v>3490</v>
      </c>
      <c r="D669" s="42">
        <v>37832</v>
      </c>
      <c r="E669" s="41">
        <v>10</v>
      </c>
      <c r="F669" s="41">
        <v>1</v>
      </c>
      <c r="G669" s="41" t="s">
        <v>5050</v>
      </c>
      <c r="H669" s="41">
        <v>10</v>
      </c>
    </row>
    <row r="670" spans="1:8" ht="16" x14ac:dyDescent="0.2">
      <c r="A670" s="41" t="s">
        <v>5051</v>
      </c>
      <c r="B670" s="41" t="s">
        <v>5052</v>
      </c>
      <c r="C670" s="41" t="s">
        <v>3510</v>
      </c>
      <c r="D670" s="42">
        <v>34829</v>
      </c>
      <c r="E670" s="41">
        <v>10</v>
      </c>
      <c r="F670" s="41">
        <v>1</v>
      </c>
      <c r="G670" s="41" t="s">
        <v>5053</v>
      </c>
      <c r="H670" s="41">
        <v>10</v>
      </c>
    </row>
    <row r="671" spans="1:8" ht="16" x14ac:dyDescent="0.2">
      <c r="A671" s="41" t="s">
        <v>460</v>
      </c>
      <c r="B671" s="41" t="s">
        <v>5054</v>
      </c>
      <c r="C671" s="41" t="s">
        <v>3490</v>
      </c>
      <c r="D671" s="42">
        <v>34738</v>
      </c>
      <c r="E671" s="41">
        <v>10</v>
      </c>
      <c r="F671" s="41">
        <v>1</v>
      </c>
      <c r="G671" s="41" t="s">
        <v>5055</v>
      </c>
      <c r="H671" s="41">
        <v>10</v>
      </c>
    </row>
    <row r="672" spans="1:8" ht="16" x14ac:dyDescent="0.2">
      <c r="A672" s="41" t="s">
        <v>462</v>
      </c>
      <c r="B672" s="41" t="s">
        <v>5056</v>
      </c>
      <c r="C672" s="41" t="s">
        <v>3490</v>
      </c>
      <c r="D672" s="42">
        <v>40014</v>
      </c>
      <c r="E672" s="41">
        <v>10</v>
      </c>
      <c r="F672" s="41">
        <v>1</v>
      </c>
      <c r="G672" s="41" t="s">
        <v>5057</v>
      </c>
      <c r="H672" s="41">
        <v>10</v>
      </c>
    </row>
    <row r="673" spans="1:8" ht="16" x14ac:dyDescent="0.2">
      <c r="A673" s="41" t="s">
        <v>463</v>
      </c>
      <c r="B673" s="41" t="s">
        <v>5058</v>
      </c>
      <c r="C673" s="41" t="s">
        <v>3490</v>
      </c>
      <c r="D673" s="42">
        <v>44155</v>
      </c>
      <c r="E673" s="41">
        <v>1</v>
      </c>
      <c r="F673" s="41">
        <v>1</v>
      </c>
      <c r="G673" s="41" t="s">
        <v>5059</v>
      </c>
      <c r="H673" s="41">
        <v>1</v>
      </c>
    </row>
    <row r="674" spans="1:8" ht="16" x14ac:dyDescent="0.2">
      <c r="A674" s="41" t="s">
        <v>464</v>
      </c>
      <c r="B674" s="41" t="s">
        <v>5060</v>
      </c>
      <c r="C674" s="41" t="s">
        <v>3490</v>
      </c>
      <c r="D674" s="42">
        <v>36875</v>
      </c>
      <c r="E674" s="41">
        <v>10</v>
      </c>
      <c r="F674" s="41">
        <v>1</v>
      </c>
      <c r="G674" s="41" t="s">
        <v>5061</v>
      </c>
      <c r="H674" s="41">
        <v>10</v>
      </c>
    </row>
    <row r="675" spans="1:8" ht="16" x14ac:dyDescent="0.2">
      <c r="A675" s="41" t="s">
        <v>465</v>
      </c>
      <c r="B675" s="41" t="s">
        <v>5062</v>
      </c>
      <c r="C675" s="41" t="s">
        <v>3490</v>
      </c>
      <c r="D675" s="42">
        <v>36563</v>
      </c>
      <c r="E675" s="41">
        <v>1</v>
      </c>
      <c r="F675" s="41">
        <v>1</v>
      </c>
      <c r="G675" s="41" t="s">
        <v>5063</v>
      </c>
      <c r="H675" s="41">
        <v>1</v>
      </c>
    </row>
    <row r="676" spans="1:8" ht="16" x14ac:dyDescent="0.2">
      <c r="A676" s="41" t="s">
        <v>5064</v>
      </c>
      <c r="B676" s="41" t="s">
        <v>5065</v>
      </c>
      <c r="C676" s="41" t="s">
        <v>3510</v>
      </c>
      <c r="D676" s="42">
        <v>34738</v>
      </c>
      <c r="E676" s="41">
        <v>10</v>
      </c>
      <c r="F676" s="41">
        <v>1</v>
      </c>
      <c r="G676" s="41" t="s">
        <v>5066</v>
      </c>
      <c r="H676" s="41">
        <v>10</v>
      </c>
    </row>
    <row r="677" spans="1:8" ht="16" x14ac:dyDescent="0.2">
      <c r="A677" s="41" t="s">
        <v>5067</v>
      </c>
      <c r="B677" s="41" t="s">
        <v>5068</v>
      </c>
      <c r="C677" s="41" t="s">
        <v>3510</v>
      </c>
      <c r="D677" s="42">
        <v>44172</v>
      </c>
      <c r="E677" s="41">
        <v>2</v>
      </c>
      <c r="F677" s="41">
        <v>1</v>
      </c>
      <c r="G677" s="41" t="s">
        <v>5069</v>
      </c>
      <c r="H677" s="41">
        <v>2</v>
      </c>
    </row>
    <row r="678" spans="1:8" ht="16" x14ac:dyDescent="0.2">
      <c r="A678" s="41" t="s">
        <v>5070</v>
      </c>
      <c r="B678" s="41" t="s">
        <v>5071</v>
      </c>
      <c r="C678" s="41" t="s">
        <v>3490</v>
      </c>
      <c r="D678" s="42">
        <v>45531</v>
      </c>
      <c r="E678" s="41">
        <v>10</v>
      </c>
      <c r="F678" s="41">
        <v>1</v>
      </c>
      <c r="G678" s="41" t="s">
        <v>5072</v>
      </c>
      <c r="H678" s="41">
        <v>10</v>
      </c>
    </row>
    <row r="679" spans="1:8" ht="16" x14ac:dyDescent="0.2">
      <c r="A679" s="41" t="s">
        <v>5073</v>
      </c>
      <c r="B679" s="41" t="s">
        <v>5074</v>
      </c>
      <c r="C679" s="41" t="s">
        <v>3490</v>
      </c>
      <c r="D679" s="42">
        <v>39017</v>
      </c>
      <c r="E679" s="41">
        <v>10</v>
      </c>
      <c r="F679" s="41">
        <v>1</v>
      </c>
      <c r="G679" s="41" t="s">
        <v>5075</v>
      </c>
      <c r="H679" s="41">
        <v>10</v>
      </c>
    </row>
    <row r="680" spans="1:8" ht="16" x14ac:dyDescent="0.2">
      <c r="A680" s="41" t="s">
        <v>5076</v>
      </c>
      <c r="B680" s="41" t="s">
        <v>5077</v>
      </c>
      <c r="C680" s="41" t="s">
        <v>3490</v>
      </c>
      <c r="D680" s="42">
        <v>44111</v>
      </c>
      <c r="E680" s="41">
        <v>2</v>
      </c>
      <c r="F680" s="41">
        <v>1</v>
      </c>
      <c r="G680" s="41" t="s">
        <v>5078</v>
      </c>
      <c r="H680" s="41">
        <v>2</v>
      </c>
    </row>
    <row r="681" spans="1:8" ht="16" x14ac:dyDescent="0.2">
      <c r="A681" s="41" t="s">
        <v>5079</v>
      </c>
      <c r="B681" s="41" t="s">
        <v>5080</v>
      </c>
      <c r="C681" s="41" t="s">
        <v>3490</v>
      </c>
      <c r="D681" s="42">
        <v>45839</v>
      </c>
      <c r="E681" s="41">
        <v>10</v>
      </c>
      <c r="F681" s="41">
        <v>1</v>
      </c>
      <c r="G681" s="41" t="s">
        <v>5081</v>
      </c>
      <c r="H681" s="41">
        <v>10</v>
      </c>
    </row>
    <row r="682" spans="1:8" ht="16" x14ac:dyDescent="0.2">
      <c r="A682" s="41" t="s">
        <v>466</v>
      </c>
      <c r="B682" s="41" t="s">
        <v>5082</v>
      </c>
      <c r="C682" s="41" t="s">
        <v>3490</v>
      </c>
      <c r="D682" s="42">
        <v>40079</v>
      </c>
      <c r="E682" s="41">
        <v>10</v>
      </c>
      <c r="F682" s="41">
        <v>1</v>
      </c>
      <c r="G682" s="41" t="s">
        <v>5083</v>
      </c>
      <c r="H682" s="41">
        <v>10</v>
      </c>
    </row>
    <row r="683" spans="1:8" ht="16" x14ac:dyDescent="0.2">
      <c r="A683" s="41" t="s">
        <v>467</v>
      </c>
      <c r="B683" s="41" t="s">
        <v>5084</v>
      </c>
      <c r="C683" s="41" t="s">
        <v>3490</v>
      </c>
      <c r="D683" s="42">
        <v>45408</v>
      </c>
      <c r="E683" s="41">
        <v>10</v>
      </c>
      <c r="F683" s="41">
        <v>1</v>
      </c>
      <c r="G683" s="41" t="s">
        <v>5085</v>
      </c>
      <c r="H683" s="41">
        <v>10</v>
      </c>
    </row>
    <row r="684" spans="1:8" ht="16" x14ac:dyDescent="0.2">
      <c r="A684" s="41" t="s">
        <v>468</v>
      </c>
      <c r="B684" s="41" t="s">
        <v>5086</v>
      </c>
      <c r="C684" s="41" t="s">
        <v>3490</v>
      </c>
      <c r="D684" s="42">
        <v>34934</v>
      </c>
      <c r="E684" s="41">
        <v>10</v>
      </c>
      <c r="F684" s="41">
        <v>1</v>
      </c>
      <c r="G684" s="41" t="s">
        <v>5087</v>
      </c>
      <c r="H684" s="41">
        <v>10</v>
      </c>
    </row>
    <row r="685" spans="1:8" ht="16" x14ac:dyDescent="0.2">
      <c r="A685" s="41" t="s">
        <v>469</v>
      </c>
      <c r="B685" s="41" t="s">
        <v>5088</v>
      </c>
      <c r="C685" s="41" t="s">
        <v>3490</v>
      </c>
      <c r="D685" s="42">
        <v>35781</v>
      </c>
      <c r="E685" s="41">
        <v>2</v>
      </c>
      <c r="F685" s="41">
        <v>1</v>
      </c>
      <c r="G685" s="41" t="s">
        <v>5089</v>
      </c>
      <c r="H685" s="41">
        <v>2</v>
      </c>
    </row>
    <row r="686" spans="1:8" ht="16" x14ac:dyDescent="0.2">
      <c r="A686" s="41" t="s">
        <v>470</v>
      </c>
      <c r="B686" s="41" t="s">
        <v>5090</v>
      </c>
      <c r="C686" s="41" t="s">
        <v>3490</v>
      </c>
      <c r="D686" s="42">
        <v>43164</v>
      </c>
      <c r="E686" s="41">
        <v>2</v>
      </c>
      <c r="F686" s="41">
        <v>1</v>
      </c>
      <c r="G686" s="41" t="s">
        <v>5091</v>
      </c>
      <c r="H686" s="41">
        <v>2</v>
      </c>
    </row>
    <row r="687" spans="1:8" ht="16" x14ac:dyDescent="0.2">
      <c r="A687" s="41" t="s">
        <v>5092</v>
      </c>
      <c r="B687" s="41" t="s">
        <v>5093</v>
      </c>
      <c r="C687" s="41" t="s">
        <v>3490</v>
      </c>
      <c r="D687" s="42">
        <v>38950</v>
      </c>
      <c r="E687" s="41">
        <v>1</v>
      </c>
      <c r="F687" s="41">
        <v>1</v>
      </c>
      <c r="G687" s="41" t="s">
        <v>5094</v>
      </c>
      <c r="H687" s="41">
        <v>1</v>
      </c>
    </row>
    <row r="688" spans="1:8" ht="16" x14ac:dyDescent="0.2">
      <c r="A688" s="41" t="s">
        <v>471</v>
      </c>
      <c r="B688" s="41" t="s">
        <v>5095</v>
      </c>
      <c r="C688" s="41" t="s">
        <v>3490</v>
      </c>
      <c r="D688" s="42">
        <v>44643</v>
      </c>
      <c r="E688" s="41">
        <v>5</v>
      </c>
      <c r="F688" s="41">
        <v>1</v>
      </c>
      <c r="G688" s="41" t="s">
        <v>5096</v>
      </c>
      <c r="H688" s="41">
        <v>5</v>
      </c>
    </row>
    <row r="689" spans="1:8" ht="16" x14ac:dyDescent="0.2">
      <c r="A689" s="41" t="s">
        <v>472</v>
      </c>
      <c r="B689" s="41" t="s">
        <v>5097</v>
      </c>
      <c r="C689" s="41" t="s">
        <v>3490</v>
      </c>
      <c r="D689" s="42">
        <v>42639</v>
      </c>
      <c r="E689" s="41">
        <v>10</v>
      </c>
      <c r="F689" s="41">
        <v>1</v>
      </c>
      <c r="G689" s="41" t="s">
        <v>5098</v>
      </c>
      <c r="H689" s="41">
        <v>10</v>
      </c>
    </row>
    <row r="690" spans="1:8" ht="16" x14ac:dyDescent="0.2">
      <c r="A690" s="41" t="s">
        <v>473</v>
      </c>
      <c r="B690" s="41" t="s">
        <v>5099</v>
      </c>
      <c r="C690" s="41" t="s">
        <v>3490</v>
      </c>
      <c r="D690" s="42">
        <v>34836</v>
      </c>
      <c r="E690" s="41">
        <v>10</v>
      </c>
      <c r="F690" s="41">
        <v>1</v>
      </c>
      <c r="G690" s="41" t="s">
        <v>5100</v>
      </c>
      <c r="H690" s="41">
        <v>10</v>
      </c>
    </row>
    <row r="691" spans="1:8" ht="16" x14ac:dyDescent="0.2">
      <c r="A691" s="41" t="s">
        <v>474</v>
      </c>
      <c r="B691" s="41" t="s">
        <v>5101</v>
      </c>
      <c r="C691" s="41" t="s">
        <v>3490</v>
      </c>
      <c r="D691" s="42">
        <v>39238</v>
      </c>
      <c r="E691" s="41">
        <v>10</v>
      </c>
      <c r="F691" s="41">
        <v>1</v>
      </c>
      <c r="G691" s="41" t="s">
        <v>5102</v>
      </c>
      <c r="H691" s="41">
        <v>10</v>
      </c>
    </row>
    <row r="692" spans="1:8" ht="16" x14ac:dyDescent="0.2">
      <c r="A692" s="41" t="s">
        <v>475</v>
      </c>
      <c r="B692" s="41" t="s">
        <v>5103</v>
      </c>
      <c r="C692" s="41" t="s">
        <v>3490</v>
      </c>
      <c r="D692" s="42">
        <v>41816</v>
      </c>
      <c r="E692" s="41">
        <v>2</v>
      </c>
      <c r="F692" s="41">
        <v>1</v>
      </c>
      <c r="G692" s="41" t="s">
        <v>5104</v>
      </c>
      <c r="H692" s="41">
        <v>2</v>
      </c>
    </row>
    <row r="693" spans="1:8" ht="16" x14ac:dyDescent="0.2">
      <c r="A693" s="41" t="s">
        <v>476</v>
      </c>
      <c r="B693" s="41" t="s">
        <v>5105</v>
      </c>
      <c r="C693" s="41" t="s">
        <v>3490</v>
      </c>
      <c r="D693" s="42">
        <v>44530</v>
      </c>
      <c r="E693" s="41">
        <v>10</v>
      </c>
      <c r="F693" s="41">
        <v>1</v>
      </c>
      <c r="G693" s="41" t="s">
        <v>5106</v>
      </c>
      <c r="H693" s="41">
        <v>10</v>
      </c>
    </row>
    <row r="694" spans="1:8" ht="16" x14ac:dyDescent="0.2">
      <c r="A694" s="41" t="s">
        <v>5107</v>
      </c>
      <c r="B694" s="41" t="s">
        <v>5108</v>
      </c>
      <c r="C694" s="41" t="s">
        <v>3510</v>
      </c>
      <c r="D694" s="42">
        <v>45595</v>
      </c>
      <c r="E694" s="41">
        <v>10</v>
      </c>
      <c r="F694" s="41">
        <v>1</v>
      </c>
      <c r="G694" s="41" t="s">
        <v>5109</v>
      </c>
      <c r="H694" s="41">
        <v>10</v>
      </c>
    </row>
    <row r="695" spans="1:8" ht="16" x14ac:dyDescent="0.2">
      <c r="A695" s="41" t="s">
        <v>477</v>
      </c>
      <c r="B695" s="41" t="s">
        <v>5110</v>
      </c>
      <c r="C695" s="41" t="s">
        <v>3490</v>
      </c>
      <c r="D695" s="42">
        <v>35270</v>
      </c>
      <c r="E695" s="41">
        <v>2</v>
      </c>
      <c r="F695" s="41">
        <v>1</v>
      </c>
      <c r="G695" s="41" t="s">
        <v>5111</v>
      </c>
      <c r="H695" s="41">
        <v>2</v>
      </c>
    </row>
    <row r="696" spans="1:8" ht="16" x14ac:dyDescent="0.2">
      <c r="A696" s="41" t="s">
        <v>5112</v>
      </c>
      <c r="B696" s="41" t="s">
        <v>5113</v>
      </c>
      <c r="C696" s="41" t="s">
        <v>3510</v>
      </c>
      <c r="D696" s="42">
        <v>44189</v>
      </c>
      <c r="E696" s="41">
        <v>1</v>
      </c>
      <c r="F696" s="41">
        <v>1</v>
      </c>
      <c r="G696" s="41" t="s">
        <v>5114</v>
      </c>
      <c r="H696" s="41">
        <v>1</v>
      </c>
    </row>
    <row r="697" spans="1:8" ht="16" x14ac:dyDescent="0.2">
      <c r="A697" s="41" t="s">
        <v>478</v>
      </c>
      <c r="B697" s="41" t="s">
        <v>5115</v>
      </c>
      <c r="C697" s="41" t="s">
        <v>3490</v>
      </c>
      <c r="D697" s="42">
        <v>45435</v>
      </c>
      <c r="E697" s="41">
        <v>10</v>
      </c>
      <c r="F697" s="41">
        <v>1</v>
      </c>
      <c r="G697" s="41" t="s">
        <v>5116</v>
      </c>
      <c r="H697" s="41">
        <v>10</v>
      </c>
    </row>
    <row r="698" spans="1:8" ht="16" x14ac:dyDescent="0.2">
      <c r="A698" s="41" t="s">
        <v>479</v>
      </c>
      <c r="B698" s="41" t="s">
        <v>5117</v>
      </c>
      <c r="C698" s="41" t="s">
        <v>3490</v>
      </c>
      <c r="D698" s="42">
        <v>43024</v>
      </c>
      <c r="E698" s="41">
        <v>10</v>
      </c>
      <c r="F698" s="41">
        <v>1</v>
      </c>
      <c r="G698" s="41" t="s">
        <v>5118</v>
      </c>
      <c r="H698" s="41">
        <v>10</v>
      </c>
    </row>
    <row r="699" spans="1:8" ht="16" x14ac:dyDescent="0.2">
      <c r="A699" s="41" t="s">
        <v>480</v>
      </c>
      <c r="B699" s="41" t="s">
        <v>5119</v>
      </c>
      <c r="C699" s="41" t="s">
        <v>3490</v>
      </c>
      <c r="D699" s="42">
        <v>37062</v>
      </c>
      <c r="E699" s="41">
        <v>1</v>
      </c>
      <c r="F699" s="41">
        <v>1</v>
      </c>
      <c r="G699" s="41" t="s">
        <v>5120</v>
      </c>
      <c r="H699" s="41">
        <v>1</v>
      </c>
    </row>
    <row r="700" spans="1:8" ht="16" x14ac:dyDescent="0.2">
      <c r="A700" s="41" t="s">
        <v>481</v>
      </c>
      <c r="B700" s="41" t="s">
        <v>5121</v>
      </c>
      <c r="C700" s="41" t="s">
        <v>3490</v>
      </c>
      <c r="D700" s="42">
        <v>37677</v>
      </c>
      <c r="E700" s="41">
        <v>1</v>
      </c>
      <c r="F700" s="41">
        <v>1</v>
      </c>
      <c r="G700" s="41" t="s">
        <v>5122</v>
      </c>
      <c r="H700" s="41">
        <v>1</v>
      </c>
    </row>
    <row r="701" spans="1:8" ht="16" x14ac:dyDescent="0.2">
      <c r="A701" s="41" t="s">
        <v>482</v>
      </c>
      <c r="B701" s="41" t="s">
        <v>5123</v>
      </c>
      <c r="C701" s="41" t="s">
        <v>3490</v>
      </c>
      <c r="D701" s="42">
        <v>40183</v>
      </c>
      <c r="E701" s="41">
        <v>5</v>
      </c>
      <c r="F701" s="41">
        <v>1</v>
      </c>
      <c r="G701" s="41" t="s">
        <v>5124</v>
      </c>
      <c r="H701" s="41">
        <v>5</v>
      </c>
    </row>
    <row r="702" spans="1:8" ht="16" x14ac:dyDescent="0.2">
      <c r="A702" s="41" t="s">
        <v>5125</v>
      </c>
      <c r="B702" s="41" t="s">
        <v>5126</v>
      </c>
      <c r="C702" s="41" t="s">
        <v>3797</v>
      </c>
      <c r="D702" s="42">
        <v>40284</v>
      </c>
      <c r="E702" s="41">
        <v>1</v>
      </c>
      <c r="F702" s="41">
        <v>1</v>
      </c>
      <c r="G702" s="41" t="s">
        <v>5127</v>
      </c>
      <c r="H702" s="41">
        <v>1</v>
      </c>
    </row>
    <row r="703" spans="1:8" ht="16" x14ac:dyDescent="0.2">
      <c r="A703" s="41" t="s">
        <v>483</v>
      </c>
      <c r="B703" s="41" t="s">
        <v>5128</v>
      </c>
      <c r="C703" s="41" t="s">
        <v>3490</v>
      </c>
      <c r="D703" s="42">
        <v>38469</v>
      </c>
      <c r="E703" s="41">
        <v>5</v>
      </c>
      <c r="F703" s="41">
        <v>1</v>
      </c>
      <c r="G703" s="41" t="s">
        <v>5129</v>
      </c>
      <c r="H703" s="41">
        <v>5</v>
      </c>
    </row>
    <row r="704" spans="1:8" ht="16" x14ac:dyDescent="0.2">
      <c r="A704" s="41" t="s">
        <v>5130</v>
      </c>
      <c r="B704" s="41" t="s">
        <v>5131</v>
      </c>
      <c r="C704" s="41" t="s">
        <v>3490</v>
      </c>
      <c r="D704" s="42">
        <v>39603</v>
      </c>
      <c r="E704" s="41">
        <v>2</v>
      </c>
      <c r="F704" s="41">
        <v>1</v>
      </c>
      <c r="G704" s="41" t="s">
        <v>5132</v>
      </c>
      <c r="H704" s="41">
        <v>2</v>
      </c>
    </row>
    <row r="705" spans="1:8" ht="16" x14ac:dyDescent="0.2">
      <c r="A705" s="41" t="s">
        <v>484</v>
      </c>
      <c r="B705" s="41" t="s">
        <v>5133</v>
      </c>
      <c r="C705" s="41" t="s">
        <v>3490</v>
      </c>
      <c r="D705" s="42">
        <v>42440</v>
      </c>
      <c r="E705" s="41">
        <v>2</v>
      </c>
      <c r="F705" s="41">
        <v>1</v>
      </c>
      <c r="G705" s="41" t="s">
        <v>5134</v>
      </c>
      <c r="H705" s="41">
        <v>2</v>
      </c>
    </row>
    <row r="706" spans="1:8" ht="16" x14ac:dyDescent="0.2">
      <c r="A706" s="41" t="s">
        <v>5135</v>
      </c>
      <c r="B706" s="41" t="s">
        <v>5136</v>
      </c>
      <c r="C706" s="41" t="s">
        <v>3797</v>
      </c>
      <c r="D706" s="42">
        <v>34738</v>
      </c>
      <c r="E706" s="41">
        <v>10</v>
      </c>
      <c r="F706" s="41">
        <v>1</v>
      </c>
      <c r="G706" s="41" t="s">
        <v>5137</v>
      </c>
      <c r="H706" s="41">
        <v>10</v>
      </c>
    </row>
    <row r="707" spans="1:8" ht="16" x14ac:dyDescent="0.2">
      <c r="A707" s="41" t="s">
        <v>485</v>
      </c>
      <c r="B707" s="41" t="s">
        <v>5138</v>
      </c>
      <c r="C707" s="41" t="s">
        <v>3490</v>
      </c>
      <c r="D707" s="42">
        <v>38593</v>
      </c>
      <c r="E707" s="41">
        <v>2</v>
      </c>
      <c r="F707" s="41">
        <v>1</v>
      </c>
      <c r="G707" s="41" t="s">
        <v>5139</v>
      </c>
      <c r="H707" s="41">
        <v>2</v>
      </c>
    </row>
    <row r="708" spans="1:8" ht="16" x14ac:dyDescent="0.2">
      <c r="A708" s="41" t="s">
        <v>486</v>
      </c>
      <c r="B708" s="41" t="s">
        <v>5140</v>
      </c>
      <c r="C708" s="41" t="s">
        <v>3490</v>
      </c>
      <c r="D708" s="42">
        <v>36992</v>
      </c>
      <c r="E708" s="41">
        <v>10</v>
      </c>
      <c r="F708" s="41">
        <v>1</v>
      </c>
      <c r="G708" s="41" t="s">
        <v>5141</v>
      </c>
      <c r="H708" s="41">
        <v>10</v>
      </c>
    </row>
    <row r="709" spans="1:8" ht="16" x14ac:dyDescent="0.2">
      <c r="A709" s="41" t="s">
        <v>487</v>
      </c>
      <c r="B709" s="41" t="s">
        <v>5142</v>
      </c>
      <c r="C709" s="41" t="s">
        <v>3490</v>
      </c>
      <c r="D709" s="42">
        <v>42012</v>
      </c>
      <c r="E709" s="41">
        <v>2</v>
      </c>
      <c r="F709" s="41">
        <v>1</v>
      </c>
      <c r="G709" s="41" t="s">
        <v>5143</v>
      </c>
      <c r="H709" s="41">
        <v>2</v>
      </c>
    </row>
    <row r="710" spans="1:8" ht="16" x14ac:dyDescent="0.2">
      <c r="A710" s="41" t="s">
        <v>488</v>
      </c>
      <c r="B710" s="41" t="s">
        <v>5144</v>
      </c>
      <c r="C710" s="41" t="s">
        <v>3490</v>
      </c>
      <c r="D710" s="42">
        <v>45365</v>
      </c>
      <c r="E710" s="41">
        <v>1</v>
      </c>
      <c r="F710" s="41">
        <v>1</v>
      </c>
      <c r="G710" s="41" t="s">
        <v>5145</v>
      </c>
      <c r="H710" s="41">
        <v>1</v>
      </c>
    </row>
    <row r="711" spans="1:8" ht="16" x14ac:dyDescent="0.2">
      <c r="A711" s="41" t="s">
        <v>5146</v>
      </c>
      <c r="B711" s="41" t="s">
        <v>5147</v>
      </c>
      <c r="C711" s="41" t="s">
        <v>3490</v>
      </c>
      <c r="D711" s="42">
        <v>44869</v>
      </c>
      <c r="E711" s="41">
        <v>1</v>
      </c>
      <c r="F711" s="41">
        <v>1</v>
      </c>
      <c r="G711" s="41" t="s">
        <v>5148</v>
      </c>
      <c r="H711" s="41">
        <v>1</v>
      </c>
    </row>
    <row r="712" spans="1:8" ht="16" x14ac:dyDescent="0.2">
      <c r="A712" s="41" t="s">
        <v>489</v>
      </c>
      <c r="B712" s="41" t="s">
        <v>5149</v>
      </c>
      <c r="C712" s="41" t="s">
        <v>3490</v>
      </c>
      <c r="D712" s="42">
        <v>38832</v>
      </c>
      <c r="E712" s="41">
        <v>1</v>
      </c>
      <c r="F712" s="41">
        <v>1</v>
      </c>
      <c r="G712" s="41" t="s">
        <v>5150</v>
      </c>
      <c r="H712" s="41">
        <v>1</v>
      </c>
    </row>
    <row r="713" spans="1:8" ht="16" x14ac:dyDescent="0.2">
      <c r="A713" s="41" t="s">
        <v>490</v>
      </c>
      <c r="B713" s="41" t="s">
        <v>5151</v>
      </c>
      <c r="C713" s="41" t="s">
        <v>3490</v>
      </c>
      <c r="D713" s="42">
        <v>40430</v>
      </c>
      <c r="E713" s="41">
        <v>10</v>
      </c>
      <c r="F713" s="41">
        <v>1</v>
      </c>
      <c r="G713" s="41" t="s">
        <v>5152</v>
      </c>
      <c r="H713" s="41">
        <v>10</v>
      </c>
    </row>
    <row r="714" spans="1:8" ht="16" x14ac:dyDescent="0.2">
      <c r="A714" s="41" t="s">
        <v>491</v>
      </c>
      <c r="B714" s="41" t="s">
        <v>5153</v>
      </c>
      <c r="C714" s="41" t="s">
        <v>3490</v>
      </c>
      <c r="D714" s="42">
        <v>45351</v>
      </c>
      <c r="E714" s="41">
        <v>10</v>
      </c>
      <c r="F714" s="41">
        <v>1</v>
      </c>
      <c r="G714" s="41" t="s">
        <v>5154</v>
      </c>
      <c r="H714" s="41">
        <v>10</v>
      </c>
    </row>
    <row r="715" spans="1:8" ht="16" x14ac:dyDescent="0.2">
      <c r="A715" s="41" t="s">
        <v>492</v>
      </c>
      <c r="B715" s="41" t="s">
        <v>5155</v>
      </c>
      <c r="C715" s="41" t="s">
        <v>3490</v>
      </c>
      <c r="D715" s="42">
        <v>42562</v>
      </c>
      <c r="E715" s="41">
        <v>10</v>
      </c>
      <c r="F715" s="41">
        <v>1</v>
      </c>
      <c r="G715" s="41" t="s">
        <v>5156</v>
      </c>
      <c r="H715" s="41">
        <v>10</v>
      </c>
    </row>
    <row r="716" spans="1:8" ht="16" x14ac:dyDescent="0.2">
      <c r="A716" s="41" t="s">
        <v>493</v>
      </c>
      <c r="B716" s="41" t="s">
        <v>5157</v>
      </c>
      <c r="C716" s="41" t="s">
        <v>3490</v>
      </c>
      <c r="D716" s="42">
        <v>38523</v>
      </c>
      <c r="E716" s="41">
        <v>1</v>
      </c>
      <c r="F716" s="41">
        <v>1</v>
      </c>
      <c r="G716" s="41" t="s">
        <v>5158</v>
      </c>
      <c r="H716" s="41">
        <v>1</v>
      </c>
    </row>
    <row r="717" spans="1:8" ht="16" x14ac:dyDescent="0.2">
      <c r="A717" s="41" t="s">
        <v>494</v>
      </c>
      <c r="B717" s="41" t="s">
        <v>5159</v>
      </c>
      <c r="C717" s="41" t="s">
        <v>3490</v>
      </c>
      <c r="D717" s="42">
        <v>37659</v>
      </c>
      <c r="E717" s="41">
        <v>2</v>
      </c>
      <c r="F717" s="41">
        <v>1</v>
      </c>
      <c r="G717" s="41" t="s">
        <v>5160</v>
      </c>
      <c r="H717" s="41">
        <v>2</v>
      </c>
    </row>
    <row r="718" spans="1:8" ht="16" x14ac:dyDescent="0.2">
      <c r="A718" s="41" t="s">
        <v>495</v>
      </c>
      <c r="B718" s="41" t="s">
        <v>5161</v>
      </c>
      <c r="C718" s="41" t="s">
        <v>3490</v>
      </c>
      <c r="D718" s="42">
        <v>34829</v>
      </c>
      <c r="E718" s="41">
        <v>2</v>
      </c>
      <c r="F718" s="41">
        <v>1</v>
      </c>
      <c r="G718" s="41" t="s">
        <v>5162</v>
      </c>
      <c r="H718" s="41">
        <v>2</v>
      </c>
    </row>
    <row r="719" spans="1:8" ht="16" x14ac:dyDescent="0.2">
      <c r="A719" s="41" t="s">
        <v>496</v>
      </c>
      <c r="B719" s="41" t="s">
        <v>5163</v>
      </c>
      <c r="C719" s="41" t="s">
        <v>3490</v>
      </c>
      <c r="D719" s="42">
        <v>40498</v>
      </c>
      <c r="E719" s="41">
        <v>2</v>
      </c>
      <c r="F719" s="41">
        <v>1</v>
      </c>
      <c r="G719" s="41" t="s">
        <v>5164</v>
      </c>
      <c r="H719" s="41">
        <v>2</v>
      </c>
    </row>
    <row r="720" spans="1:8" ht="16" x14ac:dyDescent="0.2">
      <c r="A720" s="41" t="s">
        <v>497</v>
      </c>
      <c r="B720" s="41" t="s">
        <v>5165</v>
      </c>
      <c r="C720" s="41" t="s">
        <v>3490</v>
      </c>
      <c r="D720" s="42">
        <v>38239</v>
      </c>
      <c r="E720" s="41">
        <v>2</v>
      </c>
      <c r="F720" s="41">
        <v>1</v>
      </c>
      <c r="G720" s="41" t="s">
        <v>5166</v>
      </c>
      <c r="H720" s="41">
        <v>2</v>
      </c>
    </row>
    <row r="721" spans="1:8" ht="16" x14ac:dyDescent="0.2">
      <c r="A721" s="41" t="s">
        <v>498</v>
      </c>
      <c r="B721" s="41" t="s">
        <v>5167</v>
      </c>
      <c r="C721" s="41" t="s">
        <v>3490</v>
      </c>
      <c r="D721" s="42">
        <v>42065</v>
      </c>
      <c r="E721" s="41">
        <v>1</v>
      </c>
      <c r="F721" s="41">
        <v>1</v>
      </c>
      <c r="G721" s="41" t="s">
        <v>5168</v>
      </c>
      <c r="H721" s="41">
        <v>1</v>
      </c>
    </row>
    <row r="722" spans="1:8" ht="16" x14ac:dyDescent="0.2">
      <c r="A722" s="41" t="s">
        <v>499</v>
      </c>
      <c r="B722" s="41" t="s">
        <v>5169</v>
      </c>
      <c r="C722" s="41" t="s">
        <v>3490</v>
      </c>
      <c r="D722" s="42">
        <v>43761</v>
      </c>
      <c r="E722" s="41">
        <v>1</v>
      </c>
      <c r="F722" s="41">
        <v>1</v>
      </c>
      <c r="G722" s="41" t="s">
        <v>5170</v>
      </c>
      <c r="H722" s="41">
        <v>1</v>
      </c>
    </row>
    <row r="723" spans="1:8" ht="16" x14ac:dyDescent="0.2">
      <c r="A723" s="41" t="s">
        <v>500</v>
      </c>
      <c r="B723" s="41" t="s">
        <v>5171</v>
      </c>
      <c r="C723" s="41" t="s">
        <v>3490</v>
      </c>
      <c r="D723" s="42">
        <v>35130</v>
      </c>
      <c r="E723" s="41">
        <v>1</v>
      </c>
      <c r="F723" s="41">
        <v>1</v>
      </c>
      <c r="G723" s="41" t="s">
        <v>5172</v>
      </c>
      <c r="H723" s="41">
        <v>1</v>
      </c>
    </row>
    <row r="724" spans="1:8" ht="16" x14ac:dyDescent="0.2">
      <c r="A724" s="41" t="s">
        <v>501</v>
      </c>
      <c r="B724" s="41" t="s">
        <v>5173</v>
      </c>
      <c r="C724" s="41" t="s">
        <v>3490</v>
      </c>
      <c r="D724" s="42">
        <v>40459</v>
      </c>
      <c r="E724" s="41">
        <v>10</v>
      </c>
      <c r="F724" s="41">
        <v>1</v>
      </c>
      <c r="G724" s="41" t="s">
        <v>5174</v>
      </c>
      <c r="H724" s="41">
        <v>10</v>
      </c>
    </row>
    <row r="725" spans="1:8" ht="16" x14ac:dyDescent="0.2">
      <c r="A725" s="41" t="s">
        <v>502</v>
      </c>
      <c r="B725" s="41" t="s">
        <v>5175</v>
      </c>
      <c r="C725" s="41" t="s">
        <v>3490</v>
      </c>
      <c r="D725" s="42">
        <v>38971</v>
      </c>
      <c r="E725" s="41">
        <v>5</v>
      </c>
      <c r="F725" s="41">
        <v>1</v>
      </c>
      <c r="G725" s="41" t="s">
        <v>5176</v>
      </c>
      <c r="H725" s="41">
        <v>5</v>
      </c>
    </row>
    <row r="726" spans="1:8" ht="16" x14ac:dyDescent="0.2">
      <c r="A726" s="41" t="s">
        <v>503</v>
      </c>
      <c r="B726" s="41" t="s">
        <v>5177</v>
      </c>
      <c r="C726" s="41" t="s">
        <v>3490</v>
      </c>
      <c r="D726" s="42">
        <v>44396</v>
      </c>
      <c r="E726" s="41">
        <v>5</v>
      </c>
      <c r="F726" s="41">
        <v>1</v>
      </c>
      <c r="G726" s="41" t="s">
        <v>5178</v>
      </c>
      <c r="H726" s="41">
        <v>5</v>
      </c>
    </row>
    <row r="727" spans="1:8" ht="16" x14ac:dyDescent="0.2">
      <c r="A727" s="41" t="s">
        <v>504</v>
      </c>
      <c r="B727" s="41" t="s">
        <v>5179</v>
      </c>
      <c r="C727" s="41" t="s">
        <v>3490</v>
      </c>
      <c r="D727" s="42">
        <v>44811</v>
      </c>
      <c r="E727" s="41">
        <v>2</v>
      </c>
      <c r="F727" s="41">
        <v>1</v>
      </c>
      <c r="G727" s="41" t="s">
        <v>5180</v>
      </c>
      <c r="H727" s="41">
        <v>2</v>
      </c>
    </row>
    <row r="728" spans="1:8" ht="16" x14ac:dyDescent="0.2">
      <c r="A728" s="41" t="s">
        <v>5181</v>
      </c>
      <c r="B728" s="41" t="s">
        <v>5182</v>
      </c>
      <c r="C728" s="41" t="s">
        <v>3510</v>
      </c>
      <c r="D728" s="42">
        <v>42565</v>
      </c>
      <c r="E728" s="41">
        <v>10</v>
      </c>
      <c r="F728" s="41">
        <v>1</v>
      </c>
      <c r="G728" s="41" t="s">
        <v>5183</v>
      </c>
      <c r="H728" s="41">
        <v>10</v>
      </c>
    </row>
    <row r="729" spans="1:8" ht="16" x14ac:dyDescent="0.2">
      <c r="A729" s="41" t="s">
        <v>505</v>
      </c>
      <c r="B729" s="41" t="s">
        <v>5184</v>
      </c>
      <c r="C729" s="41" t="s">
        <v>3490</v>
      </c>
      <c r="D729" s="42">
        <v>42047</v>
      </c>
      <c r="E729" s="41">
        <v>10</v>
      </c>
      <c r="F729" s="41">
        <v>1</v>
      </c>
      <c r="G729" s="41" t="s">
        <v>5185</v>
      </c>
      <c r="H729" s="41">
        <v>10</v>
      </c>
    </row>
    <row r="730" spans="1:8" ht="16" x14ac:dyDescent="0.2">
      <c r="A730" s="41" t="s">
        <v>506</v>
      </c>
      <c r="B730" s="41" t="s">
        <v>5186</v>
      </c>
      <c r="C730" s="41" t="s">
        <v>3490</v>
      </c>
      <c r="D730" s="42">
        <v>43383</v>
      </c>
      <c r="E730" s="41">
        <v>10</v>
      </c>
      <c r="F730" s="41">
        <v>1</v>
      </c>
      <c r="G730" s="41" t="s">
        <v>5187</v>
      </c>
      <c r="H730" s="41">
        <v>10</v>
      </c>
    </row>
    <row r="731" spans="1:8" ht="16" x14ac:dyDescent="0.2">
      <c r="A731" s="41" t="s">
        <v>507</v>
      </c>
      <c r="B731" s="41" t="s">
        <v>5188</v>
      </c>
      <c r="C731" s="41" t="s">
        <v>3490</v>
      </c>
      <c r="D731" s="42">
        <v>44595</v>
      </c>
      <c r="E731" s="41">
        <v>10</v>
      </c>
      <c r="F731" s="41">
        <v>1</v>
      </c>
      <c r="G731" s="41" t="s">
        <v>5189</v>
      </c>
      <c r="H731" s="41">
        <v>10</v>
      </c>
    </row>
    <row r="732" spans="1:8" ht="16" x14ac:dyDescent="0.2">
      <c r="A732" s="41" t="s">
        <v>508</v>
      </c>
      <c r="B732" s="41" t="s">
        <v>5190</v>
      </c>
      <c r="C732" s="41" t="s">
        <v>3490</v>
      </c>
      <c r="D732" s="42">
        <v>34948</v>
      </c>
      <c r="E732" s="41">
        <v>2</v>
      </c>
      <c r="F732" s="41">
        <v>1</v>
      </c>
      <c r="G732" s="41" t="s">
        <v>5191</v>
      </c>
      <c r="H732" s="41">
        <v>2</v>
      </c>
    </row>
    <row r="733" spans="1:8" ht="16" x14ac:dyDescent="0.2">
      <c r="A733" s="41" t="s">
        <v>509</v>
      </c>
      <c r="B733" s="41" t="s">
        <v>5192</v>
      </c>
      <c r="C733" s="41" t="s">
        <v>3490</v>
      </c>
      <c r="D733" s="42">
        <v>45008</v>
      </c>
      <c r="E733" s="41">
        <v>10</v>
      </c>
      <c r="F733" s="41">
        <v>1</v>
      </c>
      <c r="G733" s="41" t="s">
        <v>5193</v>
      </c>
      <c r="H733" s="41">
        <v>10</v>
      </c>
    </row>
    <row r="734" spans="1:8" ht="16" x14ac:dyDescent="0.2">
      <c r="A734" s="41" t="s">
        <v>510</v>
      </c>
      <c r="B734" s="41" t="s">
        <v>5194</v>
      </c>
      <c r="C734" s="41" t="s">
        <v>3490</v>
      </c>
      <c r="D734" s="42">
        <v>38764</v>
      </c>
      <c r="E734" s="41">
        <v>10</v>
      </c>
      <c r="F734" s="41">
        <v>1</v>
      </c>
      <c r="G734" s="41" t="s">
        <v>5195</v>
      </c>
      <c r="H734" s="41">
        <v>10</v>
      </c>
    </row>
    <row r="735" spans="1:8" ht="16" x14ac:dyDescent="0.2">
      <c r="A735" s="41" t="s">
        <v>5196</v>
      </c>
      <c r="B735" s="41" t="s">
        <v>5197</v>
      </c>
      <c r="C735" s="41" t="s">
        <v>3490</v>
      </c>
      <c r="D735" s="42">
        <v>39514</v>
      </c>
      <c r="E735" s="41">
        <v>10</v>
      </c>
      <c r="F735" s="41">
        <v>1</v>
      </c>
      <c r="G735" s="41" t="s">
        <v>5198</v>
      </c>
      <c r="H735" s="41">
        <v>10</v>
      </c>
    </row>
    <row r="736" spans="1:8" ht="16" x14ac:dyDescent="0.2">
      <c r="A736" s="41" t="s">
        <v>5199</v>
      </c>
      <c r="B736" s="41" t="s">
        <v>5200</v>
      </c>
      <c r="C736" s="41" t="s">
        <v>3510</v>
      </c>
      <c r="D736" s="42">
        <v>44148</v>
      </c>
      <c r="E736" s="41">
        <v>10</v>
      </c>
      <c r="F736" s="41">
        <v>1</v>
      </c>
      <c r="G736" s="41" t="s">
        <v>5201</v>
      </c>
      <c r="H736" s="41">
        <v>10</v>
      </c>
    </row>
    <row r="737" spans="1:8" ht="16" x14ac:dyDescent="0.2">
      <c r="A737" s="41" t="s">
        <v>5202</v>
      </c>
      <c r="B737" s="41" t="s">
        <v>5203</v>
      </c>
      <c r="C737" s="41" t="s">
        <v>3490</v>
      </c>
      <c r="D737" s="42">
        <v>34787</v>
      </c>
      <c r="E737" s="41">
        <v>10</v>
      </c>
      <c r="F737" s="41">
        <v>1</v>
      </c>
      <c r="G737" s="41" t="s">
        <v>5204</v>
      </c>
      <c r="H737" s="41">
        <v>10</v>
      </c>
    </row>
    <row r="738" spans="1:8" ht="16" x14ac:dyDescent="0.2">
      <c r="A738" s="41" t="s">
        <v>511</v>
      </c>
      <c r="B738" s="41" t="s">
        <v>5205</v>
      </c>
      <c r="C738" s="41" t="s">
        <v>3490</v>
      </c>
      <c r="D738" s="42">
        <v>39030</v>
      </c>
      <c r="E738" s="41">
        <v>10</v>
      </c>
      <c r="F738" s="41">
        <v>1</v>
      </c>
      <c r="G738" s="41" t="s">
        <v>5206</v>
      </c>
      <c r="H738" s="41">
        <v>10</v>
      </c>
    </row>
    <row r="739" spans="1:8" ht="16" x14ac:dyDescent="0.2">
      <c r="A739" s="41" t="s">
        <v>512</v>
      </c>
      <c r="B739" s="41" t="s">
        <v>5207</v>
      </c>
      <c r="C739" s="41" t="s">
        <v>3490</v>
      </c>
      <c r="D739" s="42">
        <v>42920</v>
      </c>
      <c r="E739" s="41">
        <v>10</v>
      </c>
      <c r="F739" s="41">
        <v>1</v>
      </c>
      <c r="G739" s="41" t="s">
        <v>5208</v>
      </c>
      <c r="H739" s="41">
        <v>10</v>
      </c>
    </row>
    <row r="740" spans="1:8" ht="16" x14ac:dyDescent="0.2">
      <c r="A740" s="41" t="s">
        <v>513</v>
      </c>
      <c r="B740" s="41" t="s">
        <v>5209</v>
      </c>
      <c r="C740" s="41" t="s">
        <v>3490</v>
      </c>
      <c r="D740" s="42">
        <v>38279</v>
      </c>
      <c r="E740" s="41">
        <v>1</v>
      </c>
      <c r="F740" s="41">
        <v>1</v>
      </c>
      <c r="G740" s="41" t="s">
        <v>5210</v>
      </c>
      <c r="H740" s="41">
        <v>1</v>
      </c>
    </row>
    <row r="741" spans="1:8" ht="16" x14ac:dyDescent="0.2">
      <c r="A741" s="41" t="s">
        <v>514</v>
      </c>
      <c r="B741" s="41" t="s">
        <v>5211</v>
      </c>
      <c r="C741" s="41" t="s">
        <v>3490</v>
      </c>
      <c r="D741" s="42">
        <v>35649</v>
      </c>
      <c r="E741" s="41">
        <v>10</v>
      </c>
      <c r="F741" s="41">
        <v>1</v>
      </c>
      <c r="G741" s="41" t="s">
        <v>5212</v>
      </c>
      <c r="H741" s="41">
        <v>10</v>
      </c>
    </row>
    <row r="742" spans="1:8" ht="16" x14ac:dyDescent="0.2">
      <c r="A742" s="41" t="s">
        <v>5213</v>
      </c>
      <c r="B742" s="41" t="s">
        <v>5214</v>
      </c>
      <c r="C742" s="41" t="s">
        <v>3510</v>
      </c>
      <c r="D742" s="42">
        <v>39237</v>
      </c>
      <c r="E742" s="41">
        <v>10</v>
      </c>
      <c r="F742" s="41">
        <v>1</v>
      </c>
      <c r="G742" s="41" t="s">
        <v>5215</v>
      </c>
      <c r="H742" s="41">
        <v>10</v>
      </c>
    </row>
    <row r="743" spans="1:8" ht="16" x14ac:dyDescent="0.2">
      <c r="A743" s="41" t="s">
        <v>515</v>
      </c>
      <c r="B743" s="41" t="s">
        <v>5216</v>
      </c>
      <c r="C743" s="41" t="s">
        <v>3490</v>
      </c>
      <c r="D743" s="42">
        <v>42262</v>
      </c>
      <c r="E743" s="41">
        <v>2</v>
      </c>
      <c r="F743" s="41">
        <v>1</v>
      </c>
      <c r="G743" s="41" t="s">
        <v>5217</v>
      </c>
      <c r="H743" s="41">
        <v>2</v>
      </c>
    </row>
    <row r="744" spans="1:8" ht="16" x14ac:dyDescent="0.2">
      <c r="A744" s="41" t="s">
        <v>5218</v>
      </c>
      <c r="B744" s="41" t="s">
        <v>5219</v>
      </c>
      <c r="C744" s="41" t="s">
        <v>3490</v>
      </c>
      <c r="D744" s="42">
        <v>35347</v>
      </c>
      <c r="E744" s="41">
        <v>10</v>
      </c>
      <c r="F744" s="41">
        <v>100</v>
      </c>
      <c r="G744" s="41" t="s">
        <v>5220</v>
      </c>
      <c r="H744" s="41">
        <v>10</v>
      </c>
    </row>
    <row r="745" spans="1:8" ht="16" x14ac:dyDescent="0.2">
      <c r="A745" s="41" t="s">
        <v>5221</v>
      </c>
      <c r="B745" s="41" t="s">
        <v>5222</v>
      </c>
      <c r="C745" s="41" t="s">
        <v>3490</v>
      </c>
      <c r="D745" s="42">
        <v>45713</v>
      </c>
      <c r="E745" s="41">
        <v>1</v>
      </c>
      <c r="F745" s="41">
        <v>1</v>
      </c>
      <c r="G745" s="41" t="s">
        <v>5223</v>
      </c>
      <c r="H745" s="41">
        <v>1</v>
      </c>
    </row>
    <row r="746" spans="1:8" ht="16" x14ac:dyDescent="0.2">
      <c r="A746" s="41" t="s">
        <v>516</v>
      </c>
      <c r="B746" s="41" t="s">
        <v>5224</v>
      </c>
      <c r="C746" s="41" t="s">
        <v>3490</v>
      </c>
      <c r="D746" s="42">
        <v>41851</v>
      </c>
      <c r="E746" s="41">
        <v>2</v>
      </c>
      <c r="F746" s="41">
        <v>1</v>
      </c>
      <c r="G746" s="41" t="s">
        <v>5225</v>
      </c>
      <c r="H746" s="41">
        <v>2</v>
      </c>
    </row>
    <row r="747" spans="1:8" ht="16" x14ac:dyDescent="0.2">
      <c r="A747" s="41" t="s">
        <v>5226</v>
      </c>
      <c r="B747" s="41" t="s">
        <v>5227</v>
      </c>
      <c r="C747" s="41" t="s">
        <v>3490</v>
      </c>
      <c r="D747" s="42">
        <v>38254</v>
      </c>
      <c r="E747" s="41">
        <v>5</v>
      </c>
      <c r="F747" s="41">
        <v>1</v>
      </c>
      <c r="G747" s="41" t="s">
        <v>5228</v>
      </c>
      <c r="H747" s="41">
        <v>5</v>
      </c>
    </row>
    <row r="748" spans="1:8" ht="16" x14ac:dyDescent="0.2">
      <c r="A748" s="41" t="s">
        <v>517</v>
      </c>
      <c r="B748" s="41" t="s">
        <v>5229</v>
      </c>
      <c r="C748" s="41" t="s">
        <v>3490</v>
      </c>
      <c r="D748" s="42">
        <v>42032</v>
      </c>
      <c r="E748" s="41">
        <v>1</v>
      </c>
      <c r="F748" s="41">
        <v>1</v>
      </c>
      <c r="G748" s="41" t="s">
        <v>5230</v>
      </c>
      <c r="H748" s="41">
        <v>1</v>
      </c>
    </row>
    <row r="749" spans="1:8" ht="16" x14ac:dyDescent="0.2">
      <c r="A749" s="41" t="s">
        <v>518</v>
      </c>
      <c r="B749" s="41" t="s">
        <v>5231</v>
      </c>
      <c r="C749" s="41" t="s">
        <v>3510</v>
      </c>
      <c r="D749" s="42">
        <v>38775</v>
      </c>
      <c r="E749" s="41">
        <v>1</v>
      </c>
      <c r="F749" s="41">
        <v>1</v>
      </c>
      <c r="G749" s="41" t="s">
        <v>5232</v>
      </c>
      <c r="H749" s="41">
        <v>1</v>
      </c>
    </row>
    <row r="750" spans="1:8" ht="16" x14ac:dyDescent="0.2">
      <c r="A750" s="41" t="s">
        <v>5233</v>
      </c>
      <c r="B750" s="41" t="s">
        <v>5234</v>
      </c>
      <c r="C750" s="41" t="s">
        <v>3490</v>
      </c>
      <c r="D750" s="42">
        <v>36635</v>
      </c>
      <c r="E750" s="41">
        <v>10</v>
      </c>
      <c r="F750" s="41">
        <v>1</v>
      </c>
      <c r="G750" s="41" t="s">
        <v>5235</v>
      </c>
      <c r="H750" s="41">
        <v>10</v>
      </c>
    </row>
    <row r="751" spans="1:8" ht="16" x14ac:dyDescent="0.2">
      <c r="A751" s="41" t="s">
        <v>5236</v>
      </c>
      <c r="B751" s="41" t="s">
        <v>5237</v>
      </c>
      <c r="C751" s="41" t="s">
        <v>3490</v>
      </c>
      <c r="D751" s="42">
        <v>44810</v>
      </c>
      <c r="E751" s="41">
        <v>2</v>
      </c>
      <c r="F751" s="41">
        <v>1</v>
      </c>
      <c r="G751" s="41" t="s">
        <v>5238</v>
      </c>
      <c r="H751" s="41">
        <v>2</v>
      </c>
    </row>
    <row r="752" spans="1:8" ht="16" x14ac:dyDescent="0.2">
      <c r="A752" s="41" t="s">
        <v>5239</v>
      </c>
      <c r="B752" s="41" t="s">
        <v>5240</v>
      </c>
      <c r="C752" s="41" t="s">
        <v>3490</v>
      </c>
      <c r="D752" s="42">
        <v>39629</v>
      </c>
      <c r="E752" s="41">
        <v>2</v>
      </c>
      <c r="F752" s="41">
        <v>1</v>
      </c>
      <c r="G752" s="41" t="s">
        <v>5241</v>
      </c>
      <c r="H752" s="41">
        <v>2</v>
      </c>
    </row>
    <row r="753" spans="1:8" ht="16" x14ac:dyDescent="0.2">
      <c r="A753" s="41" t="s">
        <v>519</v>
      </c>
      <c r="B753" s="41" t="s">
        <v>5242</v>
      </c>
      <c r="C753" s="41" t="s">
        <v>3490</v>
      </c>
      <c r="D753" s="42">
        <v>43187</v>
      </c>
      <c r="E753" s="41">
        <v>5</v>
      </c>
      <c r="F753" s="41">
        <v>1</v>
      </c>
      <c r="G753" s="41" t="s">
        <v>5243</v>
      </c>
      <c r="H753" s="41">
        <v>5</v>
      </c>
    </row>
    <row r="754" spans="1:8" ht="16" x14ac:dyDescent="0.2">
      <c r="A754" s="41" t="s">
        <v>520</v>
      </c>
      <c r="B754" s="41" t="s">
        <v>5244</v>
      </c>
      <c r="C754" s="41" t="s">
        <v>3490</v>
      </c>
      <c r="D754" s="42">
        <v>44091</v>
      </c>
      <c r="E754" s="41">
        <v>2</v>
      </c>
      <c r="F754" s="41">
        <v>1</v>
      </c>
      <c r="G754" s="41" t="s">
        <v>5245</v>
      </c>
      <c r="H754" s="41">
        <v>2</v>
      </c>
    </row>
    <row r="755" spans="1:8" ht="16" x14ac:dyDescent="0.2">
      <c r="A755" s="41" t="s">
        <v>521</v>
      </c>
      <c r="B755" s="41" t="s">
        <v>5246</v>
      </c>
      <c r="C755" s="41" t="s">
        <v>3490</v>
      </c>
      <c r="D755" s="42">
        <v>45287</v>
      </c>
      <c r="E755" s="41">
        <v>2</v>
      </c>
      <c r="F755" s="41">
        <v>1</v>
      </c>
      <c r="G755" s="41" t="s">
        <v>5247</v>
      </c>
      <c r="H755" s="41">
        <v>2</v>
      </c>
    </row>
    <row r="756" spans="1:8" ht="16" x14ac:dyDescent="0.2">
      <c r="A756" s="41" t="s">
        <v>522</v>
      </c>
      <c r="B756" s="41" t="s">
        <v>5248</v>
      </c>
      <c r="C756" s="41" t="s">
        <v>3490</v>
      </c>
      <c r="D756" s="42">
        <v>44663</v>
      </c>
      <c r="E756" s="41">
        <v>1</v>
      </c>
      <c r="F756" s="41">
        <v>1</v>
      </c>
      <c r="G756" s="41" t="s">
        <v>5249</v>
      </c>
      <c r="H756" s="41">
        <v>1</v>
      </c>
    </row>
    <row r="757" spans="1:8" ht="16" x14ac:dyDescent="0.2">
      <c r="A757" s="41" t="s">
        <v>523</v>
      </c>
      <c r="B757" s="41" t="s">
        <v>5250</v>
      </c>
      <c r="C757" s="41" t="s">
        <v>3490</v>
      </c>
      <c r="D757" s="42">
        <v>44664</v>
      </c>
      <c r="E757" s="41">
        <v>10</v>
      </c>
      <c r="F757" s="41">
        <v>1</v>
      </c>
      <c r="G757" s="41" t="s">
        <v>5251</v>
      </c>
      <c r="H757" s="41">
        <v>10</v>
      </c>
    </row>
    <row r="758" spans="1:8" ht="16" x14ac:dyDescent="0.2">
      <c r="A758" s="41" t="s">
        <v>5252</v>
      </c>
      <c r="B758" s="41" t="s">
        <v>5253</v>
      </c>
      <c r="C758" s="41" t="s">
        <v>3490</v>
      </c>
      <c r="D758" s="42">
        <v>34738</v>
      </c>
      <c r="E758" s="41">
        <v>10</v>
      </c>
      <c r="F758" s="41">
        <v>1</v>
      </c>
      <c r="G758" s="41" t="s">
        <v>5254</v>
      </c>
      <c r="H758" s="41">
        <v>10</v>
      </c>
    </row>
    <row r="759" spans="1:8" ht="16" x14ac:dyDescent="0.2">
      <c r="A759" s="41" t="s">
        <v>524</v>
      </c>
      <c r="B759" s="41" t="s">
        <v>5255</v>
      </c>
      <c r="C759" s="41" t="s">
        <v>3490</v>
      </c>
      <c r="D759" s="42">
        <v>44830</v>
      </c>
      <c r="E759" s="41">
        <v>10</v>
      </c>
      <c r="F759" s="41">
        <v>1</v>
      </c>
      <c r="G759" s="41" t="s">
        <v>5256</v>
      </c>
      <c r="H759" s="41">
        <v>10</v>
      </c>
    </row>
    <row r="760" spans="1:8" ht="16" x14ac:dyDescent="0.2">
      <c r="A760" s="41" t="s">
        <v>525</v>
      </c>
      <c r="B760" s="41" t="s">
        <v>5257</v>
      </c>
      <c r="C760" s="41" t="s">
        <v>3490</v>
      </c>
      <c r="D760" s="42">
        <v>40234</v>
      </c>
      <c r="E760" s="41">
        <v>2</v>
      </c>
      <c r="F760" s="41">
        <v>1</v>
      </c>
      <c r="G760" s="41" t="s">
        <v>5258</v>
      </c>
      <c r="H760" s="41">
        <v>2</v>
      </c>
    </row>
    <row r="761" spans="1:8" ht="16" x14ac:dyDescent="0.2">
      <c r="A761" s="41" t="s">
        <v>526</v>
      </c>
      <c r="B761" s="41" t="s">
        <v>5259</v>
      </c>
      <c r="C761" s="41" t="s">
        <v>3490</v>
      </c>
      <c r="D761" s="42">
        <v>41810</v>
      </c>
      <c r="E761" s="41">
        <v>1</v>
      </c>
      <c r="F761" s="41">
        <v>1</v>
      </c>
      <c r="G761" s="41" t="s">
        <v>5260</v>
      </c>
      <c r="H761" s="41">
        <v>1</v>
      </c>
    </row>
    <row r="762" spans="1:8" ht="16" x14ac:dyDescent="0.2">
      <c r="A762" s="41" t="s">
        <v>527</v>
      </c>
      <c r="B762" s="41" t="s">
        <v>5261</v>
      </c>
      <c r="C762" s="41" t="s">
        <v>3490</v>
      </c>
      <c r="D762" s="42">
        <v>36971</v>
      </c>
      <c r="E762" s="41">
        <v>1</v>
      </c>
      <c r="F762" s="41">
        <v>1</v>
      </c>
      <c r="G762" s="41" t="s">
        <v>5262</v>
      </c>
      <c r="H762" s="41">
        <v>1</v>
      </c>
    </row>
    <row r="763" spans="1:8" ht="16" x14ac:dyDescent="0.2">
      <c r="A763" s="41" t="s">
        <v>5263</v>
      </c>
      <c r="B763" s="41" t="s">
        <v>5264</v>
      </c>
      <c r="C763" s="41" t="s">
        <v>3510</v>
      </c>
      <c r="D763" s="42">
        <v>36572</v>
      </c>
      <c r="E763" s="41">
        <v>2</v>
      </c>
      <c r="F763" s="41">
        <v>1</v>
      </c>
      <c r="G763" s="41" t="s">
        <v>5265</v>
      </c>
      <c r="H763" s="41">
        <v>2</v>
      </c>
    </row>
    <row r="764" spans="1:8" ht="16" x14ac:dyDescent="0.2">
      <c r="A764" s="41" t="s">
        <v>5266</v>
      </c>
      <c r="B764" s="41" t="s">
        <v>5267</v>
      </c>
      <c r="C764" s="41" t="s">
        <v>3490</v>
      </c>
      <c r="D764" s="42">
        <v>39086</v>
      </c>
      <c r="E764" s="41">
        <v>1</v>
      </c>
      <c r="F764" s="41">
        <v>1</v>
      </c>
      <c r="G764" s="41" t="s">
        <v>5268</v>
      </c>
      <c r="H764" s="41">
        <v>1</v>
      </c>
    </row>
    <row r="765" spans="1:8" ht="16" x14ac:dyDescent="0.2">
      <c r="A765" s="41" t="s">
        <v>5269</v>
      </c>
      <c r="B765" s="41" t="s">
        <v>5270</v>
      </c>
      <c r="C765" s="41" t="s">
        <v>3510</v>
      </c>
      <c r="D765" s="42">
        <v>43304</v>
      </c>
      <c r="E765" s="41">
        <v>10</v>
      </c>
      <c r="F765" s="41">
        <v>1</v>
      </c>
      <c r="G765" s="41" t="s">
        <v>5271</v>
      </c>
      <c r="H765" s="41">
        <v>10</v>
      </c>
    </row>
    <row r="766" spans="1:8" ht="16" x14ac:dyDescent="0.2">
      <c r="A766" s="41" t="s">
        <v>528</v>
      </c>
      <c r="B766" s="41" t="s">
        <v>5272</v>
      </c>
      <c r="C766" s="41" t="s">
        <v>3510</v>
      </c>
      <c r="D766" s="42">
        <v>37712</v>
      </c>
      <c r="E766" s="41">
        <v>1</v>
      </c>
      <c r="F766" s="41">
        <v>1</v>
      </c>
      <c r="G766" s="41" t="s">
        <v>5273</v>
      </c>
      <c r="H766" s="41">
        <v>1</v>
      </c>
    </row>
    <row r="767" spans="1:8" ht="16" x14ac:dyDescent="0.2">
      <c r="A767" s="41" t="s">
        <v>529</v>
      </c>
      <c r="B767" s="41" t="s">
        <v>5274</v>
      </c>
      <c r="C767" s="41" t="s">
        <v>3490</v>
      </c>
      <c r="D767" s="42">
        <v>42459</v>
      </c>
      <c r="E767" s="41">
        <v>10</v>
      </c>
      <c r="F767" s="41">
        <v>1</v>
      </c>
      <c r="G767" s="41" t="s">
        <v>5275</v>
      </c>
      <c r="H767" s="41">
        <v>10</v>
      </c>
    </row>
    <row r="768" spans="1:8" ht="16" x14ac:dyDescent="0.2">
      <c r="A768" s="41" t="s">
        <v>530</v>
      </c>
      <c r="B768" s="41" t="s">
        <v>5276</v>
      </c>
      <c r="C768" s="41" t="s">
        <v>3510</v>
      </c>
      <c r="D768" s="42">
        <v>35431</v>
      </c>
      <c r="E768" s="41">
        <v>2</v>
      </c>
      <c r="F768" s="41">
        <v>1</v>
      </c>
      <c r="G768" s="41" t="s">
        <v>5277</v>
      </c>
      <c r="H768" s="41">
        <v>2</v>
      </c>
    </row>
    <row r="769" spans="1:8" ht="16" x14ac:dyDescent="0.2">
      <c r="A769" s="41" t="s">
        <v>531</v>
      </c>
      <c r="B769" s="41" t="s">
        <v>5278</v>
      </c>
      <c r="C769" s="41" t="s">
        <v>3490</v>
      </c>
      <c r="D769" s="42">
        <v>36531</v>
      </c>
      <c r="E769" s="41">
        <v>2</v>
      </c>
      <c r="F769" s="41">
        <v>1</v>
      </c>
      <c r="G769" s="41" t="s">
        <v>5279</v>
      </c>
      <c r="H769" s="41">
        <v>2</v>
      </c>
    </row>
    <row r="770" spans="1:8" ht="16" x14ac:dyDescent="0.2">
      <c r="A770" s="41" t="s">
        <v>5280</v>
      </c>
      <c r="B770" s="41" t="s">
        <v>5281</v>
      </c>
      <c r="C770" s="41" t="s">
        <v>3490</v>
      </c>
      <c r="D770" s="42">
        <v>45840</v>
      </c>
      <c r="E770" s="41">
        <v>10</v>
      </c>
      <c r="F770" s="41">
        <v>1</v>
      </c>
      <c r="G770" s="41" t="s">
        <v>5282</v>
      </c>
      <c r="H770" s="41">
        <v>10</v>
      </c>
    </row>
    <row r="771" spans="1:8" ht="16" x14ac:dyDescent="0.2">
      <c r="A771" s="41" t="s">
        <v>532</v>
      </c>
      <c r="B771" s="41" t="s">
        <v>5283</v>
      </c>
      <c r="C771" s="41" t="s">
        <v>3490</v>
      </c>
      <c r="D771" s="42">
        <v>43318</v>
      </c>
      <c r="E771" s="41">
        <v>5</v>
      </c>
      <c r="F771" s="41">
        <v>1</v>
      </c>
      <c r="G771" s="41" t="s">
        <v>5284</v>
      </c>
      <c r="H771" s="41">
        <v>5</v>
      </c>
    </row>
    <row r="772" spans="1:8" ht="16" x14ac:dyDescent="0.2">
      <c r="A772" s="41" t="s">
        <v>533</v>
      </c>
      <c r="B772" s="41" t="s">
        <v>5285</v>
      </c>
      <c r="C772" s="41" t="s">
        <v>3490</v>
      </c>
      <c r="D772" s="42">
        <v>35011</v>
      </c>
      <c r="E772" s="41">
        <v>1</v>
      </c>
      <c r="F772" s="41">
        <v>1</v>
      </c>
      <c r="G772" s="41" t="s">
        <v>5286</v>
      </c>
      <c r="H772" s="41">
        <v>1</v>
      </c>
    </row>
    <row r="773" spans="1:8" ht="16" x14ac:dyDescent="0.2">
      <c r="A773" s="41" t="s">
        <v>534</v>
      </c>
      <c r="B773" s="41" t="s">
        <v>5287</v>
      </c>
      <c r="C773" s="41" t="s">
        <v>3490</v>
      </c>
      <c r="D773" s="42">
        <v>43056</v>
      </c>
      <c r="E773" s="41">
        <v>10</v>
      </c>
      <c r="F773" s="41">
        <v>1</v>
      </c>
      <c r="G773" s="41" t="s">
        <v>5288</v>
      </c>
      <c r="H773" s="41">
        <v>10</v>
      </c>
    </row>
    <row r="774" spans="1:8" ht="16" x14ac:dyDescent="0.2">
      <c r="A774" s="41" t="s">
        <v>5289</v>
      </c>
      <c r="B774" s="41" t="s">
        <v>5290</v>
      </c>
      <c r="C774" s="41" t="s">
        <v>3797</v>
      </c>
      <c r="D774" s="42">
        <v>39287</v>
      </c>
      <c r="E774" s="41">
        <v>10</v>
      </c>
      <c r="F774" s="41">
        <v>1</v>
      </c>
      <c r="G774" s="41" t="s">
        <v>5291</v>
      </c>
      <c r="H774" s="41">
        <v>10</v>
      </c>
    </row>
    <row r="775" spans="1:8" ht="16" x14ac:dyDescent="0.2">
      <c r="A775" s="41" t="s">
        <v>5292</v>
      </c>
      <c r="B775" s="41" t="s">
        <v>5293</v>
      </c>
      <c r="C775" s="41" t="s">
        <v>3490</v>
      </c>
      <c r="D775" s="42">
        <v>42718</v>
      </c>
      <c r="E775" s="41">
        <v>10</v>
      </c>
      <c r="F775" s="41">
        <v>1</v>
      </c>
      <c r="G775" s="41" t="s">
        <v>5294</v>
      </c>
      <c r="H775" s="41">
        <v>10</v>
      </c>
    </row>
    <row r="776" spans="1:8" ht="16" x14ac:dyDescent="0.2">
      <c r="A776" s="41" t="s">
        <v>5295</v>
      </c>
      <c r="B776" s="41" t="s">
        <v>5296</v>
      </c>
      <c r="C776" s="41" t="s">
        <v>3510</v>
      </c>
      <c r="D776" s="42">
        <v>44560</v>
      </c>
      <c r="E776" s="41">
        <v>10</v>
      </c>
      <c r="F776" s="41">
        <v>1</v>
      </c>
      <c r="G776" s="41" t="s">
        <v>5297</v>
      </c>
      <c r="H776" s="41">
        <v>10</v>
      </c>
    </row>
    <row r="777" spans="1:8" ht="16" x14ac:dyDescent="0.2">
      <c r="A777" s="41" t="s">
        <v>535</v>
      </c>
      <c r="B777" s="41" t="s">
        <v>5298</v>
      </c>
      <c r="C777" s="41" t="s">
        <v>3490</v>
      </c>
      <c r="D777" s="42">
        <v>34829</v>
      </c>
      <c r="E777" s="41">
        <v>2</v>
      </c>
      <c r="F777" s="41">
        <v>1</v>
      </c>
      <c r="G777" s="41" t="s">
        <v>5299</v>
      </c>
      <c r="H777" s="41">
        <v>2</v>
      </c>
    </row>
    <row r="778" spans="1:8" ht="16" x14ac:dyDescent="0.2">
      <c r="A778" s="41" t="s">
        <v>536</v>
      </c>
      <c r="B778" s="41" t="s">
        <v>5300</v>
      </c>
      <c r="C778" s="41" t="s">
        <v>3490</v>
      </c>
      <c r="D778" s="42">
        <v>34773</v>
      </c>
      <c r="E778" s="41">
        <v>10</v>
      </c>
      <c r="F778" s="41">
        <v>1</v>
      </c>
      <c r="G778" s="41" t="s">
        <v>5301</v>
      </c>
      <c r="H778" s="41">
        <v>10</v>
      </c>
    </row>
    <row r="779" spans="1:8" ht="16" x14ac:dyDescent="0.2">
      <c r="A779" s="41" t="s">
        <v>537</v>
      </c>
      <c r="B779" s="41" t="s">
        <v>5302</v>
      </c>
      <c r="C779" s="41" t="s">
        <v>3490</v>
      </c>
      <c r="D779" s="42">
        <v>44126</v>
      </c>
      <c r="E779" s="41">
        <v>10</v>
      </c>
      <c r="F779" s="41">
        <v>1</v>
      </c>
      <c r="G779" s="41" t="s">
        <v>5303</v>
      </c>
      <c r="H779" s="41">
        <v>10</v>
      </c>
    </row>
    <row r="780" spans="1:8" ht="16" x14ac:dyDescent="0.2">
      <c r="A780" s="41" t="s">
        <v>538</v>
      </c>
      <c r="B780" s="41" t="s">
        <v>5304</v>
      </c>
      <c r="C780" s="41" t="s">
        <v>3490</v>
      </c>
      <c r="D780" s="42">
        <v>44260</v>
      </c>
      <c r="E780" s="41">
        <v>10</v>
      </c>
      <c r="F780" s="41">
        <v>1</v>
      </c>
      <c r="G780" s="41" t="s">
        <v>5305</v>
      </c>
      <c r="H780" s="41">
        <v>10</v>
      </c>
    </row>
    <row r="781" spans="1:8" ht="16" x14ac:dyDescent="0.2">
      <c r="A781" s="41" t="s">
        <v>539</v>
      </c>
      <c r="B781" s="41" t="s">
        <v>5306</v>
      </c>
      <c r="C781" s="41" t="s">
        <v>3510</v>
      </c>
      <c r="D781" s="42">
        <v>39497</v>
      </c>
      <c r="E781" s="41">
        <v>1</v>
      </c>
      <c r="F781" s="41">
        <v>1</v>
      </c>
      <c r="G781" s="41" t="s">
        <v>5307</v>
      </c>
      <c r="H781" s="41">
        <v>1</v>
      </c>
    </row>
    <row r="782" spans="1:8" ht="16" x14ac:dyDescent="0.2">
      <c r="A782" s="41" t="s">
        <v>540</v>
      </c>
      <c r="B782" s="41" t="s">
        <v>5308</v>
      </c>
      <c r="C782" s="41" t="s">
        <v>3490</v>
      </c>
      <c r="D782" s="42">
        <v>35396</v>
      </c>
      <c r="E782" s="41">
        <v>5</v>
      </c>
      <c r="F782" s="41">
        <v>1</v>
      </c>
      <c r="G782" s="41" t="s">
        <v>5309</v>
      </c>
      <c r="H782" s="41">
        <v>5</v>
      </c>
    </row>
    <row r="783" spans="1:8" ht="16" x14ac:dyDescent="0.2">
      <c r="A783" s="41" t="s">
        <v>541</v>
      </c>
      <c r="B783" s="41" t="s">
        <v>5310</v>
      </c>
      <c r="C783" s="41" t="s">
        <v>3490</v>
      </c>
      <c r="D783" s="42">
        <v>37722</v>
      </c>
      <c r="E783" s="41">
        <v>2</v>
      </c>
      <c r="F783" s="41">
        <v>1</v>
      </c>
      <c r="G783" s="41" t="s">
        <v>5311</v>
      </c>
      <c r="H783" s="41">
        <v>2</v>
      </c>
    </row>
    <row r="784" spans="1:8" ht="16" x14ac:dyDescent="0.2">
      <c r="A784" s="41" t="s">
        <v>542</v>
      </c>
      <c r="B784" s="41" t="s">
        <v>5312</v>
      </c>
      <c r="C784" s="41" t="s">
        <v>3490</v>
      </c>
      <c r="D784" s="42">
        <v>42076</v>
      </c>
      <c r="E784" s="41">
        <v>10</v>
      </c>
      <c r="F784" s="41">
        <v>1</v>
      </c>
      <c r="G784" s="41" t="s">
        <v>5313</v>
      </c>
      <c r="H784" s="41">
        <v>10</v>
      </c>
    </row>
    <row r="785" spans="1:8" ht="16" x14ac:dyDescent="0.2">
      <c r="A785" s="41" t="s">
        <v>543</v>
      </c>
      <c r="B785" s="41" t="s">
        <v>5314</v>
      </c>
      <c r="C785" s="41" t="s">
        <v>3490</v>
      </c>
      <c r="D785" s="42">
        <v>34864</v>
      </c>
      <c r="E785" s="41">
        <v>10</v>
      </c>
      <c r="F785" s="41">
        <v>1</v>
      </c>
      <c r="G785" s="41" t="s">
        <v>5315</v>
      </c>
      <c r="H785" s="41">
        <v>10</v>
      </c>
    </row>
    <row r="786" spans="1:8" ht="16" x14ac:dyDescent="0.2">
      <c r="A786" s="41" t="s">
        <v>544</v>
      </c>
      <c r="B786" s="41" t="s">
        <v>5316</v>
      </c>
      <c r="C786" s="41" t="s">
        <v>3490</v>
      </c>
      <c r="D786" s="42">
        <v>41019</v>
      </c>
      <c r="E786" s="41">
        <v>2</v>
      </c>
      <c r="F786" s="41">
        <v>1</v>
      </c>
      <c r="G786" s="41" t="s">
        <v>5317</v>
      </c>
      <c r="H786" s="41">
        <v>2</v>
      </c>
    </row>
    <row r="787" spans="1:8" ht="16" x14ac:dyDescent="0.2">
      <c r="A787" s="41" t="s">
        <v>5318</v>
      </c>
      <c r="B787" s="41" t="s">
        <v>5319</v>
      </c>
      <c r="C787" s="41" t="s">
        <v>3490</v>
      </c>
      <c r="D787" s="42">
        <v>45707</v>
      </c>
      <c r="E787" s="41">
        <v>1</v>
      </c>
      <c r="F787" s="41">
        <v>1</v>
      </c>
      <c r="G787" s="41" t="s">
        <v>5320</v>
      </c>
      <c r="H787" s="41">
        <v>1</v>
      </c>
    </row>
    <row r="788" spans="1:8" ht="16" x14ac:dyDescent="0.2">
      <c r="A788" s="41" t="s">
        <v>545</v>
      </c>
      <c r="B788" s="41" t="s">
        <v>5321</v>
      </c>
      <c r="C788" s="41" t="s">
        <v>3490</v>
      </c>
      <c r="D788" s="42">
        <v>40611</v>
      </c>
      <c r="E788" s="41">
        <v>1</v>
      </c>
      <c r="F788" s="41">
        <v>1</v>
      </c>
      <c r="G788" s="41" t="s">
        <v>5322</v>
      </c>
      <c r="H788" s="41">
        <v>1</v>
      </c>
    </row>
    <row r="789" spans="1:8" ht="16" x14ac:dyDescent="0.2">
      <c r="A789" s="41" t="s">
        <v>546</v>
      </c>
      <c r="B789" s="41" t="s">
        <v>5323</v>
      </c>
      <c r="C789" s="41" t="s">
        <v>3490</v>
      </c>
      <c r="D789" s="42">
        <v>43168</v>
      </c>
      <c r="E789" s="41">
        <v>10</v>
      </c>
      <c r="F789" s="41">
        <v>1</v>
      </c>
      <c r="G789" s="41" t="s">
        <v>5324</v>
      </c>
      <c r="H789" s="41">
        <v>10</v>
      </c>
    </row>
    <row r="790" spans="1:8" ht="16" x14ac:dyDescent="0.2">
      <c r="A790" s="41" t="s">
        <v>5325</v>
      </c>
      <c r="B790" s="41" t="s">
        <v>5326</v>
      </c>
      <c r="C790" s="41" t="s">
        <v>3510</v>
      </c>
      <c r="D790" s="42">
        <v>38987</v>
      </c>
      <c r="E790" s="41">
        <v>10</v>
      </c>
      <c r="F790" s="41">
        <v>1</v>
      </c>
      <c r="G790" s="41" t="s">
        <v>5327</v>
      </c>
      <c r="H790" s="41">
        <v>10</v>
      </c>
    </row>
    <row r="791" spans="1:8" ht="16" x14ac:dyDescent="0.2">
      <c r="A791" s="41" t="s">
        <v>547</v>
      </c>
      <c r="B791" s="41" t="s">
        <v>5328</v>
      </c>
      <c r="C791" s="41" t="s">
        <v>3490</v>
      </c>
      <c r="D791" s="42">
        <v>39252</v>
      </c>
      <c r="E791" s="41">
        <v>10</v>
      </c>
      <c r="F791" s="41">
        <v>1</v>
      </c>
      <c r="G791" s="41" t="s">
        <v>5329</v>
      </c>
      <c r="H791" s="41">
        <v>10</v>
      </c>
    </row>
    <row r="792" spans="1:8" ht="16" x14ac:dyDescent="0.2">
      <c r="A792" s="41" t="s">
        <v>548</v>
      </c>
      <c r="B792" s="41" t="s">
        <v>5330</v>
      </c>
      <c r="C792" s="41" t="s">
        <v>3490</v>
      </c>
      <c r="D792" s="42">
        <v>36936</v>
      </c>
      <c r="E792" s="41">
        <v>2</v>
      </c>
      <c r="F792" s="41">
        <v>1</v>
      </c>
      <c r="G792" s="41" t="s">
        <v>5331</v>
      </c>
      <c r="H792" s="41">
        <v>2</v>
      </c>
    </row>
    <row r="793" spans="1:8" ht="16" x14ac:dyDescent="0.2">
      <c r="A793" s="41" t="s">
        <v>5332</v>
      </c>
      <c r="B793" s="41" t="s">
        <v>5333</v>
      </c>
      <c r="C793" s="41" t="s">
        <v>3490</v>
      </c>
      <c r="D793" s="42">
        <v>45881</v>
      </c>
      <c r="E793" s="41">
        <v>5</v>
      </c>
      <c r="F793" s="41">
        <v>1</v>
      </c>
      <c r="G793" s="41" t="s">
        <v>5334</v>
      </c>
      <c r="H793" s="41">
        <v>5</v>
      </c>
    </row>
    <row r="794" spans="1:8" ht="16" x14ac:dyDescent="0.2">
      <c r="A794" s="41" t="s">
        <v>5335</v>
      </c>
      <c r="B794" s="41" t="s">
        <v>5336</v>
      </c>
      <c r="C794" s="41" t="s">
        <v>3510</v>
      </c>
      <c r="D794" s="42">
        <v>39226</v>
      </c>
      <c r="E794" s="41">
        <v>10</v>
      </c>
      <c r="F794" s="41">
        <v>1</v>
      </c>
      <c r="G794" s="41" t="s">
        <v>5337</v>
      </c>
      <c r="H794" s="41">
        <v>10</v>
      </c>
    </row>
    <row r="795" spans="1:8" ht="16" x14ac:dyDescent="0.2">
      <c r="A795" s="41" t="s">
        <v>549</v>
      </c>
      <c r="B795" s="41" t="s">
        <v>5338</v>
      </c>
      <c r="C795" s="41" t="s">
        <v>3490</v>
      </c>
      <c r="D795" s="42">
        <v>34738</v>
      </c>
      <c r="E795" s="41">
        <v>5</v>
      </c>
      <c r="F795" s="41">
        <v>1</v>
      </c>
      <c r="G795" s="41" t="s">
        <v>5339</v>
      </c>
      <c r="H795" s="41">
        <v>5</v>
      </c>
    </row>
    <row r="796" spans="1:8" ht="16" x14ac:dyDescent="0.2">
      <c r="A796" s="41" t="s">
        <v>550</v>
      </c>
      <c r="B796" s="41" t="s">
        <v>5340</v>
      </c>
      <c r="C796" s="41" t="s">
        <v>3490</v>
      </c>
      <c r="D796" s="42">
        <v>35438</v>
      </c>
      <c r="E796" s="41">
        <v>1</v>
      </c>
      <c r="F796" s="41">
        <v>1</v>
      </c>
      <c r="G796" s="41" t="s">
        <v>5341</v>
      </c>
      <c r="H796" s="41">
        <v>1</v>
      </c>
    </row>
    <row r="797" spans="1:8" ht="16" x14ac:dyDescent="0.2">
      <c r="A797" s="41" t="s">
        <v>551</v>
      </c>
      <c r="B797" s="41" t="s">
        <v>5342</v>
      </c>
      <c r="C797" s="41" t="s">
        <v>3490</v>
      </c>
      <c r="D797" s="42">
        <v>35193</v>
      </c>
      <c r="E797" s="41">
        <v>5</v>
      </c>
      <c r="F797" s="41">
        <v>1</v>
      </c>
      <c r="G797" s="41" t="s">
        <v>5343</v>
      </c>
      <c r="H797" s="41">
        <v>5</v>
      </c>
    </row>
    <row r="798" spans="1:8" ht="16" x14ac:dyDescent="0.2">
      <c r="A798" s="41" t="s">
        <v>5344</v>
      </c>
      <c r="B798" s="41" t="s">
        <v>5345</v>
      </c>
      <c r="C798" s="41" t="s">
        <v>3490</v>
      </c>
      <c r="D798" s="42">
        <v>44382</v>
      </c>
      <c r="E798" s="41">
        <v>2</v>
      </c>
      <c r="F798" s="41">
        <v>1</v>
      </c>
      <c r="G798" s="41" t="s">
        <v>5346</v>
      </c>
      <c r="H798" s="41">
        <v>2</v>
      </c>
    </row>
    <row r="799" spans="1:8" ht="16" x14ac:dyDescent="0.2">
      <c r="A799" s="41" t="s">
        <v>552</v>
      </c>
      <c r="B799" s="41" t="s">
        <v>5347</v>
      </c>
      <c r="C799" s="41" t="s">
        <v>3490</v>
      </c>
      <c r="D799" s="42">
        <v>40436</v>
      </c>
      <c r="E799" s="41">
        <v>5</v>
      </c>
      <c r="F799" s="41">
        <v>1</v>
      </c>
      <c r="G799" s="41" t="s">
        <v>5348</v>
      </c>
      <c r="H799" s="41">
        <v>5</v>
      </c>
    </row>
    <row r="800" spans="1:8" ht="16" x14ac:dyDescent="0.2">
      <c r="A800" s="41" t="s">
        <v>553</v>
      </c>
      <c r="B800" s="41" t="s">
        <v>5349</v>
      </c>
      <c r="C800" s="41" t="s">
        <v>3510</v>
      </c>
      <c r="D800" s="42">
        <v>40595</v>
      </c>
      <c r="E800" s="41">
        <v>5</v>
      </c>
      <c r="F800" s="41">
        <v>1</v>
      </c>
      <c r="G800" s="41" t="s">
        <v>5350</v>
      </c>
      <c r="H800" s="41">
        <v>5</v>
      </c>
    </row>
    <row r="801" spans="1:8" ht="16" x14ac:dyDescent="0.2">
      <c r="A801" s="41" t="s">
        <v>554</v>
      </c>
      <c r="B801" s="41" t="s">
        <v>5351</v>
      </c>
      <c r="C801" s="41" t="s">
        <v>3490</v>
      </c>
      <c r="D801" s="42">
        <v>37887</v>
      </c>
      <c r="E801" s="41">
        <v>10</v>
      </c>
      <c r="F801" s="41">
        <v>1</v>
      </c>
      <c r="G801" s="41" t="s">
        <v>5352</v>
      </c>
      <c r="H801" s="41">
        <v>10</v>
      </c>
    </row>
    <row r="802" spans="1:8" ht="16" x14ac:dyDescent="0.2">
      <c r="A802" s="41" t="s">
        <v>555</v>
      </c>
      <c r="B802" s="41" t="s">
        <v>5353</v>
      </c>
      <c r="C802" s="41" t="s">
        <v>3490</v>
      </c>
      <c r="D802" s="42">
        <v>35963</v>
      </c>
      <c r="E802" s="41">
        <v>10</v>
      </c>
      <c r="F802" s="41">
        <v>1</v>
      </c>
      <c r="G802" s="41" t="s">
        <v>5354</v>
      </c>
      <c r="H802" s="41">
        <v>10</v>
      </c>
    </row>
    <row r="803" spans="1:8" ht="16" x14ac:dyDescent="0.2">
      <c r="A803" s="41" t="s">
        <v>556</v>
      </c>
      <c r="B803" s="41" t="s">
        <v>5355</v>
      </c>
      <c r="C803" s="41" t="s">
        <v>3490</v>
      </c>
      <c r="D803" s="42">
        <v>34886</v>
      </c>
      <c r="E803" s="41">
        <v>1</v>
      </c>
      <c r="F803" s="41">
        <v>1</v>
      </c>
      <c r="G803" s="41" t="s">
        <v>5356</v>
      </c>
      <c r="H803" s="41">
        <v>1</v>
      </c>
    </row>
    <row r="804" spans="1:8" ht="16" x14ac:dyDescent="0.2">
      <c r="A804" s="41" t="s">
        <v>557</v>
      </c>
      <c r="B804" s="41" t="s">
        <v>5357</v>
      </c>
      <c r="C804" s="41" t="s">
        <v>3490</v>
      </c>
      <c r="D804" s="42">
        <v>43825</v>
      </c>
      <c r="E804" s="41">
        <v>2</v>
      </c>
      <c r="F804" s="41">
        <v>1</v>
      </c>
      <c r="G804" s="41" t="s">
        <v>5358</v>
      </c>
      <c r="H804" s="41">
        <v>2</v>
      </c>
    </row>
    <row r="805" spans="1:8" ht="16" x14ac:dyDescent="0.2">
      <c r="A805" s="41" t="s">
        <v>558</v>
      </c>
      <c r="B805" s="41" t="s">
        <v>5359</v>
      </c>
      <c r="C805" s="41" t="s">
        <v>3490</v>
      </c>
      <c r="D805" s="42">
        <v>39042</v>
      </c>
      <c r="E805" s="41">
        <v>2</v>
      </c>
      <c r="F805" s="41">
        <v>1</v>
      </c>
      <c r="G805" s="41" t="s">
        <v>5360</v>
      </c>
      <c r="H805" s="41">
        <v>2</v>
      </c>
    </row>
    <row r="806" spans="1:8" ht="16" x14ac:dyDescent="0.2">
      <c r="A806" s="41" t="s">
        <v>559</v>
      </c>
      <c r="B806" s="41" t="s">
        <v>5361</v>
      </c>
      <c r="C806" s="41" t="s">
        <v>3490</v>
      </c>
      <c r="D806" s="42">
        <v>39077</v>
      </c>
      <c r="E806" s="41">
        <v>2</v>
      </c>
      <c r="F806" s="41">
        <v>1</v>
      </c>
      <c r="G806" s="41" t="s">
        <v>5362</v>
      </c>
      <c r="H806" s="41">
        <v>2</v>
      </c>
    </row>
    <row r="807" spans="1:8" ht="16" x14ac:dyDescent="0.2">
      <c r="A807" s="41" t="s">
        <v>5363</v>
      </c>
      <c r="B807" s="41" t="s">
        <v>5364</v>
      </c>
      <c r="C807" s="41" t="s">
        <v>3490</v>
      </c>
      <c r="D807" s="42">
        <v>42740</v>
      </c>
      <c r="E807" s="41">
        <v>10</v>
      </c>
      <c r="F807" s="41">
        <v>1</v>
      </c>
      <c r="G807" s="41" t="s">
        <v>5365</v>
      </c>
      <c r="H807" s="41">
        <v>10</v>
      </c>
    </row>
    <row r="808" spans="1:8" ht="16" x14ac:dyDescent="0.2">
      <c r="A808" s="41" t="s">
        <v>560</v>
      </c>
      <c r="B808" s="41" t="s">
        <v>5366</v>
      </c>
      <c r="C808" s="41" t="s">
        <v>3490</v>
      </c>
      <c r="D808" s="42">
        <v>43227</v>
      </c>
      <c r="E808" s="41">
        <v>1</v>
      </c>
      <c r="F808" s="41">
        <v>1</v>
      </c>
      <c r="G808" s="41" t="s">
        <v>5367</v>
      </c>
      <c r="H808" s="41">
        <v>1</v>
      </c>
    </row>
    <row r="809" spans="1:8" ht="16" x14ac:dyDescent="0.2">
      <c r="A809" s="41" t="s">
        <v>5368</v>
      </c>
      <c r="B809" s="41" t="s">
        <v>5369</v>
      </c>
      <c r="C809" s="41" t="s">
        <v>3490</v>
      </c>
      <c r="D809" s="42">
        <v>39436</v>
      </c>
      <c r="E809" s="41">
        <v>10</v>
      </c>
      <c r="F809" s="41">
        <v>1</v>
      </c>
      <c r="G809" s="41" t="s">
        <v>5370</v>
      </c>
      <c r="H809" s="41">
        <v>10</v>
      </c>
    </row>
    <row r="810" spans="1:8" ht="16" x14ac:dyDescent="0.2">
      <c r="A810" s="41" t="s">
        <v>561</v>
      </c>
      <c r="B810" s="41" t="s">
        <v>5371</v>
      </c>
      <c r="C810" s="41" t="s">
        <v>3510</v>
      </c>
      <c r="D810" s="42">
        <v>37277</v>
      </c>
      <c r="E810" s="41">
        <v>10</v>
      </c>
      <c r="F810" s="41">
        <v>1</v>
      </c>
      <c r="G810" s="41" t="s">
        <v>5372</v>
      </c>
      <c r="H810" s="41">
        <v>10</v>
      </c>
    </row>
    <row r="811" spans="1:8" ht="16" x14ac:dyDescent="0.2">
      <c r="A811" s="41" t="s">
        <v>562</v>
      </c>
      <c r="B811" s="41" t="s">
        <v>5373</v>
      </c>
      <c r="C811" s="41" t="s">
        <v>3490</v>
      </c>
      <c r="D811" s="42">
        <v>44966</v>
      </c>
      <c r="E811" s="41">
        <v>2</v>
      </c>
      <c r="F811" s="41">
        <v>1</v>
      </c>
      <c r="G811" s="41" t="s">
        <v>5374</v>
      </c>
      <c r="H811" s="41">
        <v>2</v>
      </c>
    </row>
    <row r="812" spans="1:8" ht="16" x14ac:dyDescent="0.2">
      <c r="A812" s="41" t="s">
        <v>563</v>
      </c>
      <c r="B812" s="41" t="s">
        <v>5375</v>
      </c>
      <c r="C812" s="41" t="s">
        <v>3490</v>
      </c>
      <c r="D812" s="42">
        <v>34899</v>
      </c>
      <c r="E812" s="41">
        <v>2</v>
      </c>
      <c r="F812" s="41">
        <v>1</v>
      </c>
      <c r="G812" s="41" t="s">
        <v>5376</v>
      </c>
      <c r="H812" s="41">
        <v>2</v>
      </c>
    </row>
    <row r="813" spans="1:8" ht="16" x14ac:dyDescent="0.2">
      <c r="A813" s="41" t="s">
        <v>564</v>
      </c>
      <c r="B813" s="41" t="s">
        <v>5377</v>
      </c>
      <c r="C813" s="41" t="s">
        <v>3490</v>
      </c>
      <c r="D813" s="42">
        <v>45111</v>
      </c>
      <c r="E813" s="41">
        <v>1</v>
      </c>
      <c r="F813" s="41">
        <v>1</v>
      </c>
      <c r="G813" s="41" t="s">
        <v>5378</v>
      </c>
      <c r="H813" s="41">
        <v>1</v>
      </c>
    </row>
    <row r="814" spans="1:8" ht="16" x14ac:dyDescent="0.2">
      <c r="A814" s="41" t="s">
        <v>565</v>
      </c>
      <c r="B814" s="41" t="s">
        <v>5379</v>
      </c>
      <c r="C814" s="41" t="s">
        <v>3797</v>
      </c>
      <c r="D814" s="42">
        <v>37862</v>
      </c>
      <c r="E814" s="41">
        <v>10</v>
      </c>
      <c r="F814" s="41">
        <v>1</v>
      </c>
      <c r="G814" s="41" t="s">
        <v>5380</v>
      </c>
      <c r="H814" s="41">
        <v>10</v>
      </c>
    </row>
    <row r="815" spans="1:8" ht="16" x14ac:dyDescent="0.2">
      <c r="A815" s="41" t="s">
        <v>566</v>
      </c>
      <c r="B815" s="41" t="s">
        <v>5381</v>
      </c>
      <c r="C815" s="41" t="s">
        <v>3490</v>
      </c>
      <c r="D815" s="42">
        <v>40380</v>
      </c>
      <c r="E815" s="41">
        <v>10</v>
      </c>
      <c r="F815" s="41">
        <v>1</v>
      </c>
      <c r="G815" s="41" t="s">
        <v>5382</v>
      </c>
      <c r="H815" s="41">
        <v>10</v>
      </c>
    </row>
    <row r="816" spans="1:8" ht="16" x14ac:dyDescent="0.2">
      <c r="A816" s="41" t="s">
        <v>567</v>
      </c>
      <c r="B816" s="41" t="s">
        <v>5383</v>
      </c>
      <c r="C816" s="41" t="s">
        <v>3490</v>
      </c>
      <c r="D816" s="42">
        <v>45083</v>
      </c>
      <c r="E816" s="41">
        <v>2</v>
      </c>
      <c r="F816" s="41">
        <v>1</v>
      </c>
      <c r="G816" s="41" t="s">
        <v>5384</v>
      </c>
      <c r="H816" s="41">
        <v>2</v>
      </c>
    </row>
    <row r="817" spans="1:8" ht="16" x14ac:dyDescent="0.2">
      <c r="A817" s="41" t="s">
        <v>568</v>
      </c>
      <c r="B817" s="41" t="s">
        <v>5385</v>
      </c>
      <c r="C817" s="41" t="s">
        <v>3490</v>
      </c>
      <c r="D817" s="42">
        <v>44230</v>
      </c>
      <c r="E817" s="41">
        <v>2</v>
      </c>
      <c r="F817" s="41">
        <v>1</v>
      </c>
      <c r="G817" s="41" t="s">
        <v>5386</v>
      </c>
      <c r="H817" s="41">
        <v>2</v>
      </c>
    </row>
    <row r="818" spans="1:8" ht="16" x14ac:dyDescent="0.2">
      <c r="A818" s="41" t="s">
        <v>569</v>
      </c>
      <c r="B818" s="41" t="s">
        <v>5387</v>
      </c>
      <c r="C818" s="41" t="s">
        <v>3490</v>
      </c>
      <c r="D818" s="42">
        <v>45237</v>
      </c>
      <c r="E818" s="41">
        <v>10</v>
      </c>
      <c r="F818" s="41">
        <v>1</v>
      </c>
      <c r="G818" s="41" t="s">
        <v>5388</v>
      </c>
      <c r="H818" s="41">
        <v>10</v>
      </c>
    </row>
    <row r="819" spans="1:8" ht="16" x14ac:dyDescent="0.2">
      <c r="A819" s="41" t="s">
        <v>570</v>
      </c>
      <c r="B819" s="41" t="s">
        <v>5389</v>
      </c>
      <c r="C819" s="41" t="s">
        <v>3490</v>
      </c>
      <c r="D819" s="42">
        <v>37820</v>
      </c>
      <c r="E819" s="41">
        <v>10</v>
      </c>
      <c r="F819" s="41">
        <v>1</v>
      </c>
      <c r="G819" s="41" t="s">
        <v>5390</v>
      </c>
      <c r="H819" s="41">
        <v>10</v>
      </c>
    </row>
    <row r="820" spans="1:8" ht="16" x14ac:dyDescent="0.2">
      <c r="A820" s="41" t="s">
        <v>571</v>
      </c>
      <c r="B820" s="41" t="s">
        <v>5391</v>
      </c>
      <c r="C820" s="41" t="s">
        <v>3490</v>
      </c>
      <c r="D820" s="42">
        <v>37712</v>
      </c>
      <c r="E820" s="41">
        <v>10</v>
      </c>
      <c r="F820" s="41">
        <v>1</v>
      </c>
      <c r="G820" s="41" t="s">
        <v>5392</v>
      </c>
      <c r="H820" s="41">
        <v>10</v>
      </c>
    </row>
    <row r="821" spans="1:8" ht="16" x14ac:dyDescent="0.2">
      <c r="A821" s="41" t="s">
        <v>572</v>
      </c>
      <c r="B821" s="41" t="s">
        <v>5393</v>
      </c>
      <c r="C821" s="41" t="s">
        <v>3490</v>
      </c>
      <c r="D821" s="42">
        <v>44557</v>
      </c>
      <c r="E821" s="41">
        <v>2</v>
      </c>
      <c r="F821" s="41">
        <v>1</v>
      </c>
      <c r="G821" s="41" t="s">
        <v>5394</v>
      </c>
      <c r="H821" s="41">
        <v>2</v>
      </c>
    </row>
    <row r="822" spans="1:8" ht="16" x14ac:dyDescent="0.2">
      <c r="A822" s="41" t="s">
        <v>5395</v>
      </c>
      <c r="B822" s="41" t="s">
        <v>5396</v>
      </c>
      <c r="C822" s="41" t="s">
        <v>3490</v>
      </c>
      <c r="D822" s="42">
        <v>44872</v>
      </c>
      <c r="E822" s="41">
        <v>10</v>
      </c>
      <c r="F822" s="41">
        <v>1</v>
      </c>
      <c r="G822" s="41" t="s">
        <v>5397</v>
      </c>
      <c r="H822" s="41">
        <v>10</v>
      </c>
    </row>
    <row r="823" spans="1:8" ht="16" x14ac:dyDescent="0.2">
      <c r="A823" s="41" t="s">
        <v>573</v>
      </c>
      <c r="B823" s="41" t="s">
        <v>5398</v>
      </c>
      <c r="C823" s="41" t="s">
        <v>3490</v>
      </c>
      <c r="D823" s="42">
        <v>42647</v>
      </c>
      <c r="E823" s="41">
        <v>10</v>
      </c>
      <c r="F823" s="41">
        <v>1</v>
      </c>
      <c r="G823" s="41" t="s">
        <v>5399</v>
      </c>
      <c r="H823" s="41">
        <v>10</v>
      </c>
    </row>
    <row r="824" spans="1:8" ht="16" x14ac:dyDescent="0.2">
      <c r="A824" s="41" t="s">
        <v>574</v>
      </c>
      <c r="B824" s="41" t="s">
        <v>5400</v>
      </c>
      <c r="C824" s="41" t="s">
        <v>3490</v>
      </c>
      <c r="D824" s="42">
        <v>39143</v>
      </c>
      <c r="E824" s="41">
        <v>1</v>
      </c>
      <c r="F824" s="41">
        <v>1</v>
      </c>
      <c r="G824" s="41" t="s">
        <v>5401</v>
      </c>
      <c r="H824" s="41">
        <v>1</v>
      </c>
    </row>
    <row r="825" spans="1:8" ht="16" x14ac:dyDescent="0.2">
      <c r="A825" s="41" t="s">
        <v>575</v>
      </c>
      <c r="B825" s="41" t="s">
        <v>5402</v>
      </c>
      <c r="C825" s="41" t="s">
        <v>3510</v>
      </c>
      <c r="D825" s="42">
        <v>38596</v>
      </c>
      <c r="E825" s="41">
        <v>2</v>
      </c>
      <c r="F825" s="41">
        <v>1</v>
      </c>
      <c r="G825" s="41" t="s">
        <v>5403</v>
      </c>
      <c r="H825" s="41">
        <v>2</v>
      </c>
    </row>
    <row r="826" spans="1:8" ht="16" x14ac:dyDescent="0.2">
      <c r="A826" s="41" t="s">
        <v>576</v>
      </c>
      <c r="B826" s="41" t="s">
        <v>5404</v>
      </c>
      <c r="C826" s="41" t="s">
        <v>3490</v>
      </c>
      <c r="D826" s="42">
        <v>39120</v>
      </c>
      <c r="E826" s="41">
        <v>10</v>
      </c>
      <c r="F826" s="41">
        <v>1</v>
      </c>
      <c r="G826" s="41" t="s">
        <v>5405</v>
      </c>
      <c r="H826" s="41">
        <v>10</v>
      </c>
    </row>
    <row r="827" spans="1:8" ht="16" x14ac:dyDescent="0.2">
      <c r="A827" s="41" t="s">
        <v>577</v>
      </c>
      <c r="B827" s="41" t="s">
        <v>5406</v>
      </c>
      <c r="C827" s="41" t="s">
        <v>3490</v>
      </c>
      <c r="D827" s="42">
        <v>42874</v>
      </c>
      <c r="E827" s="41">
        <v>10</v>
      </c>
      <c r="F827" s="41">
        <v>1</v>
      </c>
      <c r="G827" s="41" t="s">
        <v>5407</v>
      </c>
      <c r="H827" s="41">
        <v>10</v>
      </c>
    </row>
    <row r="828" spans="1:8" ht="16" x14ac:dyDescent="0.2">
      <c r="A828" s="41" t="s">
        <v>578</v>
      </c>
      <c r="B828" s="41" t="s">
        <v>5408</v>
      </c>
      <c r="C828" s="41" t="s">
        <v>3490</v>
      </c>
      <c r="D828" s="42">
        <v>38261</v>
      </c>
      <c r="E828" s="41">
        <v>2</v>
      </c>
      <c r="F828" s="41">
        <v>1</v>
      </c>
      <c r="G828" s="41" t="s">
        <v>5409</v>
      </c>
      <c r="H828" s="41">
        <v>2</v>
      </c>
    </row>
    <row r="829" spans="1:8" ht="16" x14ac:dyDescent="0.2">
      <c r="A829" s="41" t="s">
        <v>5410</v>
      </c>
      <c r="B829" s="41" t="s">
        <v>5411</v>
      </c>
      <c r="C829" s="41" t="s">
        <v>3510</v>
      </c>
      <c r="D829" s="42">
        <v>44900</v>
      </c>
      <c r="E829" s="41">
        <v>5</v>
      </c>
      <c r="F829" s="41">
        <v>1</v>
      </c>
      <c r="G829" s="41" t="s">
        <v>5412</v>
      </c>
      <c r="H829" s="41">
        <v>5</v>
      </c>
    </row>
    <row r="830" spans="1:8" ht="16" x14ac:dyDescent="0.2">
      <c r="A830" s="41" t="s">
        <v>3478</v>
      </c>
      <c r="B830" s="41" t="s">
        <v>5413</v>
      </c>
      <c r="C830" s="41" t="s">
        <v>3490</v>
      </c>
      <c r="D830" s="42">
        <v>45587</v>
      </c>
      <c r="E830" s="41">
        <v>10</v>
      </c>
      <c r="F830" s="41">
        <v>1</v>
      </c>
      <c r="G830" s="41" t="s">
        <v>5414</v>
      </c>
      <c r="H830" s="41">
        <v>10</v>
      </c>
    </row>
    <row r="831" spans="1:8" ht="16" x14ac:dyDescent="0.2">
      <c r="A831" s="41" t="s">
        <v>5415</v>
      </c>
      <c r="B831" s="41" t="s">
        <v>5416</v>
      </c>
      <c r="C831" s="41" t="s">
        <v>3510</v>
      </c>
      <c r="D831" s="42">
        <v>36481</v>
      </c>
      <c r="E831" s="41">
        <v>10</v>
      </c>
      <c r="F831" s="41">
        <v>1</v>
      </c>
      <c r="G831" s="41" t="s">
        <v>5417</v>
      </c>
      <c r="H831" s="41">
        <v>10</v>
      </c>
    </row>
    <row r="832" spans="1:8" ht="16" x14ac:dyDescent="0.2">
      <c r="A832" s="41" t="s">
        <v>579</v>
      </c>
      <c r="B832" s="41" t="s">
        <v>5418</v>
      </c>
      <c r="C832" s="41" t="s">
        <v>3490</v>
      </c>
      <c r="D832" s="42">
        <v>44116</v>
      </c>
      <c r="E832" s="41">
        <v>10</v>
      </c>
      <c r="F832" s="41">
        <v>1</v>
      </c>
      <c r="G832" s="41" t="s">
        <v>5419</v>
      </c>
      <c r="H832" s="41">
        <v>10</v>
      </c>
    </row>
    <row r="833" spans="1:8" ht="16" x14ac:dyDescent="0.2">
      <c r="A833" s="41" t="s">
        <v>580</v>
      </c>
      <c r="B833" s="41" t="s">
        <v>5420</v>
      </c>
      <c r="C833" s="41" t="s">
        <v>3490</v>
      </c>
      <c r="D833" s="42">
        <v>35690</v>
      </c>
      <c r="E833" s="41">
        <v>2</v>
      </c>
      <c r="F833" s="41">
        <v>1</v>
      </c>
      <c r="G833" s="41" t="s">
        <v>5421</v>
      </c>
      <c r="H833" s="41">
        <v>2</v>
      </c>
    </row>
    <row r="834" spans="1:8" ht="16" x14ac:dyDescent="0.2">
      <c r="A834" s="41" t="s">
        <v>581</v>
      </c>
      <c r="B834" s="41" t="s">
        <v>5422</v>
      </c>
      <c r="C834" s="41" t="s">
        <v>3490</v>
      </c>
      <c r="D834" s="42">
        <v>43005</v>
      </c>
      <c r="E834" s="41">
        <v>10</v>
      </c>
      <c r="F834" s="41">
        <v>1</v>
      </c>
      <c r="G834" s="41" t="s">
        <v>5423</v>
      </c>
      <c r="H834" s="41">
        <v>10</v>
      </c>
    </row>
    <row r="835" spans="1:8" ht="16" x14ac:dyDescent="0.2">
      <c r="A835" s="41" t="s">
        <v>582</v>
      </c>
      <c r="B835" s="41" t="s">
        <v>5424</v>
      </c>
      <c r="C835" s="41" t="s">
        <v>3490</v>
      </c>
      <c r="D835" s="42">
        <v>42642</v>
      </c>
      <c r="E835" s="41">
        <v>10</v>
      </c>
      <c r="F835" s="41">
        <v>1</v>
      </c>
      <c r="G835" s="41" t="s">
        <v>5425</v>
      </c>
      <c r="H835" s="41">
        <v>10</v>
      </c>
    </row>
    <row r="836" spans="1:8" ht="16" x14ac:dyDescent="0.2">
      <c r="A836" s="41" t="s">
        <v>583</v>
      </c>
      <c r="B836" s="41" t="s">
        <v>5426</v>
      </c>
      <c r="C836" s="41" t="s">
        <v>3490</v>
      </c>
      <c r="D836" s="42">
        <v>38607</v>
      </c>
      <c r="E836" s="41">
        <v>2</v>
      </c>
      <c r="F836" s="41">
        <v>1</v>
      </c>
      <c r="G836" s="41" t="s">
        <v>5427</v>
      </c>
      <c r="H836" s="41">
        <v>2</v>
      </c>
    </row>
    <row r="837" spans="1:8" ht="16" x14ac:dyDescent="0.2">
      <c r="A837" s="41" t="s">
        <v>584</v>
      </c>
      <c r="B837" s="41" t="s">
        <v>5428</v>
      </c>
      <c r="C837" s="41" t="s">
        <v>3490</v>
      </c>
      <c r="D837" s="42">
        <v>39185</v>
      </c>
      <c r="E837" s="41">
        <v>10</v>
      </c>
      <c r="F837" s="41">
        <v>1</v>
      </c>
      <c r="G837" s="41" t="s">
        <v>5429</v>
      </c>
      <c r="H837" s="41">
        <v>10</v>
      </c>
    </row>
    <row r="838" spans="1:8" ht="16" x14ac:dyDescent="0.2">
      <c r="A838" s="41" t="s">
        <v>585</v>
      </c>
      <c r="B838" s="41" t="s">
        <v>5430</v>
      </c>
      <c r="C838" s="41" t="s">
        <v>3490</v>
      </c>
      <c r="D838" s="42">
        <v>34962</v>
      </c>
      <c r="E838" s="41">
        <v>10</v>
      </c>
      <c r="F838" s="41">
        <v>1</v>
      </c>
      <c r="G838" s="41" t="s">
        <v>5431</v>
      </c>
      <c r="H838" s="41">
        <v>10</v>
      </c>
    </row>
    <row r="839" spans="1:8" ht="16" x14ac:dyDescent="0.2">
      <c r="A839" s="41" t="s">
        <v>586</v>
      </c>
      <c r="B839" s="41" t="s">
        <v>5432</v>
      </c>
      <c r="C839" s="41" t="s">
        <v>3490</v>
      </c>
      <c r="D839" s="42">
        <v>39150</v>
      </c>
      <c r="E839" s="41">
        <v>10</v>
      </c>
      <c r="F839" s="41">
        <v>1</v>
      </c>
      <c r="G839" s="41" t="s">
        <v>5433</v>
      </c>
      <c r="H839" s="41">
        <v>10</v>
      </c>
    </row>
    <row r="840" spans="1:8" ht="16" x14ac:dyDescent="0.2">
      <c r="A840" s="41" t="s">
        <v>587</v>
      </c>
      <c r="B840" s="41" t="s">
        <v>5434</v>
      </c>
      <c r="C840" s="41" t="s">
        <v>3490</v>
      </c>
      <c r="D840" s="42">
        <v>45114</v>
      </c>
      <c r="E840" s="41">
        <v>10</v>
      </c>
      <c r="F840" s="41">
        <v>1</v>
      </c>
      <c r="G840" s="41" t="s">
        <v>5435</v>
      </c>
      <c r="H840" s="41">
        <v>10</v>
      </c>
    </row>
    <row r="841" spans="1:8" ht="16" x14ac:dyDescent="0.2">
      <c r="A841" s="41" t="s">
        <v>588</v>
      </c>
      <c r="B841" s="41" t="s">
        <v>5436</v>
      </c>
      <c r="C841" s="41" t="s">
        <v>3490</v>
      </c>
      <c r="D841" s="42">
        <v>42314</v>
      </c>
      <c r="E841" s="41">
        <v>10</v>
      </c>
      <c r="F841" s="41">
        <v>1</v>
      </c>
      <c r="G841" s="41" t="s">
        <v>5437</v>
      </c>
      <c r="H841" s="41">
        <v>10</v>
      </c>
    </row>
    <row r="842" spans="1:8" ht="16" x14ac:dyDescent="0.2">
      <c r="A842" s="41" t="s">
        <v>5438</v>
      </c>
      <c r="B842" s="41" t="s">
        <v>5439</v>
      </c>
      <c r="C842" s="41" t="s">
        <v>3510</v>
      </c>
      <c r="D842" s="42">
        <v>44922</v>
      </c>
      <c r="E842" s="41">
        <v>2</v>
      </c>
      <c r="F842" s="41">
        <v>1</v>
      </c>
      <c r="G842" s="41" t="s">
        <v>5440</v>
      </c>
      <c r="H842" s="41">
        <v>2</v>
      </c>
    </row>
    <row r="843" spans="1:8" ht="16" x14ac:dyDescent="0.2">
      <c r="A843" s="41" t="s">
        <v>590</v>
      </c>
      <c r="B843" s="41" t="s">
        <v>5441</v>
      </c>
      <c r="C843" s="41" t="s">
        <v>3490</v>
      </c>
      <c r="D843" s="42">
        <v>43031</v>
      </c>
      <c r="E843" s="41">
        <v>1</v>
      </c>
      <c r="F843" s="41">
        <v>1</v>
      </c>
      <c r="G843" s="41" t="s">
        <v>5442</v>
      </c>
      <c r="H843" s="41">
        <v>1</v>
      </c>
    </row>
    <row r="844" spans="1:8" ht="16" x14ac:dyDescent="0.2">
      <c r="A844" s="41" t="s">
        <v>591</v>
      </c>
      <c r="B844" s="41" t="s">
        <v>5443</v>
      </c>
      <c r="C844" s="41" t="s">
        <v>3510</v>
      </c>
      <c r="D844" s="42">
        <v>35158</v>
      </c>
      <c r="E844" s="41">
        <v>10</v>
      </c>
      <c r="F844" s="41">
        <v>1</v>
      </c>
      <c r="G844" s="41" t="s">
        <v>5444</v>
      </c>
      <c r="H844" s="41">
        <v>10</v>
      </c>
    </row>
    <row r="845" spans="1:8" ht="16" x14ac:dyDescent="0.2">
      <c r="A845" s="41" t="s">
        <v>592</v>
      </c>
      <c r="B845" s="41" t="s">
        <v>5445</v>
      </c>
      <c r="C845" s="41" t="s">
        <v>3490</v>
      </c>
      <c r="D845" s="42">
        <v>34787</v>
      </c>
      <c r="E845" s="41">
        <v>10</v>
      </c>
      <c r="F845" s="41">
        <v>1</v>
      </c>
      <c r="G845" s="41" t="s">
        <v>5446</v>
      </c>
      <c r="H845" s="41">
        <v>10</v>
      </c>
    </row>
    <row r="846" spans="1:8" ht="16" x14ac:dyDescent="0.2">
      <c r="A846" s="41" t="s">
        <v>593</v>
      </c>
      <c r="B846" s="41" t="s">
        <v>5447</v>
      </c>
      <c r="C846" s="41" t="s">
        <v>3490</v>
      </c>
      <c r="D846" s="42">
        <v>34815</v>
      </c>
      <c r="E846" s="41">
        <v>10</v>
      </c>
      <c r="F846" s="41">
        <v>1</v>
      </c>
      <c r="G846" s="41" t="s">
        <v>5448</v>
      </c>
      <c r="H846" s="41">
        <v>10</v>
      </c>
    </row>
    <row r="847" spans="1:8" ht="16" x14ac:dyDescent="0.2">
      <c r="A847" s="41" t="s">
        <v>594</v>
      </c>
      <c r="B847" s="41" t="s">
        <v>5449</v>
      </c>
      <c r="C847" s="41" t="s">
        <v>3490</v>
      </c>
      <c r="D847" s="42">
        <v>43053</v>
      </c>
      <c r="E847" s="41">
        <v>10</v>
      </c>
      <c r="F847" s="41">
        <v>1</v>
      </c>
      <c r="G847" s="41" t="s">
        <v>5450</v>
      </c>
      <c r="H847" s="41">
        <v>10</v>
      </c>
    </row>
    <row r="848" spans="1:8" ht="16" x14ac:dyDescent="0.2">
      <c r="A848" s="41" t="s">
        <v>595</v>
      </c>
      <c r="B848" s="41" t="s">
        <v>5451</v>
      </c>
      <c r="C848" s="41" t="s">
        <v>3490</v>
      </c>
      <c r="D848" s="42">
        <v>37903</v>
      </c>
      <c r="E848" s="41">
        <v>10</v>
      </c>
      <c r="F848" s="41">
        <v>1</v>
      </c>
      <c r="G848" s="41" t="s">
        <v>5452</v>
      </c>
      <c r="H848" s="41">
        <v>10</v>
      </c>
    </row>
    <row r="849" spans="1:8" ht="16" x14ac:dyDescent="0.2">
      <c r="A849" s="41" t="s">
        <v>5453</v>
      </c>
      <c r="B849" s="41" t="s">
        <v>5454</v>
      </c>
      <c r="C849" s="41" t="s">
        <v>3490</v>
      </c>
      <c r="D849" s="42">
        <v>45841</v>
      </c>
      <c r="E849" s="41">
        <v>10</v>
      </c>
      <c r="F849" s="41">
        <v>1</v>
      </c>
      <c r="G849" s="41" t="s">
        <v>5455</v>
      </c>
      <c r="H849" s="41">
        <v>10</v>
      </c>
    </row>
    <row r="850" spans="1:8" ht="16" x14ac:dyDescent="0.2">
      <c r="A850" s="41" t="s">
        <v>5456</v>
      </c>
      <c r="B850" s="41" t="s">
        <v>5457</v>
      </c>
      <c r="C850" s="41" t="s">
        <v>3490</v>
      </c>
      <c r="D850" s="42">
        <v>45646</v>
      </c>
      <c r="E850" s="41">
        <v>2</v>
      </c>
      <c r="F850" s="41">
        <v>1</v>
      </c>
      <c r="G850" s="41" t="s">
        <v>5458</v>
      </c>
      <c r="H850" s="41">
        <v>2</v>
      </c>
    </row>
    <row r="851" spans="1:8" ht="16" x14ac:dyDescent="0.2">
      <c r="A851" s="41" t="s">
        <v>596</v>
      </c>
      <c r="B851" s="41" t="s">
        <v>5459</v>
      </c>
      <c r="C851" s="41" t="s">
        <v>3490</v>
      </c>
      <c r="D851" s="42">
        <v>37981</v>
      </c>
      <c r="E851" s="41">
        <v>2</v>
      </c>
      <c r="F851" s="41">
        <v>1</v>
      </c>
      <c r="G851" s="41" t="s">
        <v>5460</v>
      </c>
      <c r="H851" s="41">
        <v>2</v>
      </c>
    </row>
    <row r="852" spans="1:8" ht="16" x14ac:dyDescent="0.2">
      <c r="A852" s="41" t="s">
        <v>597</v>
      </c>
      <c r="B852" s="41" t="s">
        <v>5461</v>
      </c>
      <c r="C852" s="41" t="s">
        <v>3490</v>
      </c>
      <c r="D852" s="42">
        <v>39111</v>
      </c>
      <c r="E852" s="41">
        <v>10</v>
      </c>
      <c r="F852" s="41">
        <v>1</v>
      </c>
      <c r="G852" s="41" t="s">
        <v>5462</v>
      </c>
      <c r="H852" s="41">
        <v>10</v>
      </c>
    </row>
    <row r="853" spans="1:8" ht="16" x14ac:dyDescent="0.2">
      <c r="A853" s="41" t="s">
        <v>598</v>
      </c>
      <c r="B853" s="41" t="s">
        <v>5463</v>
      </c>
      <c r="C853" s="41" t="s">
        <v>3490</v>
      </c>
      <c r="D853" s="42">
        <v>38489</v>
      </c>
      <c r="E853" s="41">
        <v>2</v>
      </c>
      <c r="F853" s="41">
        <v>1</v>
      </c>
      <c r="G853" s="41" t="s">
        <v>5464</v>
      </c>
      <c r="H853" s="41">
        <v>2</v>
      </c>
    </row>
    <row r="854" spans="1:8" ht="16" x14ac:dyDescent="0.2">
      <c r="A854" s="41" t="s">
        <v>5465</v>
      </c>
      <c r="B854" s="41" t="s">
        <v>5466</v>
      </c>
      <c r="C854" s="41" t="s">
        <v>3490</v>
      </c>
      <c r="D854" s="42">
        <v>43728</v>
      </c>
      <c r="E854" s="41">
        <v>2</v>
      </c>
      <c r="F854" s="41">
        <v>1</v>
      </c>
      <c r="G854" s="41" t="s">
        <v>5467</v>
      </c>
      <c r="H854" s="41">
        <v>2</v>
      </c>
    </row>
    <row r="855" spans="1:8" ht="16" x14ac:dyDescent="0.2">
      <c r="A855" s="41" t="s">
        <v>5468</v>
      </c>
      <c r="B855" s="41" t="s">
        <v>5469</v>
      </c>
      <c r="C855" s="41" t="s">
        <v>3510</v>
      </c>
      <c r="D855" s="42">
        <v>40407</v>
      </c>
      <c r="E855" s="41">
        <v>10</v>
      </c>
      <c r="F855" s="41">
        <v>1</v>
      </c>
      <c r="G855" s="41" t="s">
        <v>5470</v>
      </c>
      <c r="H855" s="41">
        <v>10</v>
      </c>
    </row>
    <row r="856" spans="1:8" ht="16" x14ac:dyDescent="0.2">
      <c r="A856" s="41" t="s">
        <v>599</v>
      </c>
      <c r="B856" s="41" t="s">
        <v>5471</v>
      </c>
      <c r="C856" s="41" t="s">
        <v>3490</v>
      </c>
      <c r="D856" s="42">
        <v>45093</v>
      </c>
      <c r="E856" s="41">
        <v>10</v>
      </c>
      <c r="F856" s="41">
        <v>1</v>
      </c>
      <c r="G856" s="41" t="s">
        <v>5472</v>
      </c>
      <c r="H856" s="41">
        <v>10</v>
      </c>
    </row>
    <row r="857" spans="1:8" ht="16" x14ac:dyDescent="0.2">
      <c r="A857" s="41" t="s">
        <v>5473</v>
      </c>
      <c r="B857" s="41" t="s">
        <v>5474</v>
      </c>
      <c r="C857" s="41" t="s">
        <v>3490</v>
      </c>
      <c r="D857" s="42">
        <v>45645</v>
      </c>
      <c r="E857" s="41">
        <v>1</v>
      </c>
      <c r="F857" s="41">
        <v>1</v>
      </c>
      <c r="G857" s="41" t="s">
        <v>5475</v>
      </c>
      <c r="H857" s="41">
        <v>1</v>
      </c>
    </row>
    <row r="858" spans="1:8" ht="16" x14ac:dyDescent="0.2">
      <c r="A858" s="41" t="s">
        <v>5476</v>
      </c>
      <c r="B858" s="41" t="s">
        <v>5477</v>
      </c>
      <c r="C858" s="41" t="s">
        <v>3797</v>
      </c>
      <c r="D858" s="42">
        <v>39380</v>
      </c>
      <c r="E858" s="41">
        <v>10</v>
      </c>
      <c r="F858" s="41">
        <v>1</v>
      </c>
      <c r="G858" s="41" t="s">
        <v>5478</v>
      </c>
      <c r="H858" s="41">
        <v>10</v>
      </c>
    </row>
    <row r="859" spans="1:8" ht="16" x14ac:dyDescent="0.2">
      <c r="A859" s="41" t="s">
        <v>5479</v>
      </c>
      <c r="B859" s="41" t="s">
        <v>5480</v>
      </c>
      <c r="C859" s="41" t="s">
        <v>3797</v>
      </c>
      <c r="D859" s="42">
        <v>40267</v>
      </c>
      <c r="E859" s="41">
        <v>10</v>
      </c>
      <c r="F859" s="41">
        <v>1</v>
      </c>
      <c r="G859" s="41" t="s">
        <v>5481</v>
      </c>
      <c r="H859" s="41">
        <v>10</v>
      </c>
    </row>
    <row r="860" spans="1:8" ht="16" x14ac:dyDescent="0.2">
      <c r="A860" s="41" t="s">
        <v>600</v>
      </c>
      <c r="B860" s="41" t="s">
        <v>5482</v>
      </c>
      <c r="C860" s="41" t="s">
        <v>3490</v>
      </c>
      <c r="D860" s="42">
        <v>42100</v>
      </c>
      <c r="E860" s="41">
        <v>10</v>
      </c>
      <c r="F860" s="41">
        <v>1</v>
      </c>
      <c r="G860" s="41" t="s">
        <v>5483</v>
      </c>
      <c r="H860" s="41">
        <v>10</v>
      </c>
    </row>
    <row r="861" spans="1:8" ht="16" x14ac:dyDescent="0.2">
      <c r="A861" s="41" t="s">
        <v>601</v>
      </c>
      <c r="B861" s="41" t="s">
        <v>5484</v>
      </c>
      <c r="C861" s="41" t="s">
        <v>3490</v>
      </c>
      <c r="D861" s="42">
        <v>40382</v>
      </c>
      <c r="E861" s="41">
        <v>10</v>
      </c>
      <c r="F861" s="41">
        <v>1</v>
      </c>
      <c r="G861" s="41" t="s">
        <v>5485</v>
      </c>
      <c r="H861" s="41">
        <v>10</v>
      </c>
    </row>
    <row r="862" spans="1:8" ht="16" x14ac:dyDescent="0.2">
      <c r="A862" s="41" t="s">
        <v>602</v>
      </c>
      <c r="B862" s="41" t="s">
        <v>5486</v>
      </c>
      <c r="C862" s="41" t="s">
        <v>3490</v>
      </c>
      <c r="D862" s="42">
        <v>38632</v>
      </c>
      <c r="E862" s="41">
        <v>10</v>
      </c>
      <c r="F862" s="41">
        <v>1</v>
      </c>
      <c r="G862" s="41" t="s">
        <v>5487</v>
      </c>
      <c r="H862" s="41">
        <v>10</v>
      </c>
    </row>
    <row r="863" spans="1:8" ht="16" x14ac:dyDescent="0.2">
      <c r="A863" s="41" t="s">
        <v>5488</v>
      </c>
      <c r="B863" s="41" t="s">
        <v>5489</v>
      </c>
      <c r="C863" s="41" t="s">
        <v>3797</v>
      </c>
      <c r="D863" s="42">
        <v>38386</v>
      </c>
      <c r="E863" s="41">
        <v>10</v>
      </c>
      <c r="F863" s="41">
        <v>1</v>
      </c>
      <c r="G863" s="41" t="s">
        <v>5490</v>
      </c>
      <c r="H863" s="41">
        <v>10</v>
      </c>
    </row>
    <row r="864" spans="1:8" ht="16" x14ac:dyDescent="0.2">
      <c r="A864" s="41" t="s">
        <v>5491</v>
      </c>
      <c r="B864" s="41" t="s">
        <v>5492</v>
      </c>
      <c r="C864" s="41" t="s">
        <v>3510</v>
      </c>
      <c r="D864" s="42">
        <v>42552</v>
      </c>
      <c r="E864" s="41">
        <v>10</v>
      </c>
      <c r="F864" s="41">
        <v>1</v>
      </c>
      <c r="G864" s="41" t="s">
        <v>5493</v>
      </c>
      <c r="H864" s="41">
        <v>10</v>
      </c>
    </row>
    <row r="865" spans="1:8" ht="16" x14ac:dyDescent="0.2">
      <c r="A865" s="41" t="s">
        <v>5494</v>
      </c>
      <c r="B865" s="41" t="s">
        <v>5495</v>
      </c>
      <c r="C865" s="41" t="s">
        <v>3490</v>
      </c>
      <c r="D865" s="42">
        <v>39729</v>
      </c>
      <c r="E865" s="41">
        <v>10</v>
      </c>
      <c r="F865" s="41">
        <v>1</v>
      </c>
      <c r="G865" s="41" t="s">
        <v>5496</v>
      </c>
      <c r="H865" s="41">
        <v>10</v>
      </c>
    </row>
    <row r="866" spans="1:8" ht="16" x14ac:dyDescent="0.2">
      <c r="A866" s="41" t="s">
        <v>603</v>
      </c>
      <c r="B866" s="41" t="s">
        <v>5497</v>
      </c>
      <c r="C866" s="41" t="s">
        <v>3490</v>
      </c>
      <c r="D866" s="42">
        <v>45425</v>
      </c>
      <c r="E866" s="41">
        <v>2</v>
      </c>
      <c r="F866" s="41">
        <v>1</v>
      </c>
      <c r="G866" s="41" t="s">
        <v>5498</v>
      </c>
      <c r="H866" s="41">
        <v>2</v>
      </c>
    </row>
    <row r="867" spans="1:8" ht="16" x14ac:dyDescent="0.2">
      <c r="A867" s="41" t="s">
        <v>604</v>
      </c>
      <c r="B867" s="41" t="s">
        <v>5499</v>
      </c>
      <c r="C867" s="41" t="s">
        <v>3490</v>
      </c>
      <c r="D867" s="42">
        <v>35249</v>
      </c>
      <c r="E867" s="41">
        <v>1</v>
      </c>
      <c r="F867" s="41">
        <v>1</v>
      </c>
      <c r="G867" s="41" t="s">
        <v>5500</v>
      </c>
      <c r="H867" s="41">
        <v>1</v>
      </c>
    </row>
    <row r="868" spans="1:8" ht="16" x14ac:dyDescent="0.2">
      <c r="A868" s="41" t="s">
        <v>605</v>
      </c>
      <c r="B868" s="41" t="s">
        <v>5501</v>
      </c>
      <c r="C868" s="41" t="s">
        <v>3490</v>
      </c>
      <c r="D868" s="42">
        <v>36677</v>
      </c>
      <c r="E868" s="41">
        <v>10</v>
      </c>
      <c r="F868" s="41">
        <v>1</v>
      </c>
      <c r="G868" s="41" t="s">
        <v>5502</v>
      </c>
      <c r="H868" s="41">
        <v>10</v>
      </c>
    </row>
    <row r="869" spans="1:8" ht="16" x14ac:dyDescent="0.2">
      <c r="A869" s="41" t="s">
        <v>606</v>
      </c>
      <c r="B869" s="41" t="s">
        <v>5503</v>
      </c>
      <c r="C869" s="41" t="s">
        <v>3490</v>
      </c>
      <c r="D869" s="42">
        <v>38534</v>
      </c>
      <c r="E869" s="41">
        <v>5</v>
      </c>
      <c r="F869" s="41">
        <v>1</v>
      </c>
      <c r="G869" s="41" t="s">
        <v>5504</v>
      </c>
      <c r="H869" s="41">
        <v>5</v>
      </c>
    </row>
    <row r="870" spans="1:8" ht="16" x14ac:dyDescent="0.2">
      <c r="A870" s="41" t="s">
        <v>607</v>
      </c>
      <c r="B870" s="41" t="s">
        <v>5505</v>
      </c>
      <c r="C870" s="41" t="s">
        <v>3490</v>
      </c>
      <c r="D870" s="42">
        <v>43650</v>
      </c>
      <c r="E870" s="41">
        <v>10</v>
      </c>
      <c r="F870" s="41">
        <v>1</v>
      </c>
      <c r="G870" s="41" t="s">
        <v>5506</v>
      </c>
      <c r="H870" s="41">
        <v>10</v>
      </c>
    </row>
    <row r="871" spans="1:8" ht="16" x14ac:dyDescent="0.2">
      <c r="A871" s="41" t="s">
        <v>608</v>
      </c>
      <c r="B871" s="41" t="s">
        <v>5507</v>
      </c>
      <c r="C871" s="41" t="s">
        <v>3490</v>
      </c>
      <c r="D871" s="42">
        <v>39142</v>
      </c>
      <c r="E871" s="41">
        <v>10</v>
      </c>
      <c r="F871" s="41">
        <v>1</v>
      </c>
      <c r="G871" s="41" t="s">
        <v>5508</v>
      </c>
      <c r="H871" s="41">
        <v>10</v>
      </c>
    </row>
    <row r="872" spans="1:8" ht="16" x14ac:dyDescent="0.2">
      <c r="A872" s="41" t="s">
        <v>5509</v>
      </c>
      <c r="B872" s="41" t="s">
        <v>5510</v>
      </c>
      <c r="C872" s="41" t="s">
        <v>3490</v>
      </c>
      <c r="D872" s="42">
        <v>35438</v>
      </c>
      <c r="E872" s="41">
        <v>10</v>
      </c>
      <c r="F872" s="41">
        <v>1</v>
      </c>
      <c r="G872" s="41" t="s">
        <v>5511</v>
      </c>
      <c r="H872" s="41">
        <v>10</v>
      </c>
    </row>
    <row r="873" spans="1:8" ht="16" x14ac:dyDescent="0.2">
      <c r="A873" s="41" t="s">
        <v>609</v>
      </c>
      <c r="B873" s="41" t="s">
        <v>5512</v>
      </c>
      <c r="C873" s="41" t="s">
        <v>3490</v>
      </c>
      <c r="D873" s="42">
        <v>34941</v>
      </c>
      <c r="E873" s="41">
        <v>2</v>
      </c>
      <c r="F873" s="41">
        <v>1</v>
      </c>
      <c r="G873" s="41" t="s">
        <v>5513</v>
      </c>
      <c r="H873" s="41">
        <v>2</v>
      </c>
    </row>
    <row r="874" spans="1:8" ht="16" x14ac:dyDescent="0.2">
      <c r="A874" s="41" t="s">
        <v>610</v>
      </c>
      <c r="B874" s="41" t="s">
        <v>5514</v>
      </c>
      <c r="C874" s="41" t="s">
        <v>3490</v>
      </c>
      <c r="D874" s="42">
        <v>45280</v>
      </c>
      <c r="E874" s="41">
        <v>5</v>
      </c>
      <c r="F874" s="41">
        <v>1</v>
      </c>
      <c r="G874" s="41" t="s">
        <v>5515</v>
      </c>
      <c r="H874" s="41">
        <v>5</v>
      </c>
    </row>
    <row r="875" spans="1:8" ht="16" x14ac:dyDescent="0.2">
      <c r="A875" s="41" t="s">
        <v>611</v>
      </c>
      <c r="B875" s="41" t="s">
        <v>5516</v>
      </c>
      <c r="C875" s="41" t="s">
        <v>3490</v>
      </c>
      <c r="D875" s="42">
        <v>42318</v>
      </c>
      <c r="E875" s="41">
        <v>10</v>
      </c>
      <c r="F875" s="41">
        <v>1</v>
      </c>
      <c r="G875" s="41" t="s">
        <v>5517</v>
      </c>
      <c r="H875" s="41">
        <v>10</v>
      </c>
    </row>
    <row r="876" spans="1:8" ht="16" x14ac:dyDescent="0.2">
      <c r="A876" s="41" t="s">
        <v>612</v>
      </c>
      <c r="B876" s="41" t="s">
        <v>5518</v>
      </c>
      <c r="C876" s="41" t="s">
        <v>3490</v>
      </c>
      <c r="D876" s="42">
        <v>44229</v>
      </c>
      <c r="E876" s="41">
        <v>10</v>
      </c>
      <c r="F876" s="41">
        <v>1</v>
      </c>
      <c r="G876" s="41" t="s">
        <v>5519</v>
      </c>
      <c r="H876" s="41">
        <v>10</v>
      </c>
    </row>
    <row r="877" spans="1:8" ht="16" x14ac:dyDescent="0.2">
      <c r="A877" s="41" t="s">
        <v>5520</v>
      </c>
      <c r="B877" s="41" t="s">
        <v>5521</v>
      </c>
      <c r="C877" s="41" t="s">
        <v>3490</v>
      </c>
      <c r="D877" s="42">
        <v>45868</v>
      </c>
      <c r="E877" s="41">
        <v>1</v>
      </c>
      <c r="F877" s="41">
        <v>1</v>
      </c>
      <c r="G877" s="41" t="s">
        <v>5522</v>
      </c>
      <c r="H877" s="41">
        <v>1</v>
      </c>
    </row>
    <row r="878" spans="1:8" ht="16" x14ac:dyDescent="0.2">
      <c r="A878" s="41" t="s">
        <v>614</v>
      </c>
      <c r="B878" s="41" t="s">
        <v>5523</v>
      </c>
      <c r="C878" s="41" t="s">
        <v>3490</v>
      </c>
      <c r="D878" s="42">
        <v>35557</v>
      </c>
      <c r="E878" s="41">
        <v>5</v>
      </c>
      <c r="F878" s="41">
        <v>1</v>
      </c>
      <c r="G878" s="41" t="s">
        <v>5524</v>
      </c>
      <c r="H878" s="41">
        <v>5</v>
      </c>
    </row>
    <row r="879" spans="1:8" ht="16" x14ac:dyDescent="0.2">
      <c r="A879" s="41" t="s">
        <v>615</v>
      </c>
      <c r="B879" s="41" t="s">
        <v>5525</v>
      </c>
      <c r="C879" s="41" t="s">
        <v>3490</v>
      </c>
      <c r="D879" s="42">
        <v>44680</v>
      </c>
      <c r="E879" s="41">
        <v>5</v>
      </c>
      <c r="F879" s="41">
        <v>1</v>
      </c>
      <c r="G879" s="41" t="s">
        <v>5526</v>
      </c>
      <c r="H879" s="41">
        <v>5</v>
      </c>
    </row>
    <row r="880" spans="1:8" ht="16" x14ac:dyDescent="0.2">
      <c r="A880" s="41" t="s">
        <v>616</v>
      </c>
      <c r="B880" s="41" t="s">
        <v>5527</v>
      </c>
      <c r="C880" s="41" t="s">
        <v>3510</v>
      </c>
      <c r="D880" s="42">
        <v>44649</v>
      </c>
      <c r="E880" s="41">
        <v>1</v>
      </c>
      <c r="F880" s="41">
        <v>1</v>
      </c>
      <c r="G880" s="41" t="s">
        <v>5528</v>
      </c>
      <c r="H880" s="41">
        <v>1</v>
      </c>
    </row>
    <row r="881" spans="1:8" ht="16" x14ac:dyDescent="0.2">
      <c r="A881" s="41" t="s">
        <v>617</v>
      </c>
      <c r="B881" s="41" t="s">
        <v>5529</v>
      </c>
      <c r="C881" s="41" t="s">
        <v>3490</v>
      </c>
      <c r="D881" s="42">
        <v>38366</v>
      </c>
      <c r="E881" s="41">
        <v>2</v>
      </c>
      <c r="F881" s="41">
        <v>1</v>
      </c>
      <c r="G881" s="41" t="s">
        <v>5530</v>
      </c>
      <c r="H881" s="41">
        <v>2</v>
      </c>
    </row>
    <row r="882" spans="1:8" ht="16" x14ac:dyDescent="0.2">
      <c r="A882" s="41" t="s">
        <v>5531</v>
      </c>
      <c r="B882" s="41" t="s">
        <v>5532</v>
      </c>
      <c r="C882" s="41" t="s">
        <v>3490</v>
      </c>
      <c r="D882" s="42">
        <v>45664</v>
      </c>
      <c r="E882" s="41">
        <v>10</v>
      </c>
      <c r="F882" s="41">
        <v>1</v>
      </c>
      <c r="G882" s="41" t="s">
        <v>5533</v>
      </c>
      <c r="H882" s="41">
        <v>10</v>
      </c>
    </row>
    <row r="883" spans="1:8" ht="16" x14ac:dyDescent="0.2">
      <c r="A883" s="41" t="s">
        <v>618</v>
      </c>
      <c r="B883" s="41" t="s">
        <v>5534</v>
      </c>
      <c r="C883" s="41" t="s">
        <v>3510</v>
      </c>
      <c r="D883" s="42">
        <v>37792</v>
      </c>
      <c r="E883" s="41">
        <v>10</v>
      </c>
      <c r="F883" s="41">
        <v>1</v>
      </c>
      <c r="G883" s="41" t="s">
        <v>5535</v>
      </c>
      <c r="H883" s="41">
        <v>10</v>
      </c>
    </row>
    <row r="884" spans="1:8" ht="16" x14ac:dyDescent="0.2">
      <c r="A884" s="41" t="s">
        <v>619</v>
      </c>
      <c r="B884" s="41" t="s">
        <v>5536</v>
      </c>
      <c r="C884" s="41" t="s">
        <v>3490</v>
      </c>
      <c r="D884" s="42">
        <v>43241</v>
      </c>
      <c r="E884" s="41">
        <v>10</v>
      </c>
      <c r="F884" s="41">
        <v>1</v>
      </c>
      <c r="G884" s="41" t="s">
        <v>5537</v>
      </c>
      <c r="H884" s="41">
        <v>10</v>
      </c>
    </row>
    <row r="885" spans="1:8" ht="16" x14ac:dyDescent="0.2">
      <c r="A885" s="41" t="s">
        <v>620</v>
      </c>
      <c r="B885" s="41" t="s">
        <v>5538</v>
      </c>
      <c r="C885" s="41" t="s">
        <v>3490</v>
      </c>
      <c r="D885" s="42">
        <v>38792</v>
      </c>
      <c r="E885" s="41">
        <v>10</v>
      </c>
      <c r="F885" s="41">
        <v>1</v>
      </c>
      <c r="G885" s="41" t="s">
        <v>5539</v>
      </c>
      <c r="H885" s="41">
        <v>10</v>
      </c>
    </row>
    <row r="886" spans="1:8" ht="16" x14ac:dyDescent="0.2">
      <c r="A886" s="41" t="s">
        <v>5540</v>
      </c>
      <c r="B886" s="41" t="s">
        <v>5541</v>
      </c>
      <c r="C886" s="41" t="s">
        <v>3510</v>
      </c>
      <c r="D886" s="42">
        <v>40849</v>
      </c>
      <c r="E886" s="41">
        <v>1</v>
      </c>
      <c r="F886" s="41">
        <v>1</v>
      </c>
      <c r="G886" s="41" t="s">
        <v>5542</v>
      </c>
      <c r="H886" s="41">
        <v>1</v>
      </c>
    </row>
    <row r="887" spans="1:8" ht="16" x14ac:dyDescent="0.2">
      <c r="A887" s="41" t="s">
        <v>3474</v>
      </c>
      <c r="B887" s="41" t="s">
        <v>5543</v>
      </c>
      <c r="C887" s="41" t="s">
        <v>3490</v>
      </c>
      <c r="D887" s="42">
        <v>45562</v>
      </c>
      <c r="E887" s="41">
        <v>10</v>
      </c>
      <c r="F887" s="41">
        <v>1</v>
      </c>
      <c r="G887" s="41" t="s">
        <v>5544</v>
      </c>
      <c r="H887" s="41">
        <v>10</v>
      </c>
    </row>
    <row r="888" spans="1:8" ht="16" x14ac:dyDescent="0.2">
      <c r="A888" s="41" t="s">
        <v>5545</v>
      </c>
      <c r="B888" s="41" t="s">
        <v>5546</v>
      </c>
      <c r="C888" s="41" t="s">
        <v>3490</v>
      </c>
      <c r="D888" s="42">
        <v>39339</v>
      </c>
      <c r="E888" s="41">
        <v>10</v>
      </c>
      <c r="F888" s="41">
        <v>1</v>
      </c>
      <c r="G888" s="41" t="s">
        <v>5547</v>
      </c>
      <c r="H888" s="41">
        <v>10</v>
      </c>
    </row>
    <row r="889" spans="1:8" ht="16" x14ac:dyDescent="0.2">
      <c r="A889" s="41" t="s">
        <v>621</v>
      </c>
      <c r="B889" s="41" t="s">
        <v>5548</v>
      </c>
      <c r="C889" s="41" t="s">
        <v>3490</v>
      </c>
      <c r="D889" s="42">
        <v>35537</v>
      </c>
      <c r="E889" s="41">
        <v>10</v>
      </c>
      <c r="F889" s="41">
        <v>1</v>
      </c>
      <c r="G889" s="41" t="s">
        <v>5549</v>
      </c>
      <c r="H889" s="41">
        <v>10</v>
      </c>
    </row>
    <row r="890" spans="1:8" ht="16" x14ac:dyDescent="0.2">
      <c r="A890" s="41" t="s">
        <v>622</v>
      </c>
      <c r="B890" s="41" t="s">
        <v>5550</v>
      </c>
      <c r="C890" s="41" t="s">
        <v>3510</v>
      </c>
      <c r="D890" s="42">
        <v>35613</v>
      </c>
      <c r="E890" s="41">
        <v>10</v>
      </c>
      <c r="F890" s="41">
        <v>1</v>
      </c>
      <c r="G890" s="41" t="s">
        <v>5551</v>
      </c>
      <c r="H890" s="41">
        <v>10</v>
      </c>
    </row>
    <row r="891" spans="1:8" ht="16" x14ac:dyDescent="0.2">
      <c r="A891" s="41" t="s">
        <v>5552</v>
      </c>
      <c r="B891" s="41" t="s">
        <v>5553</v>
      </c>
      <c r="C891" s="41" t="s">
        <v>3490</v>
      </c>
      <c r="D891" s="42">
        <v>40613</v>
      </c>
      <c r="E891" s="41">
        <v>2</v>
      </c>
      <c r="F891" s="41">
        <v>1</v>
      </c>
      <c r="G891" s="41" t="s">
        <v>5554</v>
      </c>
      <c r="H891" s="41">
        <v>2</v>
      </c>
    </row>
    <row r="892" spans="1:8" ht="16" x14ac:dyDescent="0.2">
      <c r="A892" s="41" t="s">
        <v>623</v>
      </c>
      <c r="B892" s="41" t="s">
        <v>5555</v>
      </c>
      <c r="C892" s="41" t="s">
        <v>3490</v>
      </c>
      <c r="D892" s="42">
        <v>35823</v>
      </c>
      <c r="E892" s="41">
        <v>10</v>
      </c>
      <c r="F892" s="41">
        <v>1</v>
      </c>
      <c r="G892" s="41" t="s">
        <v>5556</v>
      </c>
      <c r="H892" s="41">
        <v>10</v>
      </c>
    </row>
    <row r="893" spans="1:8" ht="16" x14ac:dyDescent="0.2">
      <c r="A893" s="41" t="s">
        <v>624</v>
      </c>
      <c r="B893" s="41" t="s">
        <v>5557</v>
      </c>
      <c r="C893" s="41" t="s">
        <v>3490</v>
      </c>
      <c r="D893" s="42">
        <v>41271</v>
      </c>
      <c r="E893" s="41">
        <v>10</v>
      </c>
      <c r="F893" s="41">
        <v>1</v>
      </c>
      <c r="G893" s="41" t="s">
        <v>5558</v>
      </c>
      <c r="H893" s="41">
        <v>10</v>
      </c>
    </row>
    <row r="894" spans="1:8" ht="16" x14ac:dyDescent="0.2">
      <c r="A894" s="41" t="s">
        <v>625</v>
      </c>
      <c r="B894" s="41" t="s">
        <v>5559</v>
      </c>
      <c r="C894" s="41" t="s">
        <v>3490</v>
      </c>
      <c r="D894" s="42">
        <v>42464</v>
      </c>
      <c r="E894" s="41">
        <v>1</v>
      </c>
      <c r="F894" s="41">
        <v>1</v>
      </c>
      <c r="G894" s="41" t="s">
        <v>5560</v>
      </c>
      <c r="H894" s="41">
        <v>1</v>
      </c>
    </row>
    <row r="895" spans="1:8" ht="16" x14ac:dyDescent="0.2">
      <c r="A895" s="41" t="s">
        <v>626</v>
      </c>
      <c r="B895" s="41" t="s">
        <v>5561</v>
      </c>
      <c r="C895" s="41" t="s">
        <v>3490</v>
      </c>
      <c r="D895" s="42">
        <v>43661</v>
      </c>
      <c r="E895" s="41">
        <v>10</v>
      </c>
      <c r="F895" s="41">
        <v>1</v>
      </c>
      <c r="G895" s="41" t="s">
        <v>5562</v>
      </c>
      <c r="H895" s="41">
        <v>10</v>
      </c>
    </row>
    <row r="896" spans="1:8" ht="16" x14ac:dyDescent="0.2">
      <c r="A896" s="41" t="s">
        <v>627</v>
      </c>
      <c r="B896" s="41" t="s">
        <v>5563</v>
      </c>
      <c r="C896" s="41" t="s">
        <v>3490</v>
      </c>
      <c r="D896" s="42">
        <v>34738</v>
      </c>
      <c r="E896" s="41">
        <v>5</v>
      </c>
      <c r="F896" s="41">
        <v>1</v>
      </c>
      <c r="G896" s="41" t="s">
        <v>5564</v>
      </c>
      <c r="H896" s="41">
        <v>5</v>
      </c>
    </row>
    <row r="897" spans="1:8" ht="16" x14ac:dyDescent="0.2">
      <c r="A897" s="41" t="s">
        <v>628</v>
      </c>
      <c r="B897" s="41" t="s">
        <v>5565</v>
      </c>
      <c r="C897" s="41" t="s">
        <v>3490</v>
      </c>
      <c r="D897" s="42">
        <v>36265</v>
      </c>
      <c r="E897" s="41">
        <v>10</v>
      </c>
      <c r="F897" s="41">
        <v>1</v>
      </c>
      <c r="G897" s="41" t="s">
        <v>5566</v>
      </c>
      <c r="H897" s="41">
        <v>10</v>
      </c>
    </row>
    <row r="898" spans="1:8" ht="16" x14ac:dyDescent="0.2">
      <c r="A898" s="41" t="s">
        <v>629</v>
      </c>
      <c r="B898" s="41" t="s">
        <v>5567</v>
      </c>
      <c r="C898" s="41" t="s">
        <v>3490</v>
      </c>
      <c r="D898" s="42">
        <v>45289</v>
      </c>
      <c r="E898" s="41">
        <v>10</v>
      </c>
      <c r="F898" s="41">
        <v>1</v>
      </c>
      <c r="G898" s="41" t="s">
        <v>5568</v>
      </c>
      <c r="H898" s="41">
        <v>10</v>
      </c>
    </row>
    <row r="899" spans="1:8" ht="16" x14ac:dyDescent="0.2">
      <c r="A899" s="41" t="s">
        <v>630</v>
      </c>
      <c r="B899" s="41" t="s">
        <v>5569</v>
      </c>
      <c r="C899" s="41" t="s">
        <v>3510</v>
      </c>
      <c r="D899" s="42">
        <v>45643</v>
      </c>
      <c r="E899" s="41">
        <v>10</v>
      </c>
      <c r="F899" s="41">
        <v>1</v>
      </c>
      <c r="G899" s="41" t="s">
        <v>5570</v>
      </c>
      <c r="H899" s="41">
        <v>10</v>
      </c>
    </row>
    <row r="900" spans="1:8" ht="16" x14ac:dyDescent="0.2">
      <c r="A900" s="41" t="s">
        <v>631</v>
      </c>
      <c r="B900" s="41" t="s">
        <v>5571</v>
      </c>
      <c r="C900" s="41" t="s">
        <v>3510</v>
      </c>
      <c r="D900" s="42">
        <v>44888</v>
      </c>
      <c r="E900" s="41">
        <v>10</v>
      </c>
      <c r="F900" s="41">
        <v>1</v>
      </c>
      <c r="G900" s="41" t="s">
        <v>5572</v>
      </c>
      <c r="H900" s="41">
        <v>10</v>
      </c>
    </row>
    <row r="901" spans="1:8" ht="16" x14ac:dyDescent="0.2">
      <c r="A901" s="41" t="s">
        <v>632</v>
      </c>
      <c r="B901" s="41" t="s">
        <v>5573</v>
      </c>
      <c r="C901" s="41" t="s">
        <v>3490</v>
      </c>
      <c r="D901" s="42">
        <v>45281</v>
      </c>
      <c r="E901" s="41">
        <v>2</v>
      </c>
      <c r="F901" s="41">
        <v>1</v>
      </c>
      <c r="G901" s="41" t="s">
        <v>5574</v>
      </c>
      <c r="H901" s="41">
        <v>2</v>
      </c>
    </row>
    <row r="902" spans="1:8" ht="16" x14ac:dyDescent="0.2">
      <c r="A902" s="41" t="s">
        <v>633</v>
      </c>
      <c r="B902" s="41" t="s">
        <v>5575</v>
      </c>
      <c r="C902" s="41" t="s">
        <v>3490</v>
      </c>
      <c r="D902" s="42">
        <v>42103</v>
      </c>
      <c r="E902" s="41">
        <v>10</v>
      </c>
      <c r="F902" s="41">
        <v>1</v>
      </c>
      <c r="G902" s="41" t="s">
        <v>5576</v>
      </c>
      <c r="H902" s="41">
        <v>10</v>
      </c>
    </row>
    <row r="903" spans="1:8" ht="16" x14ac:dyDescent="0.2">
      <c r="A903" s="41" t="s">
        <v>634</v>
      </c>
      <c r="B903" s="41" t="s">
        <v>5577</v>
      </c>
      <c r="C903" s="41" t="s">
        <v>3490</v>
      </c>
      <c r="D903" s="42">
        <v>39232</v>
      </c>
      <c r="E903" s="41">
        <v>10</v>
      </c>
      <c r="F903" s="41">
        <v>1</v>
      </c>
      <c r="G903" s="41" t="s">
        <v>5578</v>
      </c>
      <c r="H903" s="41">
        <v>10</v>
      </c>
    </row>
    <row r="904" spans="1:8" ht="16" x14ac:dyDescent="0.2">
      <c r="A904" s="41" t="s">
        <v>5579</v>
      </c>
      <c r="B904" s="41" t="s">
        <v>5580</v>
      </c>
      <c r="C904" s="41" t="s">
        <v>3510</v>
      </c>
      <c r="D904" s="42">
        <v>39020</v>
      </c>
      <c r="E904" s="41">
        <v>10</v>
      </c>
      <c r="F904" s="41">
        <v>1</v>
      </c>
      <c r="G904" s="41" t="s">
        <v>5581</v>
      </c>
      <c r="H904" s="41">
        <v>10</v>
      </c>
    </row>
    <row r="905" spans="1:8" ht="16" x14ac:dyDescent="0.2">
      <c r="A905" s="41" t="s">
        <v>635</v>
      </c>
      <c r="B905" s="41" t="s">
        <v>5582</v>
      </c>
      <c r="C905" s="41" t="s">
        <v>3490</v>
      </c>
      <c r="D905" s="42">
        <v>41991</v>
      </c>
      <c r="E905" s="41">
        <v>5</v>
      </c>
      <c r="F905" s="41">
        <v>1</v>
      </c>
      <c r="G905" s="41" t="s">
        <v>5583</v>
      </c>
      <c r="H905" s="41">
        <v>5</v>
      </c>
    </row>
    <row r="906" spans="1:8" ht="16" x14ac:dyDescent="0.2">
      <c r="A906" s="41" t="s">
        <v>5584</v>
      </c>
      <c r="B906" s="41" t="s">
        <v>5585</v>
      </c>
      <c r="C906" s="41" t="s">
        <v>3490</v>
      </c>
      <c r="D906" s="42">
        <v>42817</v>
      </c>
      <c r="E906" s="41">
        <v>2</v>
      </c>
      <c r="F906" s="41">
        <v>1</v>
      </c>
      <c r="G906" s="41" t="s">
        <v>5586</v>
      </c>
      <c r="H906" s="41">
        <v>2</v>
      </c>
    </row>
    <row r="907" spans="1:8" ht="16" x14ac:dyDescent="0.2">
      <c r="A907" s="41" t="s">
        <v>5587</v>
      </c>
      <c r="B907" s="41" t="s">
        <v>5588</v>
      </c>
      <c r="C907" s="41" t="s">
        <v>3510</v>
      </c>
      <c r="D907" s="42">
        <v>45530</v>
      </c>
      <c r="E907" s="41">
        <v>10</v>
      </c>
      <c r="F907" s="41">
        <v>1</v>
      </c>
      <c r="G907" s="41" t="s">
        <v>5589</v>
      </c>
      <c r="H907" s="41">
        <v>10</v>
      </c>
    </row>
    <row r="908" spans="1:8" ht="16" x14ac:dyDescent="0.2">
      <c r="A908" s="41" t="s">
        <v>636</v>
      </c>
      <c r="B908" s="41" t="s">
        <v>5590</v>
      </c>
      <c r="C908" s="41" t="s">
        <v>3490</v>
      </c>
      <c r="D908" s="42">
        <v>44455</v>
      </c>
      <c r="E908" s="41">
        <v>1</v>
      </c>
      <c r="F908" s="41">
        <v>1</v>
      </c>
      <c r="G908" s="41" t="s">
        <v>5591</v>
      </c>
      <c r="H908" s="41">
        <v>1</v>
      </c>
    </row>
    <row r="909" spans="1:8" ht="16" x14ac:dyDescent="0.2">
      <c r="A909" s="41" t="s">
        <v>5592</v>
      </c>
      <c r="B909" s="41" t="s">
        <v>5593</v>
      </c>
      <c r="C909" s="41" t="s">
        <v>3490</v>
      </c>
      <c r="D909" s="42">
        <v>40759</v>
      </c>
      <c r="E909" s="41">
        <v>1</v>
      </c>
      <c r="F909" s="41">
        <v>1</v>
      </c>
      <c r="G909" s="41" t="s">
        <v>5594</v>
      </c>
      <c r="H909" s="41">
        <v>1</v>
      </c>
    </row>
    <row r="910" spans="1:8" ht="16" x14ac:dyDescent="0.2">
      <c r="A910" s="41" t="s">
        <v>637</v>
      </c>
      <c r="B910" s="41" t="s">
        <v>5595</v>
      </c>
      <c r="C910" s="41" t="s">
        <v>3490</v>
      </c>
      <c r="D910" s="42">
        <v>36867</v>
      </c>
      <c r="E910" s="41">
        <v>10</v>
      </c>
      <c r="F910" s="41">
        <v>1</v>
      </c>
      <c r="G910" s="41" t="s">
        <v>5596</v>
      </c>
      <c r="H910" s="41">
        <v>10</v>
      </c>
    </row>
    <row r="911" spans="1:8" ht="16" x14ac:dyDescent="0.2">
      <c r="A911" s="41" t="s">
        <v>638</v>
      </c>
      <c r="B911" s="41" t="s">
        <v>5597</v>
      </c>
      <c r="C911" s="41" t="s">
        <v>3490</v>
      </c>
      <c r="D911" s="42">
        <v>35270</v>
      </c>
      <c r="E911" s="41">
        <v>10</v>
      </c>
      <c r="F911" s="41">
        <v>1</v>
      </c>
      <c r="G911" s="41" t="s">
        <v>5598</v>
      </c>
      <c r="H911" s="41">
        <v>10</v>
      </c>
    </row>
    <row r="912" spans="1:8" ht="16" x14ac:dyDescent="0.2">
      <c r="A912" s="41" t="s">
        <v>639</v>
      </c>
      <c r="B912" s="41" t="s">
        <v>5599</v>
      </c>
      <c r="C912" s="41" t="s">
        <v>3490</v>
      </c>
      <c r="D912" s="42">
        <v>40490</v>
      </c>
      <c r="E912" s="41">
        <v>2</v>
      </c>
      <c r="F912" s="41">
        <v>1</v>
      </c>
      <c r="G912" s="41" t="s">
        <v>5600</v>
      </c>
      <c r="H912" s="41">
        <v>2</v>
      </c>
    </row>
    <row r="913" spans="1:8" ht="16" x14ac:dyDescent="0.2">
      <c r="A913" s="41" t="s">
        <v>640</v>
      </c>
      <c r="B913" s="41" t="s">
        <v>5601</v>
      </c>
      <c r="C913" s="41" t="s">
        <v>3490</v>
      </c>
      <c r="D913" s="42">
        <v>44614</v>
      </c>
      <c r="E913" s="41">
        <v>1</v>
      </c>
      <c r="F913" s="41">
        <v>1</v>
      </c>
      <c r="G913" s="41" t="s">
        <v>5602</v>
      </c>
      <c r="H913" s="41">
        <v>1</v>
      </c>
    </row>
    <row r="914" spans="1:8" ht="16" x14ac:dyDescent="0.2">
      <c r="A914" s="41" t="s">
        <v>641</v>
      </c>
      <c r="B914" s="41" t="s">
        <v>5603</v>
      </c>
      <c r="C914" s="41" t="s">
        <v>3490</v>
      </c>
      <c r="D914" s="42">
        <v>34738</v>
      </c>
      <c r="E914" s="41">
        <v>1</v>
      </c>
      <c r="F914" s="41">
        <v>1</v>
      </c>
      <c r="G914" s="41" t="s">
        <v>5604</v>
      </c>
      <c r="H914" s="41">
        <v>1</v>
      </c>
    </row>
    <row r="915" spans="1:8" ht="16" x14ac:dyDescent="0.2">
      <c r="A915" s="41" t="s">
        <v>642</v>
      </c>
      <c r="B915" s="41" t="s">
        <v>5605</v>
      </c>
      <c r="C915" s="41" t="s">
        <v>3490</v>
      </c>
      <c r="D915" s="42">
        <v>44382</v>
      </c>
      <c r="E915" s="41">
        <v>1</v>
      </c>
      <c r="F915" s="41">
        <v>1</v>
      </c>
      <c r="G915" s="41" t="s">
        <v>5606</v>
      </c>
      <c r="H915" s="41">
        <v>1</v>
      </c>
    </row>
    <row r="916" spans="1:8" ht="16" x14ac:dyDescent="0.2">
      <c r="A916" s="41" t="s">
        <v>643</v>
      </c>
      <c r="B916" s="41" t="s">
        <v>5607</v>
      </c>
      <c r="C916" s="41" t="s">
        <v>3490</v>
      </c>
      <c r="D916" s="42">
        <v>39503</v>
      </c>
      <c r="E916" s="41">
        <v>1</v>
      </c>
      <c r="F916" s="41">
        <v>1</v>
      </c>
      <c r="G916" s="41" t="s">
        <v>5608</v>
      </c>
      <c r="H916" s="41">
        <v>1</v>
      </c>
    </row>
    <row r="917" spans="1:8" ht="16" x14ac:dyDescent="0.2">
      <c r="A917" s="41" t="s">
        <v>646</v>
      </c>
      <c r="B917" s="41" t="s">
        <v>5609</v>
      </c>
      <c r="C917" s="41" t="s">
        <v>3490</v>
      </c>
      <c r="D917" s="42">
        <v>43371</v>
      </c>
      <c r="E917" s="41">
        <v>2</v>
      </c>
      <c r="F917" s="41">
        <v>1</v>
      </c>
      <c r="G917" s="41" t="s">
        <v>5610</v>
      </c>
      <c r="H917" s="41">
        <v>2</v>
      </c>
    </row>
    <row r="918" spans="1:8" ht="16" x14ac:dyDescent="0.2">
      <c r="A918" s="41" t="s">
        <v>647</v>
      </c>
      <c r="B918" s="41" t="s">
        <v>5611</v>
      </c>
      <c r="C918" s="41" t="s">
        <v>3490</v>
      </c>
      <c r="D918" s="42">
        <v>43752</v>
      </c>
      <c r="E918" s="41">
        <v>2</v>
      </c>
      <c r="F918" s="41">
        <v>1</v>
      </c>
      <c r="G918" s="41" t="s">
        <v>5612</v>
      </c>
      <c r="H918" s="41">
        <v>2</v>
      </c>
    </row>
    <row r="919" spans="1:8" ht="16" x14ac:dyDescent="0.2">
      <c r="A919" s="41" t="s">
        <v>648</v>
      </c>
      <c r="B919" s="41" t="s">
        <v>5613</v>
      </c>
      <c r="C919" s="41" t="s">
        <v>3490</v>
      </c>
      <c r="D919" s="42">
        <v>45259</v>
      </c>
      <c r="E919" s="41">
        <v>10</v>
      </c>
      <c r="F919" s="41">
        <v>1</v>
      </c>
      <c r="G919" s="41" t="s">
        <v>5614</v>
      </c>
      <c r="H919" s="41">
        <v>10</v>
      </c>
    </row>
    <row r="920" spans="1:8" ht="16" x14ac:dyDescent="0.2">
      <c r="A920" s="41" t="s">
        <v>649</v>
      </c>
      <c r="B920" s="41" t="s">
        <v>5615</v>
      </c>
      <c r="C920" s="41" t="s">
        <v>3490</v>
      </c>
      <c r="D920" s="42">
        <v>44225</v>
      </c>
      <c r="E920" s="41">
        <v>10</v>
      </c>
      <c r="F920" s="41">
        <v>1</v>
      </c>
      <c r="G920" s="41" t="s">
        <v>5616</v>
      </c>
      <c r="H920" s="41">
        <v>10</v>
      </c>
    </row>
    <row r="921" spans="1:8" ht="16" x14ac:dyDescent="0.2">
      <c r="A921" s="41" t="s">
        <v>5617</v>
      </c>
      <c r="B921" s="41" t="s">
        <v>5618</v>
      </c>
      <c r="C921" s="41" t="s">
        <v>3510</v>
      </c>
      <c r="D921" s="42">
        <v>44508</v>
      </c>
      <c r="E921" s="41">
        <v>10</v>
      </c>
      <c r="F921" s="41">
        <v>1</v>
      </c>
      <c r="G921" s="41" t="s">
        <v>5619</v>
      </c>
      <c r="H921" s="41">
        <v>10</v>
      </c>
    </row>
    <row r="922" spans="1:8" ht="16" x14ac:dyDescent="0.2">
      <c r="A922" s="41" t="s">
        <v>650</v>
      </c>
      <c r="B922" s="41" t="s">
        <v>5620</v>
      </c>
      <c r="C922" s="41" t="s">
        <v>3510</v>
      </c>
      <c r="D922" s="42">
        <v>44249</v>
      </c>
      <c r="E922" s="41">
        <v>2</v>
      </c>
      <c r="F922" s="41">
        <v>1</v>
      </c>
      <c r="G922" s="41" t="s">
        <v>5621</v>
      </c>
      <c r="H922" s="41">
        <v>2</v>
      </c>
    </row>
    <row r="923" spans="1:8" ht="16" x14ac:dyDescent="0.2">
      <c r="A923" s="41" t="s">
        <v>651</v>
      </c>
      <c r="B923" s="41" t="s">
        <v>5622</v>
      </c>
      <c r="C923" s="41" t="s">
        <v>3490</v>
      </c>
      <c r="D923" s="42">
        <v>45225</v>
      </c>
      <c r="E923" s="41">
        <v>10</v>
      </c>
      <c r="F923" s="41">
        <v>1</v>
      </c>
      <c r="G923" s="41" t="s">
        <v>5623</v>
      </c>
      <c r="H923" s="41">
        <v>10</v>
      </c>
    </row>
    <row r="924" spans="1:8" ht="16" x14ac:dyDescent="0.2">
      <c r="A924" s="41" t="s">
        <v>5624</v>
      </c>
      <c r="B924" s="41" t="s">
        <v>5625</v>
      </c>
      <c r="C924" s="41" t="s">
        <v>3490</v>
      </c>
      <c r="D924" s="42">
        <v>40280</v>
      </c>
      <c r="E924" s="41">
        <v>10</v>
      </c>
      <c r="F924" s="41">
        <v>1</v>
      </c>
      <c r="G924" s="41" t="s">
        <v>5626</v>
      </c>
      <c r="H924" s="41">
        <v>10</v>
      </c>
    </row>
    <row r="925" spans="1:8" ht="16" x14ac:dyDescent="0.2">
      <c r="A925" s="41" t="s">
        <v>652</v>
      </c>
      <c r="B925" s="41" t="s">
        <v>5627</v>
      </c>
      <c r="C925" s="41" t="s">
        <v>3490</v>
      </c>
      <c r="D925" s="42">
        <v>44321</v>
      </c>
      <c r="E925" s="41">
        <v>1</v>
      </c>
      <c r="F925" s="41">
        <v>1</v>
      </c>
      <c r="G925" s="41" t="s">
        <v>5628</v>
      </c>
      <c r="H925" s="41">
        <v>1</v>
      </c>
    </row>
    <row r="926" spans="1:8" ht="16" x14ac:dyDescent="0.2">
      <c r="A926" s="41" t="s">
        <v>5629</v>
      </c>
      <c r="B926" s="41" t="s">
        <v>5630</v>
      </c>
      <c r="C926" s="41" t="s">
        <v>3510</v>
      </c>
      <c r="D926" s="42">
        <v>45740</v>
      </c>
      <c r="E926" s="41">
        <v>10</v>
      </c>
      <c r="F926" s="41">
        <v>1</v>
      </c>
      <c r="G926" s="41" t="s">
        <v>5631</v>
      </c>
      <c r="H926" s="41">
        <v>10</v>
      </c>
    </row>
    <row r="927" spans="1:8" ht="16" x14ac:dyDescent="0.2">
      <c r="A927" s="41" t="s">
        <v>653</v>
      </c>
      <c r="B927" s="41" t="s">
        <v>5632</v>
      </c>
      <c r="C927" s="41" t="s">
        <v>3490</v>
      </c>
      <c r="D927" s="42">
        <v>34934</v>
      </c>
      <c r="E927" s="41">
        <v>1</v>
      </c>
      <c r="F927" s="41">
        <v>1</v>
      </c>
      <c r="G927" s="41" t="s">
        <v>5633</v>
      </c>
      <c r="H927" s="41">
        <v>1</v>
      </c>
    </row>
    <row r="928" spans="1:8" ht="16" x14ac:dyDescent="0.2">
      <c r="A928" s="41" t="s">
        <v>3475</v>
      </c>
      <c r="B928" s="41" t="s">
        <v>5634</v>
      </c>
      <c r="C928" s="41" t="s">
        <v>3490</v>
      </c>
      <c r="D928" s="42">
        <v>45686</v>
      </c>
      <c r="E928" s="41">
        <v>1</v>
      </c>
      <c r="F928" s="41">
        <v>1</v>
      </c>
      <c r="G928" s="41" t="s">
        <v>5635</v>
      </c>
      <c r="H928" s="41">
        <v>1</v>
      </c>
    </row>
    <row r="929" spans="1:8" ht="16" x14ac:dyDescent="0.2">
      <c r="A929" s="41" t="s">
        <v>654</v>
      </c>
      <c r="B929" s="41" t="s">
        <v>5636</v>
      </c>
      <c r="C929" s="41" t="s">
        <v>3490</v>
      </c>
      <c r="D929" s="42">
        <v>42734</v>
      </c>
      <c r="E929" s="41">
        <v>10</v>
      </c>
      <c r="F929" s="41">
        <v>1</v>
      </c>
      <c r="G929" s="41" t="s">
        <v>5637</v>
      </c>
      <c r="H929" s="41">
        <v>10</v>
      </c>
    </row>
    <row r="930" spans="1:8" ht="16" x14ac:dyDescent="0.2">
      <c r="A930" s="41" t="s">
        <v>655</v>
      </c>
      <c r="B930" s="41" t="s">
        <v>5638</v>
      </c>
      <c r="C930" s="41" t="s">
        <v>3490</v>
      </c>
      <c r="D930" s="42">
        <v>36201</v>
      </c>
      <c r="E930" s="41">
        <v>1</v>
      </c>
      <c r="F930" s="41">
        <v>1</v>
      </c>
      <c r="G930" s="41" t="s">
        <v>5639</v>
      </c>
      <c r="H930" s="41">
        <v>1</v>
      </c>
    </row>
    <row r="931" spans="1:8" ht="16" x14ac:dyDescent="0.2">
      <c r="A931" s="41" t="s">
        <v>656</v>
      </c>
      <c r="B931" s="41" t="s">
        <v>5640</v>
      </c>
      <c r="C931" s="41" t="s">
        <v>3490</v>
      </c>
      <c r="D931" s="42">
        <v>37879</v>
      </c>
      <c r="E931" s="41">
        <v>10</v>
      </c>
      <c r="F931" s="41">
        <v>1</v>
      </c>
      <c r="G931" s="41" t="s">
        <v>5641</v>
      </c>
      <c r="H931" s="41">
        <v>10</v>
      </c>
    </row>
    <row r="932" spans="1:8" ht="16" x14ac:dyDescent="0.2">
      <c r="A932" s="41" t="s">
        <v>5642</v>
      </c>
      <c r="B932" s="41" t="s">
        <v>5643</v>
      </c>
      <c r="C932" s="41" t="s">
        <v>3490</v>
      </c>
      <c r="D932" s="42">
        <v>36418</v>
      </c>
      <c r="E932" s="41">
        <v>2</v>
      </c>
      <c r="F932" s="41">
        <v>1</v>
      </c>
      <c r="G932" s="41" t="s">
        <v>5644</v>
      </c>
      <c r="H932" s="41">
        <v>2</v>
      </c>
    </row>
    <row r="933" spans="1:8" ht="16" x14ac:dyDescent="0.2">
      <c r="A933" s="41" t="s">
        <v>5645</v>
      </c>
      <c r="B933" s="41" t="s">
        <v>5646</v>
      </c>
      <c r="C933" s="41" t="s">
        <v>3490</v>
      </c>
      <c r="D933" s="42">
        <v>34955</v>
      </c>
      <c r="E933" s="41">
        <v>10</v>
      </c>
      <c r="F933" s="41">
        <v>1</v>
      </c>
      <c r="G933" s="41" t="s">
        <v>5647</v>
      </c>
      <c r="H933" s="41">
        <v>10</v>
      </c>
    </row>
    <row r="934" spans="1:8" ht="16" x14ac:dyDescent="0.2">
      <c r="A934" s="41" t="s">
        <v>657</v>
      </c>
      <c r="B934" s="41" t="s">
        <v>5648</v>
      </c>
      <c r="C934" s="41" t="s">
        <v>3490</v>
      </c>
      <c r="D934" s="42">
        <v>45461</v>
      </c>
      <c r="E934" s="41">
        <v>1</v>
      </c>
      <c r="F934" s="41">
        <v>1</v>
      </c>
      <c r="G934" s="41" t="s">
        <v>5649</v>
      </c>
      <c r="H934" s="41">
        <v>1</v>
      </c>
    </row>
    <row r="935" spans="1:8" ht="16" x14ac:dyDescent="0.2">
      <c r="A935" s="41" t="s">
        <v>658</v>
      </c>
      <c r="B935" s="41" t="s">
        <v>5650</v>
      </c>
      <c r="C935" s="41" t="s">
        <v>3510</v>
      </c>
      <c r="D935" s="42">
        <v>39118</v>
      </c>
      <c r="E935" s="41">
        <v>10</v>
      </c>
      <c r="F935" s="41">
        <v>1</v>
      </c>
      <c r="G935" s="41" t="s">
        <v>5651</v>
      </c>
      <c r="H935" s="41">
        <v>10</v>
      </c>
    </row>
    <row r="936" spans="1:8" ht="16" x14ac:dyDescent="0.2">
      <c r="A936" s="41" t="s">
        <v>659</v>
      </c>
      <c r="B936" s="41" t="s">
        <v>5652</v>
      </c>
      <c r="C936" s="41" t="s">
        <v>3490</v>
      </c>
      <c r="D936" s="42">
        <v>35998</v>
      </c>
      <c r="E936" s="41">
        <v>1</v>
      </c>
      <c r="F936" s="41">
        <v>1</v>
      </c>
      <c r="G936" s="41" t="s">
        <v>5653</v>
      </c>
      <c r="H936" s="41">
        <v>1</v>
      </c>
    </row>
    <row r="937" spans="1:8" ht="16" x14ac:dyDescent="0.2">
      <c r="A937" s="41" t="s">
        <v>660</v>
      </c>
      <c r="B937" s="41" t="s">
        <v>5654</v>
      </c>
      <c r="C937" s="41" t="s">
        <v>3490</v>
      </c>
      <c r="D937" s="42">
        <v>38770</v>
      </c>
      <c r="E937" s="41">
        <v>2</v>
      </c>
      <c r="F937" s="41">
        <v>1</v>
      </c>
      <c r="G937" s="41" t="s">
        <v>5655</v>
      </c>
      <c r="H937" s="41">
        <v>2</v>
      </c>
    </row>
    <row r="938" spans="1:8" ht="16" x14ac:dyDescent="0.2">
      <c r="A938" s="41" t="s">
        <v>661</v>
      </c>
      <c r="B938" s="41" t="s">
        <v>5656</v>
      </c>
      <c r="C938" s="41" t="s">
        <v>3490</v>
      </c>
      <c r="D938" s="42">
        <v>36586</v>
      </c>
      <c r="E938" s="41">
        <v>2</v>
      </c>
      <c r="F938" s="41">
        <v>1</v>
      </c>
      <c r="G938" s="41" t="s">
        <v>5657</v>
      </c>
      <c r="H938" s="41">
        <v>2</v>
      </c>
    </row>
    <row r="939" spans="1:8" ht="16" x14ac:dyDescent="0.2">
      <c r="A939" s="41" t="s">
        <v>662</v>
      </c>
      <c r="B939" s="41" t="s">
        <v>5658</v>
      </c>
      <c r="C939" s="41" t="s">
        <v>3490</v>
      </c>
      <c r="D939" s="42">
        <v>37964</v>
      </c>
      <c r="E939" s="41">
        <v>2</v>
      </c>
      <c r="F939" s="41">
        <v>1</v>
      </c>
      <c r="G939" s="41" t="s">
        <v>5659</v>
      </c>
      <c r="H939" s="41">
        <v>2</v>
      </c>
    </row>
    <row r="940" spans="1:8" ht="16" x14ac:dyDescent="0.2">
      <c r="A940" s="41" t="s">
        <v>663</v>
      </c>
      <c r="B940" s="41" t="s">
        <v>5660</v>
      </c>
      <c r="C940" s="41" t="s">
        <v>3490</v>
      </c>
      <c r="D940" s="42">
        <v>35760</v>
      </c>
      <c r="E940" s="41">
        <v>1</v>
      </c>
      <c r="F940" s="41">
        <v>1</v>
      </c>
      <c r="G940" s="41" t="s">
        <v>5661</v>
      </c>
      <c r="H940" s="41">
        <v>1</v>
      </c>
    </row>
    <row r="941" spans="1:8" ht="16" x14ac:dyDescent="0.2">
      <c r="A941" s="41" t="s">
        <v>5662</v>
      </c>
      <c r="B941" s="41" t="s">
        <v>5663</v>
      </c>
      <c r="C941" s="41" t="s">
        <v>3490</v>
      </c>
      <c r="D941" s="42">
        <v>44441</v>
      </c>
      <c r="E941" s="41">
        <v>10</v>
      </c>
      <c r="F941" s="41">
        <v>1</v>
      </c>
      <c r="G941" s="41" t="s">
        <v>5664</v>
      </c>
      <c r="H941" s="41">
        <v>10</v>
      </c>
    </row>
    <row r="942" spans="1:8" ht="16" x14ac:dyDescent="0.2">
      <c r="A942" s="41" t="s">
        <v>664</v>
      </c>
      <c r="B942" s="41" t="s">
        <v>5665</v>
      </c>
      <c r="C942" s="41" t="s">
        <v>3490</v>
      </c>
      <c r="D942" s="42">
        <v>40522</v>
      </c>
      <c r="E942" s="41">
        <v>1</v>
      </c>
      <c r="F942" s="41">
        <v>1</v>
      </c>
      <c r="G942" s="41" t="s">
        <v>5666</v>
      </c>
      <c r="H942" s="41">
        <v>1</v>
      </c>
    </row>
    <row r="943" spans="1:8" ht="16" x14ac:dyDescent="0.2">
      <c r="A943" s="41" t="s">
        <v>665</v>
      </c>
      <c r="B943" s="41" t="s">
        <v>5667</v>
      </c>
      <c r="C943" s="41" t="s">
        <v>3490</v>
      </c>
      <c r="D943" s="42">
        <v>43768</v>
      </c>
      <c r="E943" s="41">
        <v>2</v>
      </c>
      <c r="F943" s="41">
        <v>1</v>
      </c>
      <c r="G943" s="41" t="s">
        <v>5668</v>
      </c>
      <c r="H943" s="41">
        <v>2</v>
      </c>
    </row>
    <row r="944" spans="1:8" ht="16" x14ac:dyDescent="0.2">
      <c r="A944" s="41" t="s">
        <v>666</v>
      </c>
      <c r="B944" s="41" t="s">
        <v>5669</v>
      </c>
      <c r="C944" s="41" t="s">
        <v>3490</v>
      </c>
      <c r="D944" s="42">
        <v>35172</v>
      </c>
      <c r="E944" s="41">
        <v>5</v>
      </c>
      <c r="F944" s="41">
        <v>1</v>
      </c>
      <c r="G944" s="41" t="s">
        <v>5670</v>
      </c>
      <c r="H944" s="41">
        <v>5</v>
      </c>
    </row>
    <row r="945" spans="1:8" ht="16" x14ac:dyDescent="0.2">
      <c r="A945" s="41" t="s">
        <v>667</v>
      </c>
      <c r="B945" s="41" t="s">
        <v>5671</v>
      </c>
      <c r="C945" s="41" t="s">
        <v>3510</v>
      </c>
      <c r="D945" s="42">
        <v>35067</v>
      </c>
      <c r="E945" s="41">
        <v>2</v>
      </c>
      <c r="F945" s="41">
        <v>1</v>
      </c>
      <c r="G945" s="41" t="s">
        <v>5672</v>
      </c>
      <c r="H945" s="41">
        <v>2</v>
      </c>
    </row>
    <row r="946" spans="1:8" ht="16" x14ac:dyDescent="0.2">
      <c r="A946" s="41" t="s">
        <v>668</v>
      </c>
      <c r="B946" s="41" t="s">
        <v>5673</v>
      </c>
      <c r="C946" s="41" t="s">
        <v>3490</v>
      </c>
      <c r="D946" s="42">
        <v>34829</v>
      </c>
      <c r="E946" s="41">
        <v>10</v>
      </c>
      <c r="F946" s="41">
        <v>1</v>
      </c>
      <c r="G946" s="41" t="s">
        <v>5674</v>
      </c>
      <c r="H946" s="41">
        <v>10</v>
      </c>
    </row>
    <row r="947" spans="1:8" ht="16" x14ac:dyDescent="0.2">
      <c r="A947" s="41" t="s">
        <v>5675</v>
      </c>
      <c r="B947" s="41" t="s">
        <v>5676</v>
      </c>
      <c r="C947" s="41" t="s">
        <v>3490</v>
      </c>
      <c r="D947" s="42">
        <v>34745</v>
      </c>
      <c r="E947" s="41">
        <v>5</v>
      </c>
      <c r="F947" s="41">
        <v>1</v>
      </c>
      <c r="G947" s="41" t="s">
        <v>5677</v>
      </c>
      <c r="H947" s="41">
        <v>5</v>
      </c>
    </row>
    <row r="948" spans="1:8" ht="16" x14ac:dyDescent="0.2">
      <c r="A948" s="41" t="s">
        <v>669</v>
      </c>
      <c r="B948" s="41" t="s">
        <v>5678</v>
      </c>
      <c r="C948" s="41" t="s">
        <v>3490</v>
      </c>
      <c r="D948" s="42">
        <v>37740</v>
      </c>
      <c r="E948" s="41">
        <v>1</v>
      </c>
      <c r="F948" s="41">
        <v>1</v>
      </c>
      <c r="G948" s="41" t="s">
        <v>5679</v>
      </c>
      <c r="H948" s="41">
        <v>1</v>
      </c>
    </row>
    <row r="949" spans="1:8" ht="16" x14ac:dyDescent="0.2">
      <c r="A949" s="41" t="s">
        <v>670</v>
      </c>
      <c r="B949" s="41" t="s">
        <v>5680</v>
      </c>
      <c r="C949" s="41" t="s">
        <v>3490</v>
      </c>
      <c r="D949" s="42">
        <v>38338</v>
      </c>
      <c r="E949" s="41">
        <v>1</v>
      </c>
      <c r="F949" s="41">
        <v>1</v>
      </c>
      <c r="G949" s="41" t="s">
        <v>5681</v>
      </c>
      <c r="H949" s="41">
        <v>1</v>
      </c>
    </row>
    <row r="950" spans="1:8" ht="16" x14ac:dyDescent="0.2">
      <c r="A950" s="41" t="s">
        <v>671</v>
      </c>
      <c r="B950" s="41" t="s">
        <v>5682</v>
      </c>
      <c r="C950" s="41" t="s">
        <v>3490</v>
      </c>
      <c r="D950" s="42">
        <v>36528</v>
      </c>
      <c r="E950" s="41">
        <v>10</v>
      </c>
      <c r="F950" s="41">
        <v>1</v>
      </c>
      <c r="G950" s="41" t="s">
        <v>5683</v>
      </c>
      <c r="H950" s="41">
        <v>10</v>
      </c>
    </row>
    <row r="951" spans="1:8" ht="16" x14ac:dyDescent="0.2">
      <c r="A951" s="41" t="s">
        <v>5684</v>
      </c>
      <c r="B951" s="41" t="s">
        <v>5685</v>
      </c>
      <c r="C951" s="41" t="s">
        <v>3490</v>
      </c>
      <c r="D951" s="42">
        <v>44551</v>
      </c>
      <c r="E951" s="41">
        <v>5</v>
      </c>
      <c r="F951" s="41">
        <v>1</v>
      </c>
      <c r="G951" s="41" t="s">
        <v>5686</v>
      </c>
      <c r="H951" s="41">
        <v>5</v>
      </c>
    </row>
    <row r="952" spans="1:8" ht="16" x14ac:dyDescent="0.2">
      <c r="A952" s="41" t="s">
        <v>672</v>
      </c>
      <c r="B952" s="41" t="s">
        <v>5687</v>
      </c>
      <c r="C952" s="41" t="s">
        <v>3490</v>
      </c>
      <c r="D952" s="42">
        <v>45364</v>
      </c>
      <c r="E952" s="41">
        <v>10</v>
      </c>
      <c r="F952" s="41">
        <v>1</v>
      </c>
      <c r="G952" s="41" t="s">
        <v>5688</v>
      </c>
      <c r="H952" s="41">
        <v>10</v>
      </c>
    </row>
    <row r="953" spans="1:8" ht="16" x14ac:dyDescent="0.2">
      <c r="A953" s="41" t="s">
        <v>5689</v>
      </c>
      <c r="B953" s="41" t="s">
        <v>5690</v>
      </c>
      <c r="C953" s="41" t="s">
        <v>3490</v>
      </c>
      <c r="D953" s="42">
        <v>39011</v>
      </c>
      <c r="E953" s="41">
        <v>10</v>
      </c>
      <c r="F953" s="41">
        <v>1</v>
      </c>
      <c r="G953" s="41" t="s">
        <v>5691</v>
      </c>
      <c r="H953" s="41">
        <v>10</v>
      </c>
    </row>
    <row r="954" spans="1:8" ht="16" x14ac:dyDescent="0.2">
      <c r="A954" s="41" t="s">
        <v>673</v>
      </c>
      <c r="B954" s="41" t="s">
        <v>5692</v>
      </c>
      <c r="C954" s="41" t="s">
        <v>3490</v>
      </c>
      <c r="D954" s="42">
        <v>38449</v>
      </c>
      <c r="E954" s="41">
        <v>10</v>
      </c>
      <c r="F954" s="41">
        <v>1</v>
      </c>
      <c r="G954" s="41" t="s">
        <v>5693</v>
      </c>
      <c r="H954" s="41">
        <v>10</v>
      </c>
    </row>
    <row r="955" spans="1:8" ht="16" x14ac:dyDescent="0.2">
      <c r="A955" s="41" t="s">
        <v>674</v>
      </c>
      <c r="B955" s="41" t="s">
        <v>5694</v>
      </c>
      <c r="C955" s="41" t="s">
        <v>3490</v>
      </c>
      <c r="D955" s="42">
        <v>37277</v>
      </c>
      <c r="E955" s="41">
        <v>10</v>
      </c>
      <c r="F955" s="41">
        <v>1</v>
      </c>
      <c r="G955" s="41" t="s">
        <v>5695</v>
      </c>
      <c r="H955" s="41">
        <v>10</v>
      </c>
    </row>
    <row r="956" spans="1:8" ht="16" x14ac:dyDescent="0.2">
      <c r="A956" s="41" t="s">
        <v>675</v>
      </c>
      <c r="B956" s="41" t="s">
        <v>5696</v>
      </c>
      <c r="C956" s="41" t="s">
        <v>3490</v>
      </c>
      <c r="D956" s="42">
        <v>37740</v>
      </c>
      <c r="E956" s="41">
        <v>1</v>
      </c>
      <c r="F956" s="41">
        <v>1</v>
      </c>
      <c r="G956" s="41" t="s">
        <v>5697</v>
      </c>
      <c r="H956" s="41">
        <v>1</v>
      </c>
    </row>
    <row r="957" spans="1:8" ht="16" x14ac:dyDescent="0.2">
      <c r="A957" s="41" t="s">
        <v>676</v>
      </c>
      <c r="B957" s="41" t="s">
        <v>5698</v>
      </c>
      <c r="C957" s="41" t="s">
        <v>3490</v>
      </c>
      <c r="D957" s="42">
        <v>36523</v>
      </c>
      <c r="E957" s="41">
        <v>1</v>
      </c>
      <c r="F957" s="41">
        <v>1</v>
      </c>
      <c r="G957" s="41" t="s">
        <v>5699</v>
      </c>
      <c r="H957" s="41">
        <v>1</v>
      </c>
    </row>
    <row r="958" spans="1:8" ht="16" x14ac:dyDescent="0.2">
      <c r="A958" s="41" t="s">
        <v>677</v>
      </c>
      <c r="B958" s="41" t="s">
        <v>5700</v>
      </c>
      <c r="C958" s="41" t="s">
        <v>3490</v>
      </c>
      <c r="D958" s="42">
        <v>39073</v>
      </c>
      <c r="E958" s="41">
        <v>5</v>
      </c>
      <c r="F958" s="41">
        <v>1</v>
      </c>
      <c r="G958" s="41" t="s">
        <v>5701</v>
      </c>
      <c r="H958" s="41">
        <v>5</v>
      </c>
    </row>
    <row r="959" spans="1:8" ht="16" x14ac:dyDescent="0.2">
      <c r="A959" s="41" t="s">
        <v>678</v>
      </c>
      <c r="B959" s="41" t="s">
        <v>5702</v>
      </c>
      <c r="C959" s="41" t="s">
        <v>3490</v>
      </c>
      <c r="D959" s="42">
        <v>40507</v>
      </c>
      <c r="E959" s="41">
        <v>1</v>
      </c>
      <c r="F959" s="41">
        <v>1</v>
      </c>
      <c r="G959" s="41" t="s">
        <v>5703</v>
      </c>
      <c r="H959" s="41">
        <v>1</v>
      </c>
    </row>
    <row r="960" spans="1:8" ht="16" x14ac:dyDescent="0.2">
      <c r="A960" s="41" t="s">
        <v>679</v>
      </c>
      <c r="B960" s="41" t="s">
        <v>5704</v>
      </c>
      <c r="C960" s="41" t="s">
        <v>3490</v>
      </c>
      <c r="D960" s="42">
        <v>45159</v>
      </c>
      <c r="E960" s="41">
        <v>10</v>
      </c>
      <c r="F960" s="41">
        <v>1</v>
      </c>
      <c r="G960" s="41" t="s">
        <v>5705</v>
      </c>
      <c r="H960" s="41">
        <v>10</v>
      </c>
    </row>
    <row r="961" spans="1:8" ht="16" x14ac:dyDescent="0.2">
      <c r="A961" s="41" t="s">
        <v>5706</v>
      </c>
      <c r="B961" s="41" t="s">
        <v>5707</v>
      </c>
      <c r="C961" s="41" t="s">
        <v>3490</v>
      </c>
      <c r="D961" s="42">
        <v>40877</v>
      </c>
      <c r="E961" s="41">
        <v>2</v>
      </c>
      <c r="F961" s="41">
        <v>1</v>
      </c>
      <c r="G961" s="41" t="s">
        <v>5708</v>
      </c>
      <c r="H961" s="41">
        <v>2</v>
      </c>
    </row>
    <row r="962" spans="1:8" ht="16" x14ac:dyDescent="0.2">
      <c r="A962" s="41" t="s">
        <v>680</v>
      </c>
      <c r="B962" s="41" t="s">
        <v>5707</v>
      </c>
      <c r="C962" s="41" t="s">
        <v>3490</v>
      </c>
      <c r="D962" s="42">
        <v>37116</v>
      </c>
      <c r="E962" s="41">
        <v>2</v>
      </c>
      <c r="F962" s="41">
        <v>1</v>
      </c>
      <c r="G962" s="41" t="s">
        <v>5709</v>
      </c>
      <c r="H962" s="41">
        <v>2</v>
      </c>
    </row>
    <row r="963" spans="1:8" ht="16" x14ac:dyDescent="0.2">
      <c r="A963" s="41" t="s">
        <v>681</v>
      </c>
      <c r="B963" s="41" t="s">
        <v>5710</v>
      </c>
      <c r="C963" s="41" t="s">
        <v>3490</v>
      </c>
      <c r="D963" s="42">
        <v>42793</v>
      </c>
      <c r="E963" s="41">
        <v>2</v>
      </c>
      <c r="F963" s="41">
        <v>1</v>
      </c>
      <c r="G963" s="41" t="s">
        <v>5711</v>
      </c>
      <c r="H963" s="41">
        <v>2</v>
      </c>
    </row>
    <row r="964" spans="1:8" ht="16" x14ac:dyDescent="0.2">
      <c r="A964" s="41" t="s">
        <v>682</v>
      </c>
      <c r="B964" s="41" t="s">
        <v>5712</v>
      </c>
      <c r="C964" s="41" t="s">
        <v>3490</v>
      </c>
      <c r="D964" s="42">
        <v>38790</v>
      </c>
      <c r="E964" s="41">
        <v>10</v>
      </c>
      <c r="F964" s="41">
        <v>1</v>
      </c>
      <c r="G964" s="41" t="s">
        <v>5713</v>
      </c>
      <c r="H964" s="41">
        <v>10</v>
      </c>
    </row>
    <row r="965" spans="1:8" ht="16" x14ac:dyDescent="0.2">
      <c r="A965" s="41" t="s">
        <v>683</v>
      </c>
      <c r="B965" s="41" t="s">
        <v>5714</v>
      </c>
      <c r="C965" s="41" t="s">
        <v>3490</v>
      </c>
      <c r="D965" s="42">
        <v>39490</v>
      </c>
      <c r="E965" s="41">
        <v>5</v>
      </c>
      <c r="F965" s="41">
        <v>1</v>
      </c>
      <c r="G965" s="41" t="s">
        <v>5715</v>
      </c>
      <c r="H965" s="41">
        <v>5</v>
      </c>
    </row>
    <row r="966" spans="1:8" ht="16" x14ac:dyDescent="0.2">
      <c r="A966" s="41" t="s">
        <v>684</v>
      </c>
      <c r="B966" s="41" t="s">
        <v>5716</v>
      </c>
      <c r="C966" s="41" t="s">
        <v>3490</v>
      </c>
      <c r="D966" s="42">
        <v>38887</v>
      </c>
      <c r="E966" s="41">
        <v>5</v>
      </c>
      <c r="F966" s="41">
        <v>1</v>
      </c>
      <c r="G966" s="41" t="s">
        <v>5717</v>
      </c>
      <c r="H966" s="41">
        <v>5</v>
      </c>
    </row>
    <row r="967" spans="1:8" ht="16" x14ac:dyDescent="0.2">
      <c r="A967" s="41" t="s">
        <v>685</v>
      </c>
      <c r="B967" s="41" t="s">
        <v>5718</v>
      </c>
      <c r="C967" s="41" t="s">
        <v>3490</v>
      </c>
      <c r="D967" s="42">
        <v>38519</v>
      </c>
      <c r="E967" s="41">
        <v>10</v>
      </c>
      <c r="F967" s="41">
        <v>1</v>
      </c>
      <c r="G967" s="41" t="s">
        <v>5719</v>
      </c>
      <c r="H967" s="41">
        <v>10</v>
      </c>
    </row>
    <row r="968" spans="1:8" ht="16" x14ac:dyDescent="0.2">
      <c r="A968" s="41" t="s">
        <v>686</v>
      </c>
      <c r="B968" s="41" t="s">
        <v>5720</v>
      </c>
      <c r="C968" s="41" t="s">
        <v>3490</v>
      </c>
      <c r="D968" s="42">
        <v>39160</v>
      </c>
      <c r="E968" s="41">
        <v>2</v>
      </c>
      <c r="F968" s="41">
        <v>1</v>
      </c>
      <c r="G968" s="41" t="s">
        <v>5721</v>
      </c>
      <c r="H968" s="41">
        <v>2</v>
      </c>
    </row>
    <row r="969" spans="1:8" ht="16" x14ac:dyDescent="0.2">
      <c r="A969" s="41" t="s">
        <v>687</v>
      </c>
      <c r="B969" s="41" t="s">
        <v>5722</v>
      </c>
      <c r="C969" s="41" t="s">
        <v>3490</v>
      </c>
      <c r="D969" s="42">
        <v>45187</v>
      </c>
      <c r="E969" s="41">
        <v>10</v>
      </c>
      <c r="F969" s="41">
        <v>1</v>
      </c>
      <c r="G969" s="41" t="s">
        <v>5723</v>
      </c>
      <c r="H969" s="41">
        <v>10</v>
      </c>
    </row>
    <row r="970" spans="1:8" ht="16" x14ac:dyDescent="0.2">
      <c r="A970" s="41" t="s">
        <v>5724</v>
      </c>
      <c r="B970" s="41" t="s">
        <v>5725</v>
      </c>
      <c r="C970" s="41" t="s">
        <v>3490</v>
      </c>
      <c r="D970" s="42">
        <v>42079</v>
      </c>
      <c r="E970" s="41">
        <v>2</v>
      </c>
      <c r="F970" s="41">
        <v>1</v>
      </c>
      <c r="G970" s="41" t="s">
        <v>5726</v>
      </c>
      <c r="H970" s="41">
        <v>2</v>
      </c>
    </row>
    <row r="971" spans="1:8" ht="16" x14ac:dyDescent="0.2">
      <c r="A971" s="41" t="s">
        <v>688</v>
      </c>
      <c r="B971" s="41" t="s">
        <v>5727</v>
      </c>
      <c r="C971" s="41" t="s">
        <v>3490</v>
      </c>
      <c r="D971" s="42">
        <v>39000</v>
      </c>
      <c r="E971" s="41">
        <v>1</v>
      </c>
      <c r="F971" s="41">
        <v>1</v>
      </c>
      <c r="G971" s="41" t="s">
        <v>5728</v>
      </c>
      <c r="H971" s="41">
        <v>1</v>
      </c>
    </row>
    <row r="972" spans="1:8" ht="16" x14ac:dyDescent="0.2">
      <c r="A972" s="41" t="s">
        <v>689</v>
      </c>
      <c r="B972" s="41" t="s">
        <v>5729</v>
      </c>
      <c r="C972" s="41" t="s">
        <v>3490</v>
      </c>
      <c r="D972" s="42">
        <v>45412</v>
      </c>
      <c r="E972" s="41">
        <v>2</v>
      </c>
      <c r="F972" s="41">
        <v>1</v>
      </c>
      <c r="G972" s="41" t="s">
        <v>5730</v>
      </c>
      <c r="H972" s="41">
        <v>2</v>
      </c>
    </row>
    <row r="973" spans="1:8" ht="16" x14ac:dyDescent="0.2">
      <c r="A973" s="41" t="s">
        <v>5731</v>
      </c>
      <c r="B973" s="41" t="s">
        <v>5732</v>
      </c>
      <c r="C973" s="41" t="s">
        <v>3490</v>
      </c>
      <c r="D973" s="42">
        <v>39729</v>
      </c>
      <c r="E973" s="41">
        <v>10</v>
      </c>
      <c r="F973" s="41">
        <v>1</v>
      </c>
      <c r="G973" s="41" t="s">
        <v>5733</v>
      </c>
      <c r="H973" s="41">
        <v>10</v>
      </c>
    </row>
    <row r="974" spans="1:8" ht="16" x14ac:dyDescent="0.2">
      <c r="A974" s="41" t="s">
        <v>691</v>
      </c>
      <c r="B974" s="41" t="s">
        <v>5734</v>
      </c>
      <c r="C974" s="41" t="s">
        <v>3490</v>
      </c>
      <c r="D974" s="42">
        <v>41589</v>
      </c>
      <c r="E974" s="41">
        <v>10</v>
      </c>
      <c r="F974" s="41">
        <v>1</v>
      </c>
      <c r="G974" s="41" t="s">
        <v>5735</v>
      </c>
      <c r="H974" s="41">
        <v>10</v>
      </c>
    </row>
    <row r="975" spans="1:8" ht="16" x14ac:dyDescent="0.2">
      <c r="A975" s="41" t="s">
        <v>692</v>
      </c>
      <c r="B975" s="41" t="s">
        <v>5736</v>
      </c>
      <c r="C975" s="41" t="s">
        <v>3490</v>
      </c>
      <c r="D975" s="42">
        <v>38460</v>
      </c>
      <c r="E975" s="41">
        <v>10</v>
      </c>
      <c r="F975" s="41">
        <v>1</v>
      </c>
      <c r="G975" s="41" t="s">
        <v>5737</v>
      </c>
      <c r="H975" s="41">
        <v>10</v>
      </c>
    </row>
    <row r="976" spans="1:8" ht="16" x14ac:dyDescent="0.2">
      <c r="A976" s="41" t="s">
        <v>693</v>
      </c>
      <c r="B976" s="41" t="s">
        <v>5738</v>
      </c>
      <c r="C976" s="41" t="s">
        <v>3490</v>
      </c>
      <c r="D976" s="42">
        <v>45336</v>
      </c>
      <c r="E976" s="41">
        <v>10</v>
      </c>
      <c r="F976" s="41">
        <v>1</v>
      </c>
      <c r="G976" s="41" t="s">
        <v>5739</v>
      </c>
      <c r="H976" s="41">
        <v>10</v>
      </c>
    </row>
    <row r="977" spans="1:8" ht="16" x14ac:dyDescent="0.2">
      <c r="A977" s="41" t="s">
        <v>694</v>
      </c>
      <c r="B977" s="41" t="s">
        <v>5740</v>
      </c>
      <c r="C977" s="41" t="s">
        <v>3490</v>
      </c>
      <c r="D977" s="42">
        <v>37942</v>
      </c>
      <c r="E977" s="41">
        <v>2</v>
      </c>
      <c r="F977" s="41">
        <v>1</v>
      </c>
      <c r="G977" s="41" t="s">
        <v>5741</v>
      </c>
      <c r="H977" s="41">
        <v>2</v>
      </c>
    </row>
    <row r="978" spans="1:8" ht="16" x14ac:dyDescent="0.2">
      <c r="A978" s="41" t="s">
        <v>695</v>
      </c>
      <c r="B978" s="41" t="s">
        <v>5742</v>
      </c>
      <c r="C978" s="41" t="s">
        <v>3490</v>
      </c>
      <c r="D978" s="42">
        <v>45880</v>
      </c>
      <c r="E978" s="41">
        <v>2</v>
      </c>
      <c r="F978" s="41">
        <v>1</v>
      </c>
      <c r="G978" s="41" t="s">
        <v>5743</v>
      </c>
      <c r="H978" s="41">
        <v>2</v>
      </c>
    </row>
    <row r="979" spans="1:8" ht="16" x14ac:dyDescent="0.2">
      <c r="A979" s="41" t="s">
        <v>5744</v>
      </c>
      <c r="B979" s="41" t="s">
        <v>5745</v>
      </c>
      <c r="C979" s="41" t="s">
        <v>3490</v>
      </c>
      <c r="D979" s="42">
        <v>45883</v>
      </c>
      <c r="E979" s="41">
        <v>10</v>
      </c>
      <c r="F979" s="41">
        <v>1</v>
      </c>
      <c r="G979" s="41" t="s">
        <v>5746</v>
      </c>
      <c r="H979" s="41">
        <v>10</v>
      </c>
    </row>
    <row r="980" spans="1:8" ht="16" x14ac:dyDescent="0.2">
      <c r="A980" s="41" t="s">
        <v>696</v>
      </c>
      <c r="B980" s="41" t="s">
        <v>5747</v>
      </c>
      <c r="C980" s="41" t="s">
        <v>3490</v>
      </c>
      <c r="D980" s="42">
        <v>40182</v>
      </c>
      <c r="E980" s="41">
        <v>10</v>
      </c>
      <c r="F980" s="41">
        <v>1</v>
      </c>
      <c r="G980" s="41" t="s">
        <v>5748</v>
      </c>
      <c r="H980" s="41">
        <v>10</v>
      </c>
    </row>
    <row r="981" spans="1:8" ht="16" x14ac:dyDescent="0.2">
      <c r="A981" s="41" t="s">
        <v>697</v>
      </c>
      <c r="B981" s="41" t="s">
        <v>5749</v>
      </c>
      <c r="C981" s="41" t="s">
        <v>3490</v>
      </c>
      <c r="D981" s="42">
        <v>38524</v>
      </c>
      <c r="E981" s="41">
        <v>10</v>
      </c>
      <c r="F981" s="41">
        <v>1</v>
      </c>
      <c r="G981" s="41" t="s">
        <v>5750</v>
      </c>
      <c r="H981" s="41">
        <v>10</v>
      </c>
    </row>
    <row r="982" spans="1:8" ht="16" x14ac:dyDescent="0.2">
      <c r="A982" s="41" t="s">
        <v>698</v>
      </c>
      <c r="B982" s="41" t="s">
        <v>5751</v>
      </c>
      <c r="C982" s="41" t="s">
        <v>3490</v>
      </c>
      <c r="D982" s="42">
        <v>45202</v>
      </c>
      <c r="E982" s="41">
        <v>2</v>
      </c>
      <c r="F982" s="41">
        <v>1</v>
      </c>
      <c r="G982" s="41" t="s">
        <v>5752</v>
      </c>
      <c r="H982" s="41">
        <v>2</v>
      </c>
    </row>
    <row r="983" spans="1:8" ht="16" x14ac:dyDescent="0.2">
      <c r="A983" s="41" t="s">
        <v>699</v>
      </c>
      <c r="B983" s="41" t="s">
        <v>5753</v>
      </c>
      <c r="C983" s="41" t="s">
        <v>3490</v>
      </c>
      <c r="D983" s="42">
        <v>38434</v>
      </c>
      <c r="E983" s="41">
        <v>1</v>
      </c>
      <c r="F983" s="41">
        <v>1</v>
      </c>
      <c r="G983" s="41" t="s">
        <v>5754</v>
      </c>
      <c r="H983" s="41">
        <v>1</v>
      </c>
    </row>
    <row r="984" spans="1:8" ht="16" x14ac:dyDescent="0.2">
      <c r="A984" s="41" t="s">
        <v>700</v>
      </c>
      <c r="B984" s="41" t="s">
        <v>5755</v>
      </c>
      <c r="C984" s="41" t="s">
        <v>3490</v>
      </c>
      <c r="D984" s="42">
        <v>37998</v>
      </c>
      <c r="E984" s="41">
        <v>1</v>
      </c>
      <c r="F984" s="41">
        <v>1</v>
      </c>
      <c r="G984" s="41" t="s">
        <v>5756</v>
      </c>
      <c r="H984" s="41">
        <v>1</v>
      </c>
    </row>
    <row r="985" spans="1:8" ht="16" x14ac:dyDescent="0.2">
      <c r="A985" s="41" t="s">
        <v>701</v>
      </c>
      <c r="B985" s="41" t="s">
        <v>5757</v>
      </c>
      <c r="C985" s="41" t="s">
        <v>3490</v>
      </c>
      <c r="D985" s="42">
        <v>45089</v>
      </c>
      <c r="E985" s="41">
        <v>1</v>
      </c>
      <c r="F985" s="41">
        <v>1</v>
      </c>
      <c r="G985" s="41" t="s">
        <v>5758</v>
      </c>
      <c r="H985" s="41">
        <v>1</v>
      </c>
    </row>
    <row r="986" spans="1:8" ht="16" x14ac:dyDescent="0.2">
      <c r="A986" s="41" t="s">
        <v>5759</v>
      </c>
      <c r="B986" s="41" t="s">
        <v>5760</v>
      </c>
      <c r="C986" s="41" t="s">
        <v>3490</v>
      </c>
      <c r="D986" s="42">
        <v>45702</v>
      </c>
      <c r="E986" s="41">
        <v>10</v>
      </c>
      <c r="F986" s="41">
        <v>1</v>
      </c>
      <c r="G986" s="41" t="s">
        <v>5761</v>
      </c>
      <c r="H986" s="41">
        <v>10</v>
      </c>
    </row>
    <row r="987" spans="1:8" ht="16" x14ac:dyDescent="0.2">
      <c r="A987" s="41" t="s">
        <v>702</v>
      </c>
      <c r="B987" s="41" t="s">
        <v>5762</v>
      </c>
      <c r="C987" s="41" t="s">
        <v>3490</v>
      </c>
      <c r="D987" s="42">
        <v>40217</v>
      </c>
      <c r="E987" s="41">
        <v>2</v>
      </c>
      <c r="F987" s="41">
        <v>1</v>
      </c>
      <c r="G987" s="41" t="s">
        <v>5763</v>
      </c>
      <c r="H987" s="41">
        <v>2</v>
      </c>
    </row>
    <row r="988" spans="1:8" ht="16" x14ac:dyDescent="0.2">
      <c r="A988" s="41" t="s">
        <v>703</v>
      </c>
      <c r="B988" s="41" t="s">
        <v>5764</v>
      </c>
      <c r="C988" s="41" t="s">
        <v>3490</v>
      </c>
      <c r="D988" s="42">
        <v>44274</v>
      </c>
      <c r="E988" s="41">
        <v>1</v>
      </c>
      <c r="F988" s="41">
        <v>1</v>
      </c>
      <c r="G988" s="41" t="s">
        <v>5765</v>
      </c>
      <c r="H988" s="41">
        <v>1</v>
      </c>
    </row>
    <row r="989" spans="1:8" ht="16" x14ac:dyDescent="0.2">
      <c r="A989" s="41" t="s">
        <v>704</v>
      </c>
      <c r="B989" s="41" t="s">
        <v>5766</v>
      </c>
      <c r="C989" s="41" t="s">
        <v>3490</v>
      </c>
      <c r="D989" s="42">
        <v>37788</v>
      </c>
      <c r="E989" s="41">
        <v>1</v>
      </c>
      <c r="F989" s="41">
        <v>1</v>
      </c>
      <c r="G989" s="41" t="s">
        <v>5767</v>
      </c>
      <c r="H989" s="41">
        <v>1</v>
      </c>
    </row>
    <row r="990" spans="1:8" ht="16" x14ac:dyDescent="0.2">
      <c r="A990" s="41" t="s">
        <v>705</v>
      </c>
      <c r="B990" s="41" t="s">
        <v>5768</v>
      </c>
      <c r="C990" s="41" t="s">
        <v>3490</v>
      </c>
      <c r="D990" s="42">
        <v>45350</v>
      </c>
      <c r="E990" s="41">
        <v>10</v>
      </c>
      <c r="F990" s="41">
        <v>1</v>
      </c>
      <c r="G990" s="41" t="s">
        <v>5769</v>
      </c>
      <c r="H990" s="41">
        <v>10</v>
      </c>
    </row>
    <row r="991" spans="1:8" ht="16" x14ac:dyDescent="0.2">
      <c r="A991" s="41" t="s">
        <v>706</v>
      </c>
      <c r="B991" s="41" t="s">
        <v>5770</v>
      </c>
      <c r="C991" s="41" t="s">
        <v>3490</v>
      </c>
      <c r="D991" s="42">
        <v>41430</v>
      </c>
      <c r="E991" s="41">
        <v>10</v>
      </c>
      <c r="F991" s="41">
        <v>1</v>
      </c>
      <c r="G991" s="41" t="s">
        <v>5771</v>
      </c>
      <c r="H991" s="41">
        <v>10</v>
      </c>
    </row>
    <row r="992" spans="1:8" ht="16" x14ac:dyDescent="0.2">
      <c r="A992" s="41" t="s">
        <v>707</v>
      </c>
      <c r="B992" s="41" t="s">
        <v>5772</v>
      </c>
      <c r="C992" s="41" t="s">
        <v>3490</v>
      </c>
      <c r="D992" s="42">
        <v>40469</v>
      </c>
      <c r="E992" s="41">
        <v>10</v>
      </c>
      <c r="F992" s="41">
        <v>1</v>
      </c>
      <c r="G992" s="41" t="s">
        <v>5773</v>
      </c>
      <c r="H992" s="41">
        <v>10</v>
      </c>
    </row>
    <row r="993" spans="1:8" ht="16" x14ac:dyDescent="0.2">
      <c r="A993" s="41" t="s">
        <v>708</v>
      </c>
      <c r="B993" s="41" t="s">
        <v>5774</v>
      </c>
      <c r="C993" s="41" t="s">
        <v>3490</v>
      </c>
      <c r="D993" s="42">
        <v>39435</v>
      </c>
      <c r="E993" s="41">
        <v>1</v>
      </c>
      <c r="F993" s="41">
        <v>1</v>
      </c>
      <c r="G993" s="41" t="s">
        <v>5775</v>
      </c>
      <c r="H993" s="41">
        <v>1</v>
      </c>
    </row>
    <row r="994" spans="1:8" ht="16" x14ac:dyDescent="0.2">
      <c r="A994" s="41" t="s">
        <v>709</v>
      </c>
      <c r="B994" s="41" t="s">
        <v>5776</v>
      </c>
      <c r="C994" s="41" t="s">
        <v>3490</v>
      </c>
      <c r="D994" s="42">
        <v>45307</v>
      </c>
      <c r="E994" s="41">
        <v>2</v>
      </c>
      <c r="F994" s="41">
        <v>1</v>
      </c>
      <c r="G994" s="41" t="s">
        <v>5777</v>
      </c>
      <c r="H994" s="41">
        <v>2</v>
      </c>
    </row>
    <row r="995" spans="1:8" ht="16" x14ac:dyDescent="0.2">
      <c r="A995" s="41" t="s">
        <v>710</v>
      </c>
      <c r="B995" s="41" t="s">
        <v>5778</v>
      </c>
      <c r="C995" s="41" t="s">
        <v>3490</v>
      </c>
      <c r="D995" s="42">
        <v>34899</v>
      </c>
      <c r="E995" s="41">
        <v>2</v>
      </c>
      <c r="F995" s="41">
        <v>1</v>
      </c>
      <c r="G995" s="41" t="s">
        <v>5779</v>
      </c>
      <c r="H995" s="41">
        <v>2</v>
      </c>
    </row>
    <row r="996" spans="1:8" ht="16" x14ac:dyDescent="0.2">
      <c r="A996" s="41" t="s">
        <v>711</v>
      </c>
      <c r="B996" s="41" t="s">
        <v>5780</v>
      </c>
      <c r="C996" s="41" t="s">
        <v>3490</v>
      </c>
      <c r="D996" s="42">
        <v>34948</v>
      </c>
      <c r="E996" s="41">
        <v>5</v>
      </c>
      <c r="F996" s="41">
        <v>1</v>
      </c>
      <c r="G996" s="41" t="s">
        <v>5781</v>
      </c>
      <c r="H996" s="41">
        <v>5</v>
      </c>
    </row>
    <row r="997" spans="1:8" ht="16" x14ac:dyDescent="0.2">
      <c r="A997" s="41" t="s">
        <v>712</v>
      </c>
      <c r="B997" s="41" t="s">
        <v>5782</v>
      </c>
      <c r="C997" s="41" t="s">
        <v>3490</v>
      </c>
      <c r="D997" s="42">
        <v>38139</v>
      </c>
      <c r="E997" s="41">
        <v>1</v>
      </c>
      <c r="F997" s="41">
        <v>1</v>
      </c>
      <c r="G997" s="41" t="s">
        <v>5783</v>
      </c>
      <c r="H997" s="41">
        <v>1</v>
      </c>
    </row>
    <row r="998" spans="1:8" ht="16" x14ac:dyDescent="0.2">
      <c r="A998" s="41" t="s">
        <v>5784</v>
      </c>
      <c r="B998" s="41" t="s">
        <v>5785</v>
      </c>
      <c r="C998" s="41" t="s">
        <v>3490</v>
      </c>
      <c r="D998" s="42">
        <v>35046</v>
      </c>
      <c r="E998" s="41">
        <v>10</v>
      </c>
      <c r="F998" s="41">
        <v>1</v>
      </c>
      <c r="G998" s="41" t="s">
        <v>5786</v>
      </c>
      <c r="H998" s="41">
        <v>10</v>
      </c>
    </row>
    <row r="999" spans="1:8" ht="16" x14ac:dyDescent="0.2">
      <c r="A999" s="41" t="s">
        <v>713</v>
      </c>
      <c r="B999" s="41" t="s">
        <v>5787</v>
      </c>
      <c r="C999" s="41" t="s">
        <v>3490</v>
      </c>
      <c r="D999" s="42">
        <v>45196</v>
      </c>
      <c r="E999" s="41">
        <v>2</v>
      </c>
      <c r="F999" s="41">
        <v>1</v>
      </c>
      <c r="G999" s="41" t="s">
        <v>5788</v>
      </c>
      <c r="H999" s="41">
        <v>2</v>
      </c>
    </row>
    <row r="1000" spans="1:8" ht="16" x14ac:dyDescent="0.2">
      <c r="A1000" s="41" t="s">
        <v>5789</v>
      </c>
      <c r="B1000" s="41" t="s">
        <v>5790</v>
      </c>
      <c r="C1000" s="41" t="s">
        <v>3490</v>
      </c>
      <c r="D1000" s="42">
        <v>45839</v>
      </c>
      <c r="E1000" s="41">
        <v>10</v>
      </c>
      <c r="F1000" s="41">
        <v>1</v>
      </c>
      <c r="G1000" s="41" t="s">
        <v>5791</v>
      </c>
      <c r="H1000" s="41">
        <v>10</v>
      </c>
    </row>
    <row r="1001" spans="1:8" ht="16" x14ac:dyDescent="0.2">
      <c r="A1001" s="41" t="s">
        <v>5792</v>
      </c>
      <c r="B1001" s="41" t="s">
        <v>5793</v>
      </c>
      <c r="C1001" s="41" t="s">
        <v>3510</v>
      </c>
      <c r="D1001" s="42">
        <v>42779</v>
      </c>
      <c r="E1001" s="41">
        <v>10</v>
      </c>
      <c r="F1001" s="41">
        <v>1</v>
      </c>
      <c r="G1001" s="41" t="s">
        <v>5794</v>
      </c>
      <c r="H1001" s="41">
        <v>10</v>
      </c>
    </row>
    <row r="1002" spans="1:8" ht="16" x14ac:dyDescent="0.2">
      <c r="A1002" s="41" t="s">
        <v>5795</v>
      </c>
      <c r="B1002" s="41" t="s">
        <v>5796</v>
      </c>
      <c r="C1002" s="41" t="s">
        <v>3490</v>
      </c>
      <c r="D1002" s="42">
        <v>39436</v>
      </c>
      <c r="E1002" s="41">
        <v>10</v>
      </c>
      <c r="F1002" s="41">
        <v>1</v>
      </c>
      <c r="G1002" s="41" t="s">
        <v>5797</v>
      </c>
      <c r="H1002" s="41">
        <v>10</v>
      </c>
    </row>
    <row r="1003" spans="1:8" ht="16" x14ac:dyDescent="0.2">
      <c r="A1003" s="41" t="s">
        <v>714</v>
      </c>
      <c r="B1003" s="41" t="s">
        <v>5798</v>
      </c>
      <c r="C1003" s="41" t="s">
        <v>3490</v>
      </c>
      <c r="D1003" s="42">
        <v>44281</v>
      </c>
      <c r="E1003" s="41">
        <v>10</v>
      </c>
      <c r="F1003" s="41">
        <v>1</v>
      </c>
      <c r="G1003" s="41" t="s">
        <v>5799</v>
      </c>
      <c r="H1003" s="41">
        <v>10</v>
      </c>
    </row>
    <row r="1004" spans="1:8" ht="16" x14ac:dyDescent="0.2">
      <c r="A1004" s="41" t="s">
        <v>715</v>
      </c>
      <c r="B1004" s="41" t="s">
        <v>5800</v>
      </c>
      <c r="C1004" s="41" t="s">
        <v>3490</v>
      </c>
      <c r="D1004" s="42">
        <v>35214</v>
      </c>
      <c r="E1004" s="41">
        <v>10</v>
      </c>
      <c r="F1004" s="41">
        <v>1</v>
      </c>
      <c r="G1004" s="41" t="s">
        <v>5801</v>
      </c>
      <c r="H1004" s="41">
        <v>10</v>
      </c>
    </row>
    <row r="1005" spans="1:8" ht="16" x14ac:dyDescent="0.2">
      <c r="A1005" s="41" t="s">
        <v>716</v>
      </c>
      <c r="B1005" s="41" t="s">
        <v>5802</v>
      </c>
      <c r="C1005" s="41" t="s">
        <v>3490</v>
      </c>
      <c r="D1005" s="42">
        <v>38846</v>
      </c>
      <c r="E1005" s="41">
        <v>1</v>
      </c>
      <c r="F1005" s="41">
        <v>1</v>
      </c>
      <c r="G1005" s="41" t="s">
        <v>5803</v>
      </c>
      <c r="H1005" s="41">
        <v>1</v>
      </c>
    </row>
    <row r="1006" spans="1:8" ht="16" x14ac:dyDescent="0.2">
      <c r="A1006" s="41" t="s">
        <v>717</v>
      </c>
      <c r="B1006" s="41" t="s">
        <v>5804</v>
      </c>
      <c r="C1006" s="41" t="s">
        <v>3490</v>
      </c>
      <c r="D1006" s="42">
        <v>44950</v>
      </c>
      <c r="E1006" s="41">
        <v>1</v>
      </c>
      <c r="F1006" s="41">
        <v>1</v>
      </c>
      <c r="G1006" s="41" t="s">
        <v>5805</v>
      </c>
      <c r="H1006" s="41">
        <v>1</v>
      </c>
    </row>
    <row r="1007" spans="1:8" ht="16" x14ac:dyDescent="0.2">
      <c r="A1007" s="41" t="s">
        <v>5806</v>
      </c>
      <c r="B1007" s="41" t="s">
        <v>5807</v>
      </c>
      <c r="C1007" s="41" t="s">
        <v>3490</v>
      </c>
      <c r="D1007" s="42">
        <v>40891</v>
      </c>
      <c r="E1007" s="41">
        <v>1</v>
      </c>
      <c r="F1007" s="41">
        <v>1</v>
      </c>
      <c r="G1007" s="41" t="s">
        <v>5808</v>
      </c>
      <c r="H1007" s="41">
        <v>1</v>
      </c>
    </row>
    <row r="1008" spans="1:8" ht="16" x14ac:dyDescent="0.2">
      <c r="A1008" s="41" t="s">
        <v>718</v>
      </c>
      <c r="B1008" s="41" t="s">
        <v>5809</v>
      </c>
      <c r="C1008" s="41" t="s">
        <v>3490</v>
      </c>
      <c r="D1008" s="42">
        <v>34738</v>
      </c>
      <c r="E1008" s="41">
        <v>5</v>
      </c>
      <c r="F1008" s="41">
        <v>1</v>
      </c>
      <c r="G1008" s="41" t="s">
        <v>5810</v>
      </c>
      <c r="H1008" s="41">
        <v>5</v>
      </c>
    </row>
    <row r="1009" spans="1:8" ht="16" x14ac:dyDescent="0.2">
      <c r="A1009" s="41" t="s">
        <v>5811</v>
      </c>
      <c r="B1009" s="41" t="s">
        <v>5812</v>
      </c>
      <c r="C1009" s="41" t="s">
        <v>3490</v>
      </c>
      <c r="D1009" s="42">
        <v>44197</v>
      </c>
      <c r="E1009" s="41">
        <v>10</v>
      </c>
      <c r="F1009" s="41">
        <v>1</v>
      </c>
      <c r="G1009" s="41" t="s">
        <v>5813</v>
      </c>
      <c r="H1009" s="41">
        <v>10</v>
      </c>
    </row>
    <row r="1010" spans="1:8" ht="16" x14ac:dyDescent="0.2">
      <c r="A1010" s="41" t="s">
        <v>719</v>
      </c>
      <c r="B1010" s="41" t="s">
        <v>5814</v>
      </c>
      <c r="C1010" s="41" t="s">
        <v>3490</v>
      </c>
      <c r="D1010" s="42">
        <v>37879</v>
      </c>
      <c r="E1010" s="41">
        <v>1</v>
      </c>
      <c r="F1010" s="41">
        <v>1</v>
      </c>
      <c r="G1010" s="41" t="s">
        <v>5815</v>
      </c>
      <c r="H1010" s="41">
        <v>1</v>
      </c>
    </row>
    <row r="1011" spans="1:8" ht="16" x14ac:dyDescent="0.2">
      <c r="A1011" s="41" t="s">
        <v>5816</v>
      </c>
      <c r="B1011" s="41" t="s">
        <v>5817</v>
      </c>
      <c r="C1011" s="41" t="s">
        <v>3490</v>
      </c>
      <c r="D1011" s="42">
        <v>43978</v>
      </c>
      <c r="E1011" s="41">
        <v>5</v>
      </c>
      <c r="F1011" s="41">
        <v>1</v>
      </c>
      <c r="G1011" s="41" t="s">
        <v>5818</v>
      </c>
      <c r="H1011" s="41">
        <v>5</v>
      </c>
    </row>
    <row r="1012" spans="1:8" ht="16" x14ac:dyDescent="0.2">
      <c r="A1012" s="41" t="s">
        <v>5819</v>
      </c>
      <c r="B1012" s="41" t="s">
        <v>5820</v>
      </c>
      <c r="C1012" s="41" t="s">
        <v>3510</v>
      </c>
      <c r="D1012" s="42">
        <v>40722</v>
      </c>
      <c r="E1012" s="41">
        <v>10</v>
      </c>
      <c r="F1012" s="41">
        <v>1</v>
      </c>
      <c r="G1012" s="41" t="s">
        <v>5821</v>
      </c>
      <c r="H1012" s="41">
        <v>10</v>
      </c>
    </row>
    <row r="1013" spans="1:8" ht="16" x14ac:dyDescent="0.2">
      <c r="A1013" s="41" t="s">
        <v>720</v>
      </c>
      <c r="B1013" s="41" t="s">
        <v>5822</v>
      </c>
      <c r="C1013" s="41" t="s">
        <v>3490</v>
      </c>
      <c r="D1013" s="42">
        <v>36733</v>
      </c>
      <c r="E1013" s="41">
        <v>2</v>
      </c>
      <c r="F1013" s="41">
        <v>1</v>
      </c>
      <c r="G1013" s="41" t="s">
        <v>5823</v>
      </c>
      <c r="H1013" s="41">
        <v>2</v>
      </c>
    </row>
    <row r="1014" spans="1:8" ht="16" x14ac:dyDescent="0.2">
      <c r="A1014" s="41" t="s">
        <v>5824</v>
      </c>
      <c r="B1014" s="41" t="s">
        <v>5825</v>
      </c>
      <c r="C1014" s="41" t="s">
        <v>3490</v>
      </c>
      <c r="D1014" s="42">
        <v>39430</v>
      </c>
      <c r="E1014" s="41">
        <v>1000</v>
      </c>
      <c r="F1014" s="41">
        <v>1</v>
      </c>
      <c r="G1014" s="41" t="s">
        <v>5826</v>
      </c>
      <c r="H1014" s="41">
        <v>1000</v>
      </c>
    </row>
    <row r="1015" spans="1:8" ht="16" x14ac:dyDescent="0.2">
      <c r="A1015" s="41" t="s">
        <v>5827</v>
      </c>
      <c r="B1015" s="41" t="s">
        <v>5828</v>
      </c>
      <c r="C1015" s="41" t="s">
        <v>3510</v>
      </c>
      <c r="D1015" s="42">
        <v>39476</v>
      </c>
      <c r="E1015" s="41">
        <v>10</v>
      </c>
      <c r="F1015" s="41">
        <v>1</v>
      </c>
      <c r="G1015" s="41" t="s">
        <v>5829</v>
      </c>
      <c r="H1015" s="41">
        <v>10</v>
      </c>
    </row>
    <row r="1016" spans="1:8" ht="16" x14ac:dyDescent="0.2">
      <c r="A1016" s="41" t="s">
        <v>721</v>
      </c>
      <c r="B1016" s="41" t="s">
        <v>5830</v>
      </c>
      <c r="C1016" s="41" t="s">
        <v>3510</v>
      </c>
      <c r="D1016" s="42">
        <v>42230</v>
      </c>
      <c r="E1016" s="41">
        <v>10</v>
      </c>
      <c r="F1016" s="41">
        <v>1</v>
      </c>
      <c r="G1016" s="41" t="s">
        <v>5831</v>
      </c>
      <c r="H1016" s="41">
        <v>10</v>
      </c>
    </row>
    <row r="1017" spans="1:8" ht="16" x14ac:dyDescent="0.2">
      <c r="A1017" s="41" t="s">
        <v>722</v>
      </c>
      <c r="B1017" s="41" t="s">
        <v>5832</v>
      </c>
      <c r="C1017" s="41" t="s">
        <v>3490</v>
      </c>
      <c r="D1017" s="42">
        <v>44887</v>
      </c>
      <c r="E1017" s="41">
        <v>10</v>
      </c>
      <c r="F1017" s="41">
        <v>1</v>
      </c>
      <c r="G1017" s="41" t="s">
        <v>5833</v>
      </c>
      <c r="H1017" s="41">
        <v>10</v>
      </c>
    </row>
    <row r="1018" spans="1:8" ht="16" x14ac:dyDescent="0.2">
      <c r="A1018" s="41" t="s">
        <v>723</v>
      </c>
      <c r="B1018" s="41" t="s">
        <v>5834</v>
      </c>
      <c r="C1018" s="41" t="s">
        <v>3490</v>
      </c>
      <c r="D1018" s="42">
        <v>35529</v>
      </c>
      <c r="E1018" s="41">
        <v>1</v>
      </c>
      <c r="F1018" s="41">
        <v>1</v>
      </c>
      <c r="G1018" s="41" t="s">
        <v>5835</v>
      </c>
      <c r="H1018" s="41">
        <v>1</v>
      </c>
    </row>
    <row r="1019" spans="1:8" ht="16" x14ac:dyDescent="0.2">
      <c r="A1019" s="41" t="s">
        <v>724</v>
      </c>
      <c r="B1019" s="41" t="s">
        <v>5836</v>
      </c>
      <c r="C1019" s="41" t="s">
        <v>3490</v>
      </c>
      <c r="D1019" s="42">
        <v>35592</v>
      </c>
      <c r="E1019" s="41">
        <v>1</v>
      </c>
      <c r="F1019" s="41">
        <v>1</v>
      </c>
      <c r="G1019" s="41" t="s">
        <v>5837</v>
      </c>
      <c r="H1019" s="41">
        <v>1</v>
      </c>
    </row>
    <row r="1020" spans="1:8" ht="16" x14ac:dyDescent="0.2">
      <c r="A1020" s="41" t="s">
        <v>725</v>
      </c>
      <c r="B1020" s="41" t="s">
        <v>5838</v>
      </c>
      <c r="C1020" s="41" t="s">
        <v>3490</v>
      </c>
      <c r="D1020" s="42">
        <v>42452</v>
      </c>
      <c r="E1020" s="41">
        <v>10</v>
      </c>
      <c r="F1020" s="41">
        <v>1</v>
      </c>
      <c r="G1020" s="41" t="s">
        <v>5839</v>
      </c>
      <c r="H1020" s="41">
        <v>10</v>
      </c>
    </row>
    <row r="1021" spans="1:8" ht="16" x14ac:dyDescent="0.2">
      <c r="A1021" s="41" t="s">
        <v>727</v>
      </c>
      <c r="B1021" s="41" t="s">
        <v>5840</v>
      </c>
      <c r="C1021" s="41" t="s">
        <v>3490</v>
      </c>
      <c r="D1021" s="42">
        <v>38786</v>
      </c>
      <c r="E1021" s="41">
        <v>2</v>
      </c>
      <c r="F1021" s="41">
        <v>1</v>
      </c>
      <c r="G1021" s="41" t="s">
        <v>5841</v>
      </c>
      <c r="H1021" s="41">
        <v>2</v>
      </c>
    </row>
    <row r="1022" spans="1:8" ht="16" x14ac:dyDescent="0.2">
      <c r="A1022" s="41" t="s">
        <v>728</v>
      </c>
      <c r="B1022" s="41" t="s">
        <v>5842</v>
      </c>
      <c r="C1022" s="41" t="s">
        <v>3490</v>
      </c>
      <c r="D1022" s="42">
        <v>40246</v>
      </c>
      <c r="E1022" s="41">
        <v>10</v>
      </c>
      <c r="F1022" s="41">
        <v>1</v>
      </c>
      <c r="G1022" s="41" t="s">
        <v>5843</v>
      </c>
      <c r="H1022" s="41">
        <v>10</v>
      </c>
    </row>
    <row r="1023" spans="1:8" ht="16" x14ac:dyDescent="0.2">
      <c r="A1023" s="41" t="s">
        <v>5844</v>
      </c>
      <c r="B1023" s="41" t="s">
        <v>5845</v>
      </c>
      <c r="C1023" s="41" t="s">
        <v>3510</v>
      </c>
      <c r="D1023" s="42">
        <v>34759</v>
      </c>
      <c r="E1023" s="41">
        <v>1</v>
      </c>
      <c r="F1023" s="41">
        <v>1</v>
      </c>
      <c r="G1023" s="41" t="s">
        <v>5846</v>
      </c>
      <c r="H1023" s="41">
        <v>1</v>
      </c>
    </row>
    <row r="1024" spans="1:8" ht="16" x14ac:dyDescent="0.2">
      <c r="A1024" s="41" t="s">
        <v>729</v>
      </c>
      <c r="B1024" s="41" t="s">
        <v>5847</v>
      </c>
      <c r="C1024" s="41" t="s">
        <v>3490</v>
      </c>
      <c r="D1024" s="42">
        <v>38799</v>
      </c>
      <c r="E1024" s="41">
        <v>2</v>
      </c>
      <c r="F1024" s="41">
        <v>1</v>
      </c>
      <c r="G1024" s="41" t="s">
        <v>5848</v>
      </c>
      <c r="H1024" s="41">
        <v>2</v>
      </c>
    </row>
    <row r="1025" spans="1:8" ht="16" x14ac:dyDescent="0.2">
      <c r="A1025" s="41" t="s">
        <v>730</v>
      </c>
      <c r="B1025" s="41" t="s">
        <v>5849</v>
      </c>
      <c r="C1025" s="41" t="s">
        <v>3490</v>
      </c>
      <c r="D1025" s="42">
        <v>42431</v>
      </c>
      <c r="E1025" s="41">
        <v>1</v>
      </c>
      <c r="F1025" s="41">
        <v>1</v>
      </c>
      <c r="G1025" s="41" t="s">
        <v>5850</v>
      </c>
      <c r="H1025" s="41">
        <v>1</v>
      </c>
    </row>
    <row r="1026" spans="1:8" ht="16" x14ac:dyDescent="0.2">
      <c r="A1026" s="41" t="s">
        <v>731</v>
      </c>
      <c r="B1026" s="41" t="s">
        <v>5851</v>
      </c>
      <c r="C1026" s="41" t="s">
        <v>3510</v>
      </c>
      <c r="D1026" s="42">
        <v>38706</v>
      </c>
      <c r="E1026" s="41">
        <v>10</v>
      </c>
      <c r="F1026" s="41">
        <v>1</v>
      </c>
      <c r="G1026" s="41" t="s">
        <v>5852</v>
      </c>
      <c r="H1026" s="41">
        <v>10</v>
      </c>
    </row>
    <row r="1027" spans="1:8" ht="16" x14ac:dyDescent="0.2">
      <c r="A1027" s="41" t="s">
        <v>732</v>
      </c>
      <c r="B1027" s="41" t="s">
        <v>5853</v>
      </c>
      <c r="C1027" s="41" t="s">
        <v>3510</v>
      </c>
      <c r="D1027" s="42">
        <v>34948</v>
      </c>
      <c r="E1027" s="41">
        <v>10</v>
      </c>
      <c r="F1027" s="41">
        <v>1</v>
      </c>
      <c r="G1027" s="41" t="s">
        <v>5854</v>
      </c>
      <c r="H1027" s="41">
        <v>10</v>
      </c>
    </row>
    <row r="1028" spans="1:8" ht="16" x14ac:dyDescent="0.2">
      <c r="A1028" s="41" t="s">
        <v>5855</v>
      </c>
      <c r="B1028" s="41" t="s">
        <v>5856</v>
      </c>
      <c r="C1028" s="41" t="s">
        <v>3490</v>
      </c>
      <c r="D1028" s="42">
        <v>35242</v>
      </c>
      <c r="E1028" s="41">
        <v>10</v>
      </c>
      <c r="F1028" s="41">
        <v>1</v>
      </c>
      <c r="G1028" s="41" t="s">
        <v>5857</v>
      </c>
      <c r="H1028" s="41">
        <v>10</v>
      </c>
    </row>
    <row r="1029" spans="1:8" ht="16" x14ac:dyDescent="0.2">
      <c r="A1029" s="41" t="s">
        <v>733</v>
      </c>
      <c r="B1029" s="41" t="s">
        <v>5858</v>
      </c>
      <c r="C1029" s="41" t="s">
        <v>3490</v>
      </c>
      <c r="D1029" s="42">
        <v>44924</v>
      </c>
      <c r="E1029" s="41">
        <v>10</v>
      </c>
      <c r="F1029" s="41">
        <v>1</v>
      </c>
      <c r="G1029" s="41" t="s">
        <v>5859</v>
      </c>
      <c r="H1029" s="41">
        <v>10</v>
      </c>
    </row>
    <row r="1030" spans="1:8" ht="16" x14ac:dyDescent="0.2">
      <c r="A1030" s="41" t="s">
        <v>734</v>
      </c>
      <c r="B1030" s="41" t="s">
        <v>5860</v>
      </c>
      <c r="C1030" s="41" t="s">
        <v>3490</v>
      </c>
      <c r="D1030" s="42">
        <v>43053</v>
      </c>
      <c r="E1030" s="41">
        <v>10</v>
      </c>
      <c r="F1030" s="41">
        <v>1</v>
      </c>
      <c r="G1030" s="41" t="s">
        <v>5861</v>
      </c>
      <c r="H1030" s="41">
        <v>10</v>
      </c>
    </row>
    <row r="1031" spans="1:8" ht="16" x14ac:dyDescent="0.2">
      <c r="A1031" s="41" t="s">
        <v>735</v>
      </c>
      <c r="B1031" s="41" t="s">
        <v>5862</v>
      </c>
      <c r="C1031" s="41" t="s">
        <v>3490</v>
      </c>
      <c r="D1031" s="42">
        <v>44134</v>
      </c>
      <c r="E1031" s="41">
        <v>1</v>
      </c>
      <c r="F1031" s="41">
        <v>1</v>
      </c>
      <c r="G1031" s="41" t="s">
        <v>5863</v>
      </c>
      <c r="H1031" s="41">
        <v>1</v>
      </c>
    </row>
    <row r="1032" spans="1:8" ht="16" x14ac:dyDescent="0.2">
      <c r="A1032" s="41" t="s">
        <v>5864</v>
      </c>
      <c r="B1032" s="41" t="s">
        <v>5865</v>
      </c>
      <c r="C1032" s="41" t="s">
        <v>3510</v>
      </c>
      <c r="D1032" s="42">
        <v>35053</v>
      </c>
      <c r="E1032" s="41">
        <v>10</v>
      </c>
      <c r="F1032" s="41">
        <v>1</v>
      </c>
      <c r="G1032" s="41" t="s">
        <v>5866</v>
      </c>
      <c r="H1032" s="41">
        <v>10</v>
      </c>
    </row>
    <row r="1033" spans="1:8" ht="16" x14ac:dyDescent="0.2">
      <c r="A1033" s="41" t="s">
        <v>5867</v>
      </c>
      <c r="B1033" s="41" t="s">
        <v>5868</v>
      </c>
      <c r="C1033" s="41" t="s">
        <v>3490</v>
      </c>
      <c r="D1033" s="42">
        <v>36929</v>
      </c>
      <c r="E1033" s="41">
        <v>10</v>
      </c>
      <c r="F1033" s="41">
        <v>1</v>
      </c>
      <c r="G1033" s="41" t="s">
        <v>5869</v>
      </c>
      <c r="H1033" s="41">
        <v>10</v>
      </c>
    </row>
    <row r="1034" spans="1:8" ht="16" x14ac:dyDescent="0.2">
      <c r="A1034" s="41" t="s">
        <v>736</v>
      </c>
      <c r="B1034" s="41" t="s">
        <v>5870</v>
      </c>
      <c r="C1034" s="41" t="s">
        <v>3490</v>
      </c>
      <c r="D1034" s="42">
        <v>40557</v>
      </c>
      <c r="E1034" s="41">
        <v>10</v>
      </c>
      <c r="F1034" s="41">
        <v>1</v>
      </c>
      <c r="G1034" s="41" t="s">
        <v>5871</v>
      </c>
      <c r="H1034" s="41">
        <v>10</v>
      </c>
    </row>
    <row r="1035" spans="1:8" ht="16" x14ac:dyDescent="0.2">
      <c r="A1035" s="41" t="s">
        <v>737</v>
      </c>
      <c r="B1035" s="41" t="s">
        <v>5872</v>
      </c>
      <c r="C1035" s="41" t="s">
        <v>3510</v>
      </c>
      <c r="D1035" s="42">
        <v>40450</v>
      </c>
      <c r="E1035" s="41">
        <v>10</v>
      </c>
      <c r="F1035" s="41">
        <v>1</v>
      </c>
      <c r="G1035" s="41" t="s">
        <v>5873</v>
      </c>
      <c r="H1035" s="41">
        <v>10</v>
      </c>
    </row>
    <row r="1036" spans="1:8" ht="16" x14ac:dyDescent="0.2">
      <c r="A1036" s="41" t="s">
        <v>738</v>
      </c>
      <c r="B1036" s="41" t="s">
        <v>5874</v>
      </c>
      <c r="C1036" s="41" t="s">
        <v>3490</v>
      </c>
      <c r="D1036" s="42">
        <v>44375</v>
      </c>
      <c r="E1036" s="41">
        <v>2</v>
      </c>
      <c r="F1036" s="41">
        <v>1</v>
      </c>
      <c r="G1036" s="41" t="s">
        <v>5875</v>
      </c>
      <c r="H1036" s="41">
        <v>2</v>
      </c>
    </row>
    <row r="1037" spans="1:8" ht="16" x14ac:dyDescent="0.2">
      <c r="A1037" s="41" t="s">
        <v>739</v>
      </c>
      <c r="B1037" s="41" t="s">
        <v>5876</v>
      </c>
      <c r="C1037" s="41" t="s">
        <v>3490</v>
      </c>
      <c r="D1037" s="42">
        <v>42689</v>
      </c>
      <c r="E1037" s="41">
        <v>10</v>
      </c>
      <c r="F1037" s="41">
        <v>1</v>
      </c>
      <c r="G1037" s="41" t="s">
        <v>5877</v>
      </c>
      <c r="H1037" s="41">
        <v>10</v>
      </c>
    </row>
    <row r="1038" spans="1:8" ht="16" x14ac:dyDescent="0.2">
      <c r="A1038" s="41" t="s">
        <v>740</v>
      </c>
      <c r="B1038" s="41" t="s">
        <v>5878</v>
      </c>
      <c r="C1038" s="41" t="s">
        <v>3490</v>
      </c>
      <c r="D1038" s="42">
        <v>42703</v>
      </c>
      <c r="E1038" s="41">
        <v>10</v>
      </c>
      <c r="F1038" s="41">
        <v>1</v>
      </c>
      <c r="G1038" s="41" t="s">
        <v>5879</v>
      </c>
      <c r="H1038" s="41">
        <v>10</v>
      </c>
    </row>
    <row r="1039" spans="1:8" ht="16" x14ac:dyDescent="0.2">
      <c r="A1039" s="41" t="s">
        <v>741</v>
      </c>
      <c r="B1039" s="41" t="s">
        <v>5880</v>
      </c>
      <c r="C1039" s="41" t="s">
        <v>3490</v>
      </c>
      <c r="D1039" s="42">
        <v>39560</v>
      </c>
      <c r="E1039" s="41">
        <v>10</v>
      </c>
      <c r="F1039" s="41">
        <v>1</v>
      </c>
      <c r="G1039" s="41" t="s">
        <v>5881</v>
      </c>
      <c r="H1039" s="41">
        <v>10</v>
      </c>
    </row>
    <row r="1040" spans="1:8" ht="16" x14ac:dyDescent="0.2">
      <c r="A1040" s="41" t="s">
        <v>742</v>
      </c>
      <c r="B1040" s="41" t="s">
        <v>5882</v>
      </c>
      <c r="C1040" s="41" t="s">
        <v>3490</v>
      </c>
      <c r="D1040" s="42">
        <v>40288</v>
      </c>
      <c r="E1040" s="41">
        <v>2</v>
      </c>
      <c r="F1040" s="41">
        <v>1</v>
      </c>
      <c r="G1040" s="41" t="s">
        <v>5883</v>
      </c>
      <c r="H1040" s="41">
        <v>2</v>
      </c>
    </row>
    <row r="1041" spans="1:8" ht="16" x14ac:dyDescent="0.2">
      <c r="A1041" s="41" t="s">
        <v>743</v>
      </c>
      <c r="B1041" s="41" t="s">
        <v>5884</v>
      </c>
      <c r="C1041" s="41" t="s">
        <v>3490</v>
      </c>
      <c r="D1041" s="42">
        <v>40536</v>
      </c>
      <c r="E1041" s="41">
        <v>2</v>
      </c>
      <c r="F1041" s="41">
        <v>1</v>
      </c>
      <c r="G1041" s="41" t="s">
        <v>5885</v>
      </c>
      <c r="H1041" s="41">
        <v>2</v>
      </c>
    </row>
    <row r="1042" spans="1:8" ht="16" x14ac:dyDescent="0.2">
      <c r="A1042" s="41" t="s">
        <v>744</v>
      </c>
      <c r="B1042" s="41" t="s">
        <v>5886</v>
      </c>
      <c r="C1042" s="41" t="s">
        <v>3490</v>
      </c>
      <c r="D1042" s="42">
        <v>40353</v>
      </c>
      <c r="E1042" s="41">
        <v>10</v>
      </c>
      <c r="F1042" s="41">
        <v>1</v>
      </c>
      <c r="G1042" s="41" t="s">
        <v>5887</v>
      </c>
      <c r="H1042" s="41">
        <v>10</v>
      </c>
    </row>
    <row r="1043" spans="1:8" ht="16" x14ac:dyDescent="0.2">
      <c r="A1043" s="41" t="s">
        <v>745</v>
      </c>
      <c r="B1043" s="41" t="s">
        <v>5888</v>
      </c>
      <c r="C1043" s="41" t="s">
        <v>3490</v>
      </c>
      <c r="D1043" s="42">
        <v>45042</v>
      </c>
      <c r="E1043" s="41">
        <v>2</v>
      </c>
      <c r="F1043" s="41">
        <v>1</v>
      </c>
      <c r="G1043" s="41" t="s">
        <v>5889</v>
      </c>
      <c r="H1043" s="41">
        <v>2</v>
      </c>
    </row>
    <row r="1044" spans="1:8" ht="16" x14ac:dyDescent="0.2">
      <c r="A1044" s="41" t="s">
        <v>746</v>
      </c>
      <c r="B1044" s="41" t="s">
        <v>5890</v>
      </c>
      <c r="C1044" s="41" t="s">
        <v>3490</v>
      </c>
      <c r="D1044" s="42">
        <v>41177</v>
      </c>
      <c r="E1044" s="41">
        <v>1</v>
      </c>
      <c r="F1044" s="41">
        <v>1</v>
      </c>
      <c r="G1044" s="41" t="s">
        <v>5891</v>
      </c>
      <c r="H1044" s="41">
        <v>1</v>
      </c>
    </row>
    <row r="1045" spans="1:8" ht="16" x14ac:dyDescent="0.2">
      <c r="A1045" s="41" t="s">
        <v>747</v>
      </c>
      <c r="B1045" s="41" t="s">
        <v>5892</v>
      </c>
      <c r="C1045" s="41" t="s">
        <v>3490</v>
      </c>
      <c r="D1045" s="42">
        <v>38820</v>
      </c>
      <c r="E1045" s="41">
        <v>10</v>
      </c>
      <c r="F1045" s="41">
        <v>1</v>
      </c>
      <c r="G1045" s="41" t="s">
        <v>5893</v>
      </c>
      <c r="H1045" s="41">
        <v>10</v>
      </c>
    </row>
    <row r="1046" spans="1:8" ht="16" x14ac:dyDescent="0.2">
      <c r="A1046" s="41" t="s">
        <v>5894</v>
      </c>
      <c r="B1046" s="41" t="s">
        <v>5895</v>
      </c>
      <c r="C1046" s="41" t="s">
        <v>3490</v>
      </c>
      <c r="D1046" s="42">
        <v>45610</v>
      </c>
      <c r="E1046" s="41">
        <v>10</v>
      </c>
      <c r="F1046" s="41">
        <v>1</v>
      </c>
      <c r="G1046" s="41" t="s">
        <v>5896</v>
      </c>
      <c r="H1046" s="41">
        <v>10</v>
      </c>
    </row>
    <row r="1047" spans="1:8" ht="16" x14ac:dyDescent="0.2">
      <c r="A1047" s="41" t="s">
        <v>5897</v>
      </c>
      <c r="B1047" s="41" t="s">
        <v>5898</v>
      </c>
      <c r="C1047" s="41" t="s">
        <v>3490</v>
      </c>
      <c r="D1047" s="42">
        <v>39233</v>
      </c>
      <c r="E1047" s="41">
        <v>2</v>
      </c>
      <c r="F1047" s="41">
        <v>1</v>
      </c>
      <c r="G1047" s="41" t="s">
        <v>5899</v>
      </c>
      <c r="H1047" s="41">
        <v>2</v>
      </c>
    </row>
    <row r="1048" spans="1:8" ht="16" x14ac:dyDescent="0.2">
      <c r="A1048" s="41" t="s">
        <v>749</v>
      </c>
      <c r="B1048" s="41" t="s">
        <v>5900</v>
      </c>
      <c r="C1048" s="41" t="s">
        <v>3490</v>
      </c>
      <c r="D1048" s="42">
        <v>39496</v>
      </c>
      <c r="E1048" s="41">
        <v>2</v>
      </c>
      <c r="F1048" s="41">
        <v>1</v>
      </c>
      <c r="G1048" s="41" t="s">
        <v>5901</v>
      </c>
      <c r="H1048" s="41">
        <v>2</v>
      </c>
    </row>
    <row r="1049" spans="1:8" ht="16" x14ac:dyDescent="0.2">
      <c r="A1049" s="41" t="s">
        <v>5902</v>
      </c>
      <c r="B1049" s="41" t="s">
        <v>5903</v>
      </c>
      <c r="C1049" s="41" t="s">
        <v>3490</v>
      </c>
      <c r="D1049" s="42">
        <v>36453</v>
      </c>
      <c r="E1049" s="41">
        <v>10</v>
      </c>
      <c r="F1049" s="41">
        <v>1</v>
      </c>
      <c r="G1049" s="41" t="s">
        <v>5904</v>
      </c>
      <c r="H1049" s="41">
        <v>10</v>
      </c>
    </row>
    <row r="1050" spans="1:8" ht="16" x14ac:dyDescent="0.2">
      <c r="A1050" s="41" t="s">
        <v>751</v>
      </c>
      <c r="B1050" s="41" t="s">
        <v>5905</v>
      </c>
      <c r="C1050" s="41" t="s">
        <v>3490</v>
      </c>
      <c r="D1050" s="42">
        <v>39657</v>
      </c>
      <c r="E1050" s="41">
        <v>1</v>
      </c>
      <c r="F1050" s="41">
        <v>1</v>
      </c>
      <c r="G1050" s="41" t="s">
        <v>5906</v>
      </c>
      <c r="H1050" s="41">
        <v>1</v>
      </c>
    </row>
    <row r="1051" spans="1:8" ht="16" x14ac:dyDescent="0.2">
      <c r="A1051" s="41" t="s">
        <v>752</v>
      </c>
      <c r="B1051" s="41" t="s">
        <v>5907</v>
      </c>
      <c r="C1051" s="41" t="s">
        <v>3490</v>
      </c>
      <c r="D1051" s="42">
        <v>39429</v>
      </c>
      <c r="E1051" s="41">
        <v>10</v>
      </c>
      <c r="F1051" s="41">
        <v>1</v>
      </c>
      <c r="G1051" s="41" t="s">
        <v>5908</v>
      </c>
      <c r="H1051" s="41">
        <v>10</v>
      </c>
    </row>
    <row r="1052" spans="1:8" ht="16" x14ac:dyDescent="0.2">
      <c r="A1052" s="41" t="s">
        <v>753</v>
      </c>
      <c r="B1052" s="41" t="s">
        <v>5909</v>
      </c>
      <c r="C1052" s="41" t="s">
        <v>3490</v>
      </c>
      <c r="D1052" s="42">
        <v>36320</v>
      </c>
      <c r="E1052" s="41">
        <v>10</v>
      </c>
      <c r="F1052" s="41">
        <v>1</v>
      </c>
      <c r="G1052" s="41" t="s">
        <v>5910</v>
      </c>
      <c r="H1052" s="41">
        <v>10</v>
      </c>
    </row>
    <row r="1053" spans="1:8" ht="16" x14ac:dyDescent="0.2">
      <c r="A1053" s="41" t="s">
        <v>755</v>
      </c>
      <c r="B1053" s="41" t="s">
        <v>5911</v>
      </c>
      <c r="C1053" s="41" t="s">
        <v>3490</v>
      </c>
      <c r="D1053" s="42">
        <v>35053</v>
      </c>
      <c r="E1053" s="41">
        <v>5</v>
      </c>
      <c r="F1053" s="41">
        <v>1</v>
      </c>
      <c r="G1053" s="41" t="s">
        <v>5912</v>
      </c>
      <c r="H1053" s="41">
        <v>5</v>
      </c>
    </row>
    <row r="1054" spans="1:8" ht="16" x14ac:dyDescent="0.2">
      <c r="A1054" s="41" t="s">
        <v>5913</v>
      </c>
      <c r="B1054" s="41" t="s">
        <v>5914</v>
      </c>
      <c r="C1054" s="41" t="s">
        <v>3490</v>
      </c>
      <c r="D1054" s="42">
        <v>38334</v>
      </c>
      <c r="E1054" s="41">
        <v>10</v>
      </c>
      <c r="F1054" s="41">
        <v>1</v>
      </c>
      <c r="G1054" s="41" t="s">
        <v>5915</v>
      </c>
      <c r="H1054" s="41">
        <v>10</v>
      </c>
    </row>
    <row r="1055" spans="1:8" ht="16" x14ac:dyDescent="0.2">
      <c r="A1055" s="41" t="s">
        <v>756</v>
      </c>
      <c r="B1055" s="41" t="s">
        <v>5916</v>
      </c>
      <c r="C1055" s="41" t="s">
        <v>3490</v>
      </c>
      <c r="D1055" s="42">
        <v>35371</v>
      </c>
      <c r="E1055" s="41">
        <v>10</v>
      </c>
      <c r="F1055" s="41">
        <v>1</v>
      </c>
      <c r="G1055" s="41" t="s">
        <v>5917</v>
      </c>
      <c r="H1055" s="41">
        <v>10</v>
      </c>
    </row>
    <row r="1056" spans="1:8" ht="16" x14ac:dyDescent="0.2">
      <c r="A1056" s="41" t="s">
        <v>757</v>
      </c>
      <c r="B1056" s="41" t="s">
        <v>5918</v>
      </c>
      <c r="C1056" s="41" t="s">
        <v>3490</v>
      </c>
      <c r="D1056" s="42">
        <v>35949</v>
      </c>
      <c r="E1056" s="41">
        <v>10</v>
      </c>
      <c r="F1056" s="41">
        <v>1</v>
      </c>
      <c r="G1056" s="41" t="s">
        <v>5919</v>
      </c>
      <c r="H1056" s="41">
        <v>10</v>
      </c>
    </row>
    <row r="1057" spans="1:8" ht="16" x14ac:dyDescent="0.2">
      <c r="A1057" s="41" t="s">
        <v>759</v>
      </c>
      <c r="B1057" s="41" t="s">
        <v>5920</v>
      </c>
      <c r="C1057" s="41" t="s">
        <v>3490</v>
      </c>
      <c r="D1057" s="42">
        <v>45610</v>
      </c>
      <c r="E1057" s="41">
        <v>5</v>
      </c>
      <c r="F1057" s="41">
        <v>1</v>
      </c>
      <c r="G1057" s="41" t="s">
        <v>5921</v>
      </c>
      <c r="H1057" s="41">
        <v>5</v>
      </c>
    </row>
    <row r="1058" spans="1:8" ht="16" x14ac:dyDescent="0.2">
      <c r="A1058" s="41" t="s">
        <v>760</v>
      </c>
      <c r="B1058" s="41" t="s">
        <v>5922</v>
      </c>
      <c r="C1058" s="41" t="s">
        <v>3490</v>
      </c>
      <c r="D1058" s="42">
        <v>44404</v>
      </c>
      <c r="E1058" s="41">
        <v>5</v>
      </c>
      <c r="F1058" s="41">
        <v>1</v>
      </c>
      <c r="G1058" s="41" t="s">
        <v>5923</v>
      </c>
      <c r="H1058" s="41">
        <v>5</v>
      </c>
    </row>
    <row r="1059" spans="1:8" ht="16" x14ac:dyDescent="0.2">
      <c r="A1059" s="41" t="s">
        <v>761</v>
      </c>
      <c r="B1059" s="41" t="s">
        <v>5924</v>
      </c>
      <c r="C1059" s="41" t="s">
        <v>3490</v>
      </c>
      <c r="D1059" s="42">
        <v>36875</v>
      </c>
      <c r="E1059" s="41">
        <v>2</v>
      </c>
      <c r="F1059" s="41">
        <v>1</v>
      </c>
      <c r="G1059" s="41" t="s">
        <v>5925</v>
      </c>
      <c r="H1059" s="41">
        <v>2</v>
      </c>
    </row>
    <row r="1060" spans="1:8" ht="16" x14ac:dyDescent="0.2">
      <c r="A1060" s="41" t="s">
        <v>762</v>
      </c>
      <c r="B1060" s="41" t="s">
        <v>5926</v>
      </c>
      <c r="C1060" s="41" t="s">
        <v>3490</v>
      </c>
      <c r="D1060" s="42">
        <v>43577</v>
      </c>
      <c r="E1060" s="41">
        <v>10</v>
      </c>
      <c r="F1060" s="41">
        <v>1</v>
      </c>
      <c r="G1060" s="41" t="s">
        <v>5927</v>
      </c>
      <c r="H1060" s="41">
        <v>10</v>
      </c>
    </row>
    <row r="1061" spans="1:8" ht="16" x14ac:dyDescent="0.2">
      <c r="A1061" s="41" t="s">
        <v>763</v>
      </c>
      <c r="B1061" s="41" t="s">
        <v>5928</v>
      </c>
      <c r="C1061" s="41" t="s">
        <v>3490</v>
      </c>
      <c r="D1061" s="42">
        <v>39322</v>
      </c>
      <c r="E1061" s="41">
        <v>1</v>
      </c>
      <c r="F1061" s="41">
        <v>1</v>
      </c>
      <c r="G1061" s="41" t="s">
        <v>5929</v>
      </c>
      <c r="H1061" s="41">
        <v>1</v>
      </c>
    </row>
    <row r="1062" spans="1:8" ht="16" x14ac:dyDescent="0.2">
      <c r="A1062" s="41" t="s">
        <v>764</v>
      </c>
      <c r="B1062" s="41" t="s">
        <v>5930</v>
      </c>
      <c r="C1062" s="41" t="s">
        <v>3490</v>
      </c>
      <c r="D1062" s="42">
        <v>37277</v>
      </c>
      <c r="E1062" s="41">
        <v>1</v>
      </c>
      <c r="F1062" s="41">
        <v>1</v>
      </c>
      <c r="G1062" s="41" t="s">
        <v>5931</v>
      </c>
      <c r="H1062" s="41">
        <v>1</v>
      </c>
    </row>
    <row r="1063" spans="1:8" ht="16" x14ac:dyDescent="0.2">
      <c r="A1063" s="41" t="s">
        <v>5932</v>
      </c>
      <c r="B1063" s="41" t="s">
        <v>5933</v>
      </c>
      <c r="C1063" s="41" t="s">
        <v>3510</v>
      </c>
      <c r="D1063" s="42">
        <v>35067</v>
      </c>
      <c r="E1063" s="41">
        <v>10</v>
      </c>
      <c r="F1063" s="41">
        <v>1</v>
      </c>
      <c r="G1063" s="41" t="s">
        <v>5934</v>
      </c>
      <c r="H1063" s="41">
        <v>10</v>
      </c>
    </row>
    <row r="1064" spans="1:8" ht="16" x14ac:dyDescent="0.2">
      <c r="A1064" s="41" t="s">
        <v>5935</v>
      </c>
      <c r="B1064" s="41" t="s">
        <v>5936</v>
      </c>
      <c r="C1064" s="41" t="s">
        <v>3510</v>
      </c>
      <c r="D1064" s="42">
        <v>42349</v>
      </c>
      <c r="E1064" s="41">
        <v>2</v>
      </c>
      <c r="F1064" s="41">
        <v>1</v>
      </c>
      <c r="G1064" s="41" t="s">
        <v>5937</v>
      </c>
      <c r="H1064" s="41">
        <v>2</v>
      </c>
    </row>
    <row r="1065" spans="1:8" ht="16" x14ac:dyDescent="0.2">
      <c r="A1065" s="41" t="s">
        <v>765</v>
      </c>
      <c r="B1065" s="41" t="s">
        <v>5938</v>
      </c>
      <c r="C1065" s="41" t="s">
        <v>3490</v>
      </c>
      <c r="D1065" s="42">
        <v>43699</v>
      </c>
      <c r="E1065" s="41">
        <v>10</v>
      </c>
      <c r="F1065" s="41">
        <v>1</v>
      </c>
      <c r="G1065" s="41" t="s">
        <v>5939</v>
      </c>
      <c r="H1065" s="41">
        <v>10</v>
      </c>
    </row>
    <row r="1066" spans="1:8" ht="16" x14ac:dyDescent="0.2">
      <c r="A1066" s="41" t="s">
        <v>5940</v>
      </c>
      <c r="B1066" s="41" t="s">
        <v>5941</v>
      </c>
      <c r="C1066" s="41" t="s">
        <v>3510</v>
      </c>
      <c r="D1066" s="42">
        <v>45828</v>
      </c>
      <c r="E1066" s="41">
        <v>10</v>
      </c>
      <c r="F1066" s="41">
        <v>1</v>
      </c>
      <c r="G1066" s="41" t="s">
        <v>5942</v>
      </c>
      <c r="H1066" s="41">
        <v>10</v>
      </c>
    </row>
    <row r="1067" spans="1:8" ht="16" x14ac:dyDescent="0.2">
      <c r="A1067" s="41" t="s">
        <v>767</v>
      </c>
      <c r="B1067" s="41" t="s">
        <v>5943</v>
      </c>
      <c r="C1067" s="41" t="s">
        <v>3510</v>
      </c>
      <c r="D1067" s="42">
        <v>44501</v>
      </c>
      <c r="E1067" s="41">
        <v>1</v>
      </c>
      <c r="F1067" s="41">
        <v>1</v>
      </c>
      <c r="G1067" s="41" t="s">
        <v>5944</v>
      </c>
      <c r="H1067" s="41">
        <v>1</v>
      </c>
    </row>
    <row r="1068" spans="1:8" ht="16" x14ac:dyDescent="0.2">
      <c r="A1068" s="41" t="s">
        <v>768</v>
      </c>
      <c r="B1068" s="41" t="s">
        <v>5945</v>
      </c>
      <c r="C1068" s="41" t="s">
        <v>3490</v>
      </c>
      <c r="D1068" s="42">
        <v>44685</v>
      </c>
      <c r="E1068" s="41">
        <v>2</v>
      </c>
      <c r="F1068" s="41">
        <v>1</v>
      </c>
      <c r="G1068" s="41" t="s">
        <v>5946</v>
      </c>
      <c r="H1068" s="41">
        <v>2</v>
      </c>
    </row>
    <row r="1069" spans="1:8" ht="16" x14ac:dyDescent="0.2">
      <c r="A1069" s="41" t="s">
        <v>769</v>
      </c>
      <c r="B1069" s="41" t="s">
        <v>5947</v>
      </c>
      <c r="C1069" s="41" t="s">
        <v>3490</v>
      </c>
      <c r="D1069" s="42">
        <v>44841</v>
      </c>
      <c r="E1069" s="41">
        <v>1</v>
      </c>
      <c r="F1069" s="41">
        <v>1</v>
      </c>
      <c r="G1069" s="41" t="s">
        <v>5948</v>
      </c>
      <c r="H1069" s="41">
        <v>1</v>
      </c>
    </row>
    <row r="1070" spans="1:8" ht="16" x14ac:dyDescent="0.2">
      <c r="A1070" s="41" t="s">
        <v>5949</v>
      </c>
      <c r="B1070" s="41" t="s">
        <v>5950</v>
      </c>
      <c r="C1070" s="41" t="s">
        <v>3490</v>
      </c>
      <c r="D1070" s="42">
        <v>45568</v>
      </c>
      <c r="E1070" s="41">
        <v>10</v>
      </c>
      <c r="F1070" s="41">
        <v>1</v>
      </c>
      <c r="G1070" s="41" t="s">
        <v>5951</v>
      </c>
      <c r="H1070" s="41">
        <v>10</v>
      </c>
    </row>
    <row r="1071" spans="1:8" ht="16" x14ac:dyDescent="0.2">
      <c r="A1071" s="41" t="s">
        <v>770</v>
      </c>
      <c r="B1071" s="41" t="s">
        <v>5952</v>
      </c>
      <c r="C1071" s="41" t="s">
        <v>3490</v>
      </c>
      <c r="D1071" s="42">
        <v>45453</v>
      </c>
      <c r="E1071" s="41">
        <v>10</v>
      </c>
      <c r="F1071" s="41">
        <v>1</v>
      </c>
      <c r="G1071" s="41" t="s">
        <v>5953</v>
      </c>
      <c r="H1071" s="41">
        <v>10</v>
      </c>
    </row>
    <row r="1072" spans="1:8" ht="16" x14ac:dyDescent="0.2">
      <c r="A1072" s="41" t="s">
        <v>5954</v>
      </c>
      <c r="B1072" s="41" t="s">
        <v>5955</v>
      </c>
      <c r="C1072" s="41" t="s">
        <v>3490</v>
      </c>
      <c r="D1072" s="42">
        <v>45551</v>
      </c>
      <c r="E1072" s="41">
        <v>5</v>
      </c>
      <c r="F1072" s="41">
        <v>1</v>
      </c>
      <c r="G1072" s="41" t="s">
        <v>5956</v>
      </c>
      <c r="H1072" s="41">
        <v>5</v>
      </c>
    </row>
    <row r="1073" spans="1:8" ht="16" x14ac:dyDescent="0.2">
      <c r="A1073" s="41" t="s">
        <v>771</v>
      </c>
      <c r="B1073" s="41" t="s">
        <v>5957</v>
      </c>
      <c r="C1073" s="41" t="s">
        <v>3490</v>
      </c>
      <c r="D1073" s="42">
        <v>44424</v>
      </c>
      <c r="E1073" s="41">
        <v>5</v>
      </c>
      <c r="F1073" s="41">
        <v>1</v>
      </c>
      <c r="G1073" s="41" t="s">
        <v>5958</v>
      </c>
      <c r="H1073" s="41">
        <v>5</v>
      </c>
    </row>
    <row r="1074" spans="1:8" ht="16" x14ac:dyDescent="0.2">
      <c r="A1074" s="41" t="s">
        <v>772</v>
      </c>
      <c r="B1074" s="41" t="s">
        <v>5959</v>
      </c>
      <c r="C1074" s="41" t="s">
        <v>3490</v>
      </c>
      <c r="D1074" s="42">
        <v>45372</v>
      </c>
      <c r="E1074" s="41">
        <v>10</v>
      </c>
      <c r="F1074" s="41">
        <v>1</v>
      </c>
      <c r="G1074" s="41" t="s">
        <v>5960</v>
      </c>
      <c r="H1074" s="41">
        <v>10</v>
      </c>
    </row>
    <row r="1075" spans="1:8" ht="16" x14ac:dyDescent="0.2">
      <c r="A1075" s="41" t="s">
        <v>773</v>
      </c>
      <c r="B1075" s="41" t="s">
        <v>5961</v>
      </c>
      <c r="C1075" s="41" t="s">
        <v>3490</v>
      </c>
      <c r="D1075" s="42">
        <v>34738</v>
      </c>
      <c r="E1075" s="41">
        <v>2</v>
      </c>
      <c r="F1075" s="41">
        <v>1</v>
      </c>
      <c r="G1075" s="41" t="s">
        <v>5962</v>
      </c>
      <c r="H1075" s="41">
        <v>2</v>
      </c>
    </row>
    <row r="1076" spans="1:8" ht="16" x14ac:dyDescent="0.2">
      <c r="A1076" s="41" t="s">
        <v>774</v>
      </c>
      <c r="B1076" s="41" t="s">
        <v>5963</v>
      </c>
      <c r="C1076" s="41" t="s">
        <v>3490</v>
      </c>
      <c r="D1076" s="42">
        <v>39359</v>
      </c>
      <c r="E1076" s="41">
        <v>2</v>
      </c>
      <c r="F1076" s="41">
        <v>1</v>
      </c>
      <c r="G1076" s="41" t="s">
        <v>5964</v>
      </c>
      <c r="H1076" s="41">
        <v>2</v>
      </c>
    </row>
    <row r="1077" spans="1:8" ht="16" x14ac:dyDescent="0.2">
      <c r="A1077" s="41" t="s">
        <v>5965</v>
      </c>
      <c r="B1077" s="41" t="s">
        <v>5966</v>
      </c>
      <c r="C1077" s="41" t="s">
        <v>3490</v>
      </c>
      <c r="D1077" s="42">
        <v>44769</v>
      </c>
      <c r="E1077" s="41">
        <v>2</v>
      </c>
      <c r="F1077" s="41">
        <v>1</v>
      </c>
      <c r="G1077" s="41" t="s">
        <v>5967</v>
      </c>
      <c r="H1077" s="41">
        <v>2</v>
      </c>
    </row>
    <row r="1078" spans="1:8" ht="16" x14ac:dyDescent="0.2">
      <c r="A1078" s="41" t="s">
        <v>775</v>
      </c>
      <c r="B1078" s="41" t="s">
        <v>5968</v>
      </c>
      <c r="C1078" s="41" t="s">
        <v>3490</v>
      </c>
      <c r="D1078" s="42">
        <v>40317</v>
      </c>
      <c r="E1078" s="41">
        <v>5</v>
      </c>
      <c r="F1078" s="41">
        <v>1</v>
      </c>
      <c r="G1078" s="41" t="s">
        <v>5969</v>
      </c>
      <c r="H1078" s="41">
        <v>5</v>
      </c>
    </row>
    <row r="1079" spans="1:8" ht="16" x14ac:dyDescent="0.2">
      <c r="A1079" s="41" t="s">
        <v>776</v>
      </c>
      <c r="B1079" s="41" t="s">
        <v>5970</v>
      </c>
      <c r="C1079" s="41" t="s">
        <v>3490</v>
      </c>
      <c r="D1079" s="42">
        <v>44827</v>
      </c>
      <c r="E1079" s="41">
        <v>5</v>
      </c>
      <c r="F1079" s="41">
        <v>1</v>
      </c>
      <c r="G1079" s="41" t="s">
        <v>5971</v>
      </c>
      <c r="H1079" s="41">
        <v>5</v>
      </c>
    </row>
    <row r="1080" spans="1:8" ht="16" x14ac:dyDescent="0.2">
      <c r="A1080" s="41" t="s">
        <v>777</v>
      </c>
      <c r="B1080" s="41" t="s">
        <v>5972</v>
      </c>
      <c r="C1080" s="41" t="s">
        <v>3490</v>
      </c>
      <c r="D1080" s="42">
        <v>36656</v>
      </c>
      <c r="E1080" s="41">
        <v>10</v>
      </c>
      <c r="F1080" s="41">
        <v>1</v>
      </c>
      <c r="G1080" s="41" t="s">
        <v>5973</v>
      </c>
      <c r="H1080" s="41">
        <v>10</v>
      </c>
    </row>
    <row r="1081" spans="1:8" ht="16" x14ac:dyDescent="0.2">
      <c r="A1081" s="41" t="s">
        <v>778</v>
      </c>
      <c r="B1081" s="41" t="s">
        <v>5974</v>
      </c>
      <c r="C1081" s="41" t="s">
        <v>3490</v>
      </c>
      <c r="D1081" s="42">
        <v>43761</v>
      </c>
      <c r="E1081" s="41">
        <v>1</v>
      </c>
      <c r="F1081" s="41">
        <v>1</v>
      </c>
      <c r="G1081" s="41" t="s">
        <v>5975</v>
      </c>
      <c r="H1081" s="41">
        <v>1</v>
      </c>
    </row>
    <row r="1082" spans="1:8" ht="16" x14ac:dyDescent="0.2">
      <c r="A1082" s="41" t="s">
        <v>5976</v>
      </c>
      <c r="B1082" s="41" t="s">
        <v>5977</v>
      </c>
      <c r="C1082" s="41" t="s">
        <v>3490</v>
      </c>
      <c r="D1082" s="42">
        <v>44469</v>
      </c>
      <c r="E1082" s="41">
        <v>10</v>
      </c>
      <c r="F1082" s="41">
        <v>1</v>
      </c>
      <c r="G1082" s="41" t="s">
        <v>5978</v>
      </c>
      <c r="H1082" s="41">
        <v>10</v>
      </c>
    </row>
    <row r="1083" spans="1:8" ht="16" x14ac:dyDescent="0.2">
      <c r="A1083" s="41" t="s">
        <v>5979</v>
      </c>
      <c r="B1083" s="41" t="s">
        <v>5980</v>
      </c>
      <c r="C1083" s="41" t="s">
        <v>3510</v>
      </c>
      <c r="D1083" s="42">
        <v>45026</v>
      </c>
      <c r="E1083" s="41">
        <v>1</v>
      </c>
      <c r="F1083" s="41">
        <v>1</v>
      </c>
      <c r="G1083" s="41" t="s">
        <v>5981</v>
      </c>
      <c r="H1083" s="41">
        <v>1</v>
      </c>
    </row>
    <row r="1084" spans="1:8" ht="16" x14ac:dyDescent="0.2">
      <c r="A1084" s="41" t="s">
        <v>779</v>
      </c>
      <c r="B1084" s="41" t="s">
        <v>5982</v>
      </c>
      <c r="C1084" s="41" t="s">
        <v>3490</v>
      </c>
      <c r="D1084" s="42">
        <v>42361</v>
      </c>
      <c r="E1084" s="41">
        <v>10</v>
      </c>
      <c r="F1084" s="41">
        <v>1</v>
      </c>
      <c r="G1084" s="41" t="s">
        <v>5983</v>
      </c>
      <c r="H1084" s="41">
        <v>10</v>
      </c>
    </row>
    <row r="1085" spans="1:8" ht="16" x14ac:dyDescent="0.2">
      <c r="A1085" s="41" t="s">
        <v>5984</v>
      </c>
      <c r="B1085" s="41" t="s">
        <v>5985</v>
      </c>
      <c r="C1085" s="41" t="s">
        <v>3490</v>
      </c>
      <c r="D1085" s="42">
        <v>42039</v>
      </c>
      <c r="E1085" s="41">
        <v>5</v>
      </c>
      <c r="F1085" s="41">
        <v>1</v>
      </c>
      <c r="G1085" s="41" t="s">
        <v>5986</v>
      </c>
      <c r="H1085" s="41">
        <v>5</v>
      </c>
    </row>
    <row r="1086" spans="1:8" ht="16" x14ac:dyDescent="0.2">
      <c r="A1086" s="41" t="s">
        <v>5987</v>
      </c>
      <c r="B1086" s="41" t="s">
        <v>5988</v>
      </c>
      <c r="C1086" s="41" t="s">
        <v>3490</v>
      </c>
      <c r="D1086" s="42">
        <v>45363</v>
      </c>
      <c r="E1086" s="41">
        <v>2</v>
      </c>
      <c r="F1086" s="41">
        <v>1</v>
      </c>
      <c r="G1086" s="41" t="s">
        <v>5989</v>
      </c>
      <c r="H1086" s="41">
        <v>2</v>
      </c>
    </row>
    <row r="1087" spans="1:8" ht="16" x14ac:dyDescent="0.2">
      <c r="A1087" s="41" t="s">
        <v>780</v>
      </c>
      <c r="B1087" s="41" t="s">
        <v>5990</v>
      </c>
      <c r="C1087" s="41" t="s">
        <v>3490</v>
      </c>
      <c r="D1087" s="42">
        <v>44918</v>
      </c>
      <c r="E1087" s="41">
        <v>5</v>
      </c>
      <c r="F1087" s="41">
        <v>1</v>
      </c>
      <c r="G1087" s="41" t="s">
        <v>5991</v>
      </c>
      <c r="H1087" s="41">
        <v>5</v>
      </c>
    </row>
    <row r="1088" spans="1:8" ht="16" x14ac:dyDescent="0.2">
      <c r="A1088" s="41" t="s">
        <v>781</v>
      </c>
      <c r="B1088" s="41" t="s">
        <v>5992</v>
      </c>
      <c r="C1088" s="41" t="s">
        <v>3490</v>
      </c>
      <c r="D1088" s="42">
        <v>39157</v>
      </c>
      <c r="E1088" s="41">
        <v>2</v>
      </c>
      <c r="F1088" s="41">
        <v>1</v>
      </c>
      <c r="G1088" s="41" t="s">
        <v>5993</v>
      </c>
      <c r="H1088" s="41">
        <v>2</v>
      </c>
    </row>
    <row r="1089" spans="1:8" ht="16" x14ac:dyDescent="0.2">
      <c r="A1089" s="41" t="s">
        <v>5994</v>
      </c>
      <c r="B1089" s="41" t="s">
        <v>5995</v>
      </c>
      <c r="C1089" s="41" t="s">
        <v>3510</v>
      </c>
      <c r="D1089" s="42">
        <v>42999</v>
      </c>
      <c r="E1089" s="41">
        <v>10</v>
      </c>
      <c r="F1089" s="41">
        <v>1</v>
      </c>
      <c r="G1089" s="41" t="s">
        <v>5996</v>
      </c>
      <c r="H1089" s="41">
        <v>10</v>
      </c>
    </row>
    <row r="1090" spans="1:8" ht="16" x14ac:dyDescent="0.2">
      <c r="A1090" s="41" t="s">
        <v>782</v>
      </c>
      <c r="B1090" s="41" t="s">
        <v>5997</v>
      </c>
      <c r="C1090" s="41" t="s">
        <v>3490</v>
      </c>
      <c r="D1090" s="42">
        <v>44523</v>
      </c>
      <c r="E1090" s="41">
        <v>1</v>
      </c>
      <c r="F1090" s="41">
        <v>1</v>
      </c>
      <c r="G1090" s="41" t="s">
        <v>5998</v>
      </c>
      <c r="H1090" s="41">
        <v>1</v>
      </c>
    </row>
    <row r="1091" spans="1:8" ht="16" x14ac:dyDescent="0.2">
      <c r="A1091" s="41" t="s">
        <v>5999</v>
      </c>
      <c r="B1091" s="41" t="s">
        <v>6000</v>
      </c>
      <c r="C1091" s="41" t="s">
        <v>3490</v>
      </c>
      <c r="D1091" s="42">
        <v>45069</v>
      </c>
      <c r="E1091" s="41">
        <v>2</v>
      </c>
      <c r="F1091" s="41">
        <v>1</v>
      </c>
      <c r="G1091" s="41" t="s">
        <v>6001</v>
      </c>
      <c r="H1091" s="41">
        <v>2</v>
      </c>
    </row>
    <row r="1092" spans="1:8" ht="16" x14ac:dyDescent="0.2">
      <c r="A1092" s="41" t="s">
        <v>783</v>
      </c>
      <c r="B1092" s="41" t="s">
        <v>6002</v>
      </c>
      <c r="C1092" s="41" t="s">
        <v>3490</v>
      </c>
      <c r="D1092" s="42">
        <v>42723</v>
      </c>
      <c r="E1092" s="41">
        <v>2</v>
      </c>
      <c r="F1092" s="41">
        <v>1</v>
      </c>
      <c r="G1092" s="41" t="s">
        <v>6003</v>
      </c>
      <c r="H1092" s="41">
        <v>2</v>
      </c>
    </row>
    <row r="1093" spans="1:8" ht="16" x14ac:dyDescent="0.2">
      <c r="A1093" s="41" t="s">
        <v>6004</v>
      </c>
      <c r="B1093" s="41" t="s">
        <v>6005</v>
      </c>
      <c r="C1093" s="41" t="s">
        <v>3490</v>
      </c>
      <c r="D1093" s="42">
        <v>44512</v>
      </c>
      <c r="E1093" s="41">
        <v>10</v>
      </c>
      <c r="F1093" s="41">
        <v>1</v>
      </c>
      <c r="G1093" s="41" t="s">
        <v>6006</v>
      </c>
      <c r="H1093" s="41">
        <v>10</v>
      </c>
    </row>
    <row r="1094" spans="1:8" ht="16" x14ac:dyDescent="0.2">
      <c r="A1094" s="41" t="s">
        <v>6007</v>
      </c>
      <c r="B1094" s="41" t="s">
        <v>6008</v>
      </c>
      <c r="C1094" s="41" t="s">
        <v>3490</v>
      </c>
      <c r="D1094" s="42">
        <v>45677</v>
      </c>
      <c r="E1094" s="41">
        <v>2</v>
      </c>
      <c r="F1094" s="41">
        <v>1</v>
      </c>
      <c r="G1094" s="41" t="s">
        <v>6009</v>
      </c>
      <c r="H1094" s="41">
        <v>2</v>
      </c>
    </row>
    <row r="1095" spans="1:8" ht="16" x14ac:dyDescent="0.2">
      <c r="A1095" s="41" t="s">
        <v>6010</v>
      </c>
      <c r="B1095" s="41" t="s">
        <v>6011</v>
      </c>
      <c r="C1095" s="41" t="s">
        <v>3490</v>
      </c>
      <c r="D1095" s="42">
        <v>45874</v>
      </c>
      <c r="E1095" s="41">
        <v>5</v>
      </c>
      <c r="F1095" s="41">
        <v>1</v>
      </c>
      <c r="G1095" s="41" t="s">
        <v>6012</v>
      </c>
      <c r="H1095" s="41">
        <v>5</v>
      </c>
    </row>
    <row r="1096" spans="1:8" ht="16" x14ac:dyDescent="0.2">
      <c r="A1096" s="41" t="s">
        <v>6013</v>
      </c>
      <c r="B1096" s="41" t="s">
        <v>6014</v>
      </c>
      <c r="C1096" s="41" t="s">
        <v>3490</v>
      </c>
      <c r="D1096" s="42">
        <v>36587</v>
      </c>
      <c r="E1096" s="41">
        <v>2</v>
      </c>
      <c r="F1096" s="41">
        <v>1</v>
      </c>
      <c r="G1096" s="41" t="s">
        <v>6015</v>
      </c>
      <c r="H1096" s="41">
        <v>2</v>
      </c>
    </row>
    <row r="1097" spans="1:8" ht="16" x14ac:dyDescent="0.2">
      <c r="A1097" s="41" t="s">
        <v>785</v>
      </c>
      <c r="B1097" s="41" t="s">
        <v>6016</v>
      </c>
      <c r="C1097" s="41" t="s">
        <v>3490</v>
      </c>
      <c r="D1097" s="42">
        <v>43199</v>
      </c>
      <c r="E1097" s="41">
        <v>10</v>
      </c>
      <c r="F1097" s="41">
        <v>1</v>
      </c>
      <c r="G1097" s="41" t="s">
        <v>6017</v>
      </c>
      <c r="H1097" s="41">
        <v>10</v>
      </c>
    </row>
    <row r="1098" spans="1:8" ht="16" x14ac:dyDescent="0.2">
      <c r="A1098" s="41" t="s">
        <v>6018</v>
      </c>
      <c r="B1098" s="41" t="s">
        <v>6019</v>
      </c>
      <c r="C1098" s="41" t="s">
        <v>3490</v>
      </c>
      <c r="D1098" s="42">
        <v>44998</v>
      </c>
      <c r="E1098" s="41">
        <v>10</v>
      </c>
      <c r="F1098" s="41">
        <v>1</v>
      </c>
      <c r="G1098" s="41" t="s">
        <v>6020</v>
      </c>
      <c r="H1098" s="41">
        <v>10</v>
      </c>
    </row>
    <row r="1099" spans="1:8" ht="16" x14ac:dyDescent="0.2">
      <c r="A1099" s="41" t="s">
        <v>6021</v>
      </c>
      <c r="B1099" s="41" t="s">
        <v>6022</v>
      </c>
      <c r="C1099" s="41" t="s">
        <v>3490</v>
      </c>
      <c r="D1099" s="42">
        <v>42109</v>
      </c>
      <c r="E1099" s="41">
        <v>10</v>
      </c>
      <c r="F1099" s="41">
        <v>1</v>
      </c>
      <c r="G1099" s="41" t="s">
        <v>6023</v>
      </c>
      <c r="H1099" s="41">
        <v>10</v>
      </c>
    </row>
    <row r="1100" spans="1:8" ht="16" x14ac:dyDescent="0.2">
      <c r="A1100" s="41" t="s">
        <v>786</v>
      </c>
      <c r="B1100" s="41" t="s">
        <v>6024</v>
      </c>
      <c r="C1100" s="41" t="s">
        <v>3490</v>
      </c>
      <c r="D1100" s="42">
        <v>40267</v>
      </c>
      <c r="E1100" s="41">
        <v>10</v>
      </c>
      <c r="F1100" s="41">
        <v>1</v>
      </c>
      <c r="G1100" s="41" t="s">
        <v>6025</v>
      </c>
      <c r="H1100" s="41">
        <v>10</v>
      </c>
    </row>
    <row r="1101" spans="1:8" ht="16" x14ac:dyDescent="0.2">
      <c r="A1101" s="41" t="s">
        <v>787</v>
      </c>
      <c r="B1101" s="41" t="s">
        <v>6026</v>
      </c>
      <c r="C1101" s="41" t="s">
        <v>3490</v>
      </c>
      <c r="D1101" s="42">
        <v>45240</v>
      </c>
      <c r="E1101" s="41">
        <v>10</v>
      </c>
      <c r="F1101" s="41">
        <v>1</v>
      </c>
      <c r="G1101" s="41" t="s">
        <v>6027</v>
      </c>
      <c r="H1101" s="41">
        <v>10</v>
      </c>
    </row>
    <row r="1102" spans="1:8" ht="16" x14ac:dyDescent="0.2">
      <c r="A1102" s="41" t="s">
        <v>6028</v>
      </c>
      <c r="B1102" s="41" t="s">
        <v>6029</v>
      </c>
      <c r="C1102" s="41" t="s">
        <v>3490</v>
      </c>
      <c r="D1102" s="42">
        <v>43669</v>
      </c>
      <c r="E1102" s="41">
        <v>10</v>
      </c>
      <c r="F1102" s="41">
        <v>1</v>
      </c>
      <c r="G1102" s="41" t="s">
        <v>6030</v>
      </c>
      <c r="H1102" s="41">
        <v>10</v>
      </c>
    </row>
    <row r="1103" spans="1:8" ht="16" x14ac:dyDescent="0.2">
      <c r="A1103" s="41" t="s">
        <v>788</v>
      </c>
      <c r="B1103" s="41" t="s">
        <v>6031</v>
      </c>
      <c r="C1103" s="41" t="s">
        <v>3510</v>
      </c>
      <c r="D1103" s="42">
        <v>34969</v>
      </c>
      <c r="E1103" s="41">
        <v>10</v>
      </c>
      <c r="F1103" s="41">
        <v>1</v>
      </c>
      <c r="G1103" s="41" t="s">
        <v>6032</v>
      </c>
      <c r="H1103" s="41">
        <v>10</v>
      </c>
    </row>
    <row r="1104" spans="1:8" ht="16" x14ac:dyDescent="0.2">
      <c r="A1104" s="41" t="s">
        <v>789</v>
      </c>
      <c r="B1104" s="41" t="s">
        <v>6033</v>
      </c>
      <c r="C1104" s="41" t="s">
        <v>3490</v>
      </c>
      <c r="D1104" s="42">
        <v>36005</v>
      </c>
      <c r="E1104" s="41">
        <v>2</v>
      </c>
      <c r="F1104" s="41">
        <v>1</v>
      </c>
      <c r="G1104" s="41" t="s">
        <v>6034</v>
      </c>
      <c r="H1104" s="41">
        <v>2</v>
      </c>
    </row>
    <row r="1105" spans="1:8" ht="16" x14ac:dyDescent="0.2">
      <c r="A1105" s="41" t="s">
        <v>790</v>
      </c>
      <c r="B1105" s="41" t="s">
        <v>6035</v>
      </c>
      <c r="C1105" s="41" t="s">
        <v>3490</v>
      </c>
      <c r="D1105" s="42">
        <v>44698</v>
      </c>
      <c r="E1105" s="41">
        <v>10</v>
      </c>
      <c r="F1105" s="41">
        <v>1</v>
      </c>
      <c r="G1105" s="41" t="s">
        <v>6036</v>
      </c>
      <c r="H1105" s="41">
        <v>10</v>
      </c>
    </row>
    <row r="1106" spans="1:8" ht="16" x14ac:dyDescent="0.2">
      <c r="A1106" s="41" t="s">
        <v>791</v>
      </c>
      <c r="B1106" s="41" t="s">
        <v>6037</v>
      </c>
      <c r="C1106" s="41" t="s">
        <v>3490</v>
      </c>
      <c r="D1106" s="42">
        <v>44119</v>
      </c>
      <c r="E1106" s="41">
        <v>5</v>
      </c>
      <c r="F1106" s="41">
        <v>1</v>
      </c>
      <c r="G1106" s="41" t="s">
        <v>6038</v>
      </c>
      <c r="H1106" s="41">
        <v>5</v>
      </c>
    </row>
    <row r="1107" spans="1:8" ht="16" x14ac:dyDescent="0.2">
      <c r="A1107" s="41" t="s">
        <v>792</v>
      </c>
      <c r="B1107" s="41" t="s">
        <v>6039</v>
      </c>
      <c r="C1107" s="41" t="s">
        <v>3510</v>
      </c>
      <c r="D1107" s="42">
        <v>42072</v>
      </c>
      <c r="E1107" s="41">
        <v>5</v>
      </c>
      <c r="F1107" s="41">
        <v>1</v>
      </c>
      <c r="G1107" s="41" t="s">
        <v>6040</v>
      </c>
      <c r="H1107" s="41">
        <v>5</v>
      </c>
    </row>
    <row r="1108" spans="1:8" ht="16" x14ac:dyDescent="0.2">
      <c r="A1108" s="41" t="s">
        <v>793</v>
      </c>
      <c r="B1108" s="41" t="s">
        <v>6041</v>
      </c>
      <c r="C1108" s="41" t="s">
        <v>3490</v>
      </c>
      <c r="D1108" s="42">
        <v>42355</v>
      </c>
      <c r="E1108" s="41">
        <v>10</v>
      </c>
      <c r="F1108" s="41">
        <v>1</v>
      </c>
      <c r="G1108" s="41" t="s">
        <v>6042</v>
      </c>
      <c r="H1108" s="41">
        <v>10</v>
      </c>
    </row>
    <row r="1109" spans="1:8" ht="16" x14ac:dyDescent="0.2">
      <c r="A1109" s="41" t="s">
        <v>794</v>
      </c>
      <c r="B1109" s="41" t="s">
        <v>6043</v>
      </c>
      <c r="C1109" s="41" t="s">
        <v>3490</v>
      </c>
      <c r="D1109" s="42">
        <v>36327</v>
      </c>
      <c r="E1109" s="41">
        <v>10</v>
      </c>
      <c r="F1109" s="41">
        <v>1</v>
      </c>
      <c r="G1109" s="41" t="s">
        <v>6044</v>
      </c>
      <c r="H1109" s="41">
        <v>10</v>
      </c>
    </row>
    <row r="1110" spans="1:8" ht="16" x14ac:dyDescent="0.2">
      <c r="A1110" s="41" t="s">
        <v>795</v>
      </c>
      <c r="B1110" s="41" t="s">
        <v>6045</v>
      </c>
      <c r="C1110" s="41" t="s">
        <v>3490</v>
      </c>
      <c r="D1110" s="42">
        <v>42569</v>
      </c>
      <c r="E1110" s="41">
        <v>1</v>
      </c>
      <c r="F1110" s="41">
        <v>1</v>
      </c>
      <c r="G1110" s="41" t="s">
        <v>6046</v>
      </c>
      <c r="H1110" s="41">
        <v>1</v>
      </c>
    </row>
    <row r="1111" spans="1:8" ht="16" x14ac:dyDescent="0.2">
      <c r="A1111" s="41" t="s">
        <v>6047</v>
      </c>
      <c r="B1111" s="41" t="s">
        <v>6048</v>
      </c>
      <c r="C1111" s="41" t="s">
        <v>3490</v>
      </c>
      <c r="D1111" s="42">
        <v>45582</v>
      </c>
      <c r="E1111" s="41">
        <v>1</v>
      </c>
      <c r="F1111" s="41">
        <v>1</v>
      </c>
      <c r="G1111" s="41" t="s">
        <v>6049</v>
      </c>
      <c r="H1111" s="41">
        <v>1</v>
      </c>
    </row>
    <row r="1112" spans="1:8" ht="16" x14ac:dyDescent="0.2">
      <c r="A1112" s="41" t="s">
        <v>796</v>
      </c>
      <c r="B1112" s="41" t="s">
        <v>6050</v>
      </c>
      <c r="C1112" s="41" t="s">
        <v>3490</v>
      </c>
      <c r="D1112" s="42">
        <v>45124</v>
      </c>
      <c r="E1112" s="41">
        <v>1</v>
      </c>
      <c r="F1112" s="41">
        <v>1</v>
      </c>
      <c r="G1112" s="41" t="s">
        <v>6051</v>
      </c>
      <c r="H1112" s="41">
        <v>1</v>
      </c>
    </row>
    <row r="1113" spans="1:8" ht="16" x14ac:dyDescent="0.2">
      <c r="A1113" s="41" t="s">
        <v>6052</v>
      </c>
      <c r="B1113" s="41" t="s">
        <v>6053</v>
      </c>
      <c r="C1113" s="41" t="s">
        <v>3490</v>
      </c>
      <c r="D1113" s="42">
        <v>34787</v>
      </c>
      <c r="E1113" s="41">
        <v>10</v>
      </c>
      <c r="F1113" s="41">
        <v>1</v>
      </c>
      <c r="G1113" s="41" t="s">
        <v>6054</v>
      </c>
      <c r="H1113" s="41">
        <v>10</v>
      </c>
    </row>
    <row r="1114" spans="1:8" ht="16" x14ac:dyDescent="0.2">
      <c r="A1114" s="41" t="s">
        <v>797</v>
      </c>
      <c r="B1114" s="41" t="s">
        <v>6055</v>
      </c>
      <c r="C1114" s="41" t="s">
        <v>3490</v>
      </c>
      <c r="D1114" s="42">
        <v>44305</v>
      </c>
      <c r="E1114" s="41">
        <v>10</v>
      </c>
      <c r="F1114" s="41">
        <v>1</v>
      </c>
      <c r="G1114" s="41" t="s">
        <v>6056</v>
      </c>
      <c r="H1114" s="41">
        <v>10</v>
      </c>
    </row>
    <row r="1115" spans="1:8" ht="16" x14ac:dyDescent="0.2">
      <c r="A1115" s="41" t="s">
        <v>798</v>
      </c>
      <c r="B1115" s="41" t="s">
        <v>6057</v>
      </c>
      <c r="C1115" s="41" t="s">
        <v>3490</v>
      </c>
      <c r="D1115" s="42">
        <v>38842</v>
      </c>
      <c r="E1115" s="41">
        <v>10</v>
      </c>
      <c r="F1115" s="41">
        <v>1</v>
      </c>
      <c r="G1115" s="41" t="s">
        <v>6058</v>
      </c>
      <c r="H1115" s="41">
        <v>10</v>
      </c>
    </row>
    <row r="1116" spans="1:8" ht="16" x14ac:dyDescent="0.2">
      <c r="A1116" s="41" t="s">
        <v>6059</v>
      </c>
      <c r="B1116" s="41" t="s">
        <v>6060</v>
      </c>
      <c r="C1116" s="41" t="s">
        <v>3510</v>
      </c>
      <c r="D1116" s="42">
        <v>45166</v>
      </c>
      <c r="E1116" s="41">
        <v>10</v>
      </c>
      <c r="F1116" s="41">
        <v>1</v>
      </c>
      <c r="G1116" s="41" t="s">
        <v>6061</v>
      </c>
      <c r="H1116" s="41">
        <v>10</v>
      </c>
    </row>
    <row r="1117" spans="1:8" ht="16" x14ac:dyDescent="0.2">
      <c r="A1117" s="41" t="s">
        <v>6062</v>
      </c>
      <c r="B1117" s="41" t="s">
        <v>6063</v>
      </c>
      <c r="C1117" s="41" t="s">
        <v>3490</v>
      </c>
      <c r="D1117" s="42">
        <v>45875</v>
      </c>
      <c r="E1117" s="41">
        <v>1</v>
      </c>
      <c r="F1117" s="41">
        <v>1</v>
      </c>
      <c r="G1117" s="41" t="s">
        <v>6064</v>
      </c>
      <c r="H1117" s="41">
        <v>1</v>
      </c>
    </row>
    <row r="1118" spans="1:8" ht="16" x14ac:dyDescent="0.2">
      <c r="A1118" s="41" t="s">
        <v>6065</v>
      </c>
      <c r="B1118" s="41" t="s">
        <v>6066</v>
      </c>
      <c r="C1118" s="41" t="s">
        <v>3510</v>
      </c>
      <c r="D1118" s="42">
        <v>39640</v>
      </c>
      <c r="E1118" s="41">
        <v>10</v>
      </c>
      <c r="F1118" s="41">
        <v>1</v>
      </c>
      <c r="G1118" s="41" t="s">
        <v>6067</v>
      </c>
      <c r="H1118" s="41">
        <v>10</v>
      </c>
    </row>
    <row r="1119" spans="1:8" ht="16" x14ac:dyDescent="0.2">
      <c r="A1119" s="41" t="s">
        <v>6068</v>
      </c>
      <c r="B1119" s="41" t="s">
        <v>6069</v>
      </c>
      <c r="C1119" s="41" t="s">
        <v>3490</v>
      </c>
      <c r="D1119" s="42">
        <v>40626</v>
      </c>
      <c r="E1119" s="41">
        <v>10</v>
      </c>
      <c r="F1119" s="41">
        <v>1</v>
      </c>
      <c r="G1119" s="41" t="s">
        <v>6070</v>
      </c>
      <c r="H1119" s="41">
        <v>10</v>
      </c>
    </row>
    <row r="1120" spans="1:8" ht="16" x14ac:dyDescent="0.2">
      <c r="A1120" s="41" t="s">
        <v>6071</v>
      </c>
      <c r="B1120" s="41" t="s">
        <v>6072</v>
      </c>
      <c r="C1120" s="41" t="s">
        <v>3510</v>
      </c>
      <c r="D1120" s="42">
        <v>44784</v>
      </c>
      <c r="E1120" s="41">
        <v>10</v>
      </c>
      <c r="F1120" s="41">
        <v>1</v>
      </c>
      <c r="G1120" s="41" t="s">
        <v>6073</v>
      </c>
      <c r="H1120" s="41">
        <v>10</v>
      </c>
    </row>
    <row r="1121" spans="1:8" ht="16" x14ac:dyDescent="0.2">
      <c r="A1121" s="41" t="s">
        <v>6074</v>
      </c>
      <c r="B1121" s="41" t="s">
        <v>6075</v>
      </c>
      <c r="C1121" s="41" t="s">
        <v>3490</v>
      </c>
      <c r="D1121" s="42">
        <v>39672</v>
      </c>
      <c r="E1121" s="41">
        <v>1</v>
      </c>
      <c r="F1121" s="41">
        <v>1</v>
      </c>
      <c r="G1121" s="41" t="s">
        <v>6076</v>
      </c>
      <c r="H1121" s="41">
        <v>1</v>
      </c>
    </row>
    <row r="1122" spans="1:8" ht="16" x14ac:dyDescent="0.2">
      <c r="A1122" s="41" t="s">
        <v>799</v>
      </c>
      <c r="B1122" s="41" t="s">
        <v>6077</v>
      </c>
      <c r="C1122" s="41" t="s">
        <v>3490</v>
      </c>
      <c r="D1122" s="42">
        <v>38161</v>
      </c>
      <c r="E1122" s="41">
        <v>2</v>
      </c>
      <c r="F1122" s="41">
        <v>1</v>
      </c>
      <c r="G1122" s="41" t="s">
        <v>6078</v>
      </c>
      <c r="H1122" s="41">
        <v>2</v>
      </c>
    </row>
    <row r="1123" spans="1:8" ht="16" x14ac:dyDescent="0.2">
      <c r="A1123" s="41" t="s">
        <v>800</v>
      </c>
      <c r="B1123" s="41" t="s">
        <v>6079</v>
      </c>
      <c r="C1123" s="41" t="s">
        <v>3490</v>
      </c>
      <c r="D1123" s="42">
        <v>40767</v>
      </c>
      <c r="E1123" s="41">
        <v>10</v>
      </c>
      <c r="F1123" s="41">
        <v>1</v>
      </c>
      <c r="G1123" s="41" t="s">
        <v>6080</v>
      </c>
      <c r="H1123" s="41">
        <v>10</v>
      </c>
    </row>
    <row r="1124" spans="1:8" ht="16" x14ac:dyDescent="0.2">
      <c r="A1124" s="41" t="s">
        <v>801</v>
      </c>
      <c r="B1124" s="41" t="s">
        <v>6081</v>
      </c>
      <c r="C1124" s="41" t="s">
        <v>3490</v>
      </c>
      <c r="D1124" s="42">
        <v>39069</v>
      </c>
      <c r="E1124" s="41">
        <v>1</v>
      </c>
      <c r="F1124" s="41">
        <v>1</v>
      </c>
      <c r="G1124" s="41" t="s">
        <v>6082</v>
      </c>
      <c r="H1124" s="41">
        <v>1</v>
      </c>
    </row>
    <row r="1125" spans="1:8" ht="16" x14ac:dyDescent="0.2">
      <c r="A1125" s="41" t="s">
        <v>802</v>
      </c>
      <c r="B1125" s="41" t="s">
        <v>6083</v>
      </c>
      <c r="C1125" s="41" t="s">
        <v>3490</v>
      </c>
      <c r="D1125" s="42">
        <v>42572</v>
      </c>
      <c r="E1125" s="41">
        <v>1</v>
      </c>
      <c r="F1125" s="41">
        <v>1</v>
      </c>
      <c r="G1125" s="41" t="s">
        <v>6084</v>
      </c>
      <c r="H1125" s="41">
        <v>1</v>
      </c>
    </row>
    <row r="1126" spans="1:8" ht="16" x14ac:dyDescent="0.2">
      <c r="A1126" s="41" t="s">
        <v>803</v>
      </c>
      <c r="B1126" s="41" t="s">
        <v>6085</v>
      </c>
      <c r="C1126" s="41" t="s">
        <v>3490</v>
      </c>
      <c r="D1126" s="42">
        <v>42636</v>
      </c>
      <c r="E1126" s="41">
        <v>2</v>
      </c>
      <c r="F1126" s="41">
        <v>1</v>
      </c>
      <c r="G1126" s="41" t="s">
        <v>6086</v>
      </c>
      <c r="H1126" s="41">
        <v>2</v>
      </c>
    </row>
    <row r="1127" spans="1:8" ht="16" x14ac:dyDescent="0.2">
      <c r="A1127" s="41" t="s">
        <v>804</v>
      </c>
      <c r="B1127" s="41" t="s">
        <v>6087</v>
      </c>
      <c r="C1127" s="41" t="s">
        <v>3490</v>
      </c>
      <c r="D1127" s="42">
        <v>34948</v>
      </c>
      <c r="E1127" s="41">
        <v>10</v>
      </c>
      <c r="F1127" s="41">
        <v>1</v>
      </c>
      <c r="G1127" s="41" t="s">
        <v>6088</v>
      </c>
      <c r="H1127" s="41">
        <v>10</v>
      </c>
    </row>
    <row r="1128" spans="1:8" ht="16" x14ac:dyDescent="0.2">
      <c r="A1128" s="41" t="s">
        <v>805</v>
      </c>
      <c r="B1128" s="41" t="s">
        <v>6089</v>
      </c>
      <c r="C1128" s="41" t="s">
        <v>3490</v>
      </c>
      <c r="D1128" s="42">
        <v>39098</v>
      </c>
      <c r="E1128" s="41">
        <v>2</v>
      </c>
      <c r="F1128" s="41">
        <v>1</v>
      </c>
      <c r="G1128" s="41" t="s">
        <v>6090</v>
      </c>
      <c r="H1128" s="41">
        <v>2</v>
      </c>
    </row>
    <row r="1129" spans="1:8" ht="16" x14ac:dyDescent="0.2">
      <c r="A1129" s="41" t="s">
        <v>806</v>
      </c>
      <c r="B1129" s="41" t="s">
        <v>6091</v>
      </c>
      <c r="C1129" s="41" t="s">
        <v>3490</v>
      </c>
      <c r="D1129" s="42">
        <v>37144</v>
      </c>
      <c r="E1129" s="41">
        <v>2</v>
      </c>
      <c r="F1129" s="41">
        <v>1</v>
      </c>
      <c r="G1129" s="41" t="s">
        <v>6092</v>
      </c>
      <c r="H1129" s="41">
        <v>2</v>
      </c>
    </row>
    <row r="1130" spans="1:8" ht="16" x14ac:dyDescent="0.2">
      <c r="A1130" s="41" t="s">
        <v>807</v>
      </c>
      <c r="B1130" s="41" t="s">
        <v>6093</v>
      </c>
      <c r="C1130" s="41" t="s">
        <v>3490</v>
      </c>
      <c r="D1130" s="42">
        <v>42338</v>
      </c>
      <c r="E1130" s="41">
        <v>2</v>
      </c>
      <c r="F1130" s="41">
        <v>1</v>
      </c>
      <c r="G1130" s="41" t="s">
        <v>6094</v>
      </c>
      <c r="H1130" s="41">
        <v>2</v>
      </c>
    </row>
    <row r="1131" spans="1:8" ht="16" x14ac:dyDescent="0.2">
      <c r="A1131" s="41" t="s">
        <v>808</v>
      </c>
      <c r="B1131" s="41" t="s">
        <v>6095</v>
      </c>
      <c r="C1131" s="41" t="s">
        <v>3490</v>
      </c>
      <c r="D1131" s="42">
        <v>44280</v>
      </c>
      <c r="E1131" s="41">
        <v>2</v>
      </c>
      <c r="F1131" s="41">
        <v>1</v>
      </c>
      <c r="G1131" s="41" t="s">
        <v>6096</v>
      </c>
      <c r="H1131" s="41">
        <v>2</v>
      </c>
    </row>
    <row r="1132" spans="1:8" ht="16" x14ac:dyDescent="0.2">
      <c r="A1132" s="41" t="s">
        <v>6097</v>
      </c>
      <c r="B1132" s="41" t="s">
        <v>6098</v>
      </c>
      <c r="C1132" s="41" t="s">
        <v>3490</v>
      </c>
      <c r="D1132" s="42">
        <v>34738</v>
      </c>
      <c r="E1132" s="41">
        <v>10</v>
      </c>
      <c r="F1132" s="41">
        <v>1</v>
      </c>
      <c r="G1132" s="41" t="s">
        <v>6099</v>
      </c>
      <c r="H1132" s="41">
        <v>10</v>
      </c>
    </row>
    <row r="1133" spans="1:8" ht="16" x14ac:dyDescent="0.2">
      <c r="A1133" s="41" t="s">
        <v>6100</v>
      </c>
      <c r="B1133" s="41" t="s">
        <v>6101</v>
      </c>
      <c r="C1133" s="41" t="s">
        <v>3510</v>
      </c>
      <c r="D1133" s="42">
        <v>41583</v>
      </c>
      <c r="E1133" s="41">
        <v>10</v>
      </c>
      <c r="F1133" s="41">
        <v>1</v>
      </c>
      <c r="G1133" s="41" t="s">
        <v>6102</v>
      </c>
      <c r="H1133" s="41">
        <v>10</v>
      </c>
    </row>
    <row r="1134" spans="1:8" ht="16" x14ac:dyDescent="0.2">
      <c r="A1134" s="41" t="s">
        <v>809</v>
      </c>
      <c r="B1134" s="41" t="s">
        <v>6103</v>
      </c>
      <c r="C1134" s="41" t="s">
        <v>3490</v>
      </c>
      <c r="D1134" s="42">
        <v>35067</v>
      </c>
      <c r="E1134" s="41">
        <v>5</v>
      </c>
      <c r="F1134" s="41">
        <v>1</v>
      </c>
      <c r="G1134" s="41" t="s">
        <v>6104</v>
      </c>
      <c r="H1134" s="41">
        <v>5</v>
      </c>
    </row>
    <row r="1135" spans="1:8" ht="16" x14ac:dyDescent="0.2">
      <c r="A1135" s="41" t="s">
        <v>810</v>
      </c>
      <c r="B1135" s="41" t="s">
        <v>6105</v>
      </c>
      <c r="C1135" s="41" t="s">
        <v>3490</v>
      </c>
      <c r="D1135" s="42">
        <v>38793</v>
      </c>
      <c r="E1135" s="41">
        <v>2</v>
      </c>
      <c r="F1135" s="41">
        <v>1</v>
      </c>
      <c r="G1135" s="41" t="s">
        <v>6106</v>
      </c>
      <c r="H1135" s="41">
        <v>2</v>
      </c>
    </row>
    <row r="1136" spans="1:8" ht="16" x14ac:dyDescent="0.2">
      <c r="A1136" s="41" t="s">
        <v>811</v>
      </c>
      <c r="B1136" s="41" t="s">
        <v>6107</v>
      </c>
      <c r="C1136" s="41" t="s">
        <v>3510</v>
      </c>
      <c r="D1136" s="42">
        <v>39377</v>
      </c>
      <c r="E1136" s="41">
        <v>5</v>
      </c>
      <c r="F1136" s="41">
        <v>1</v>
      </c>
      <c r="G1136" s="41" t="s">
        <v>6108</v>
      </c>
      <c r="H1136" s="41">
        <v>5</v>
      </c>
    </row>
    <row r="1137" spans="1:8" ht="16" x14ac:dyDescent="0.2">
      <c r="A1137" s="41" t="s">
        <v>812</v>
      </c>
      <c r="B1137" s="41" t="s">
        <v>6109</v>
      </c>
      <c r="C1137" s="41" t="s">
        <v>3490</v>
      </c>
      <c r="D1137" s="42">
        <v>44062</v>
      </c>
      <c r="E1137" s="41">
        <v>10</v>
      </c>
      <c r="F1137" s="41">
        <v>1</v>
      </c>
      <c r="G1137" s="41" t="s">
        <v>6110</v>
      </c>
      <c r="H1137" s="41">
        <v>10</v>
      </c>
    </row>
    <row r="1138" spans="1:8" ht="16" x14ac:dyDescent="0.2">
      <c r="A1138" s="41" t="s">
        <v>6111</v>
      </c>
      <c r="B1138" s="41" t="s">
        <v>6112</v>
      </c>
      <c r="C1138" s="41" t="s">
        <v>3490</v>
      </c>
      <c r="D1138" s="42">
        <v>39436</v>
      </c>
      <c r="E1138" s="41">
        <v>10</v>
      </c>
      <c r="F1138" s="41">
        <v>1</v>
      </c>
      <c r="G1138" s="41" t="s">
        <v>6113</v>
      </c>
      <c r="H1138" s="41">
        <v>10</v>
      </c>
    </row>
    <row r="1139" spans="1:8" ht="16" x14ac:dyDescent="0.2">
      <c r="A1139" s="41" t="s">
        <v>6114</v>
      </c>
      <c r="B1139" s="41" t="s">
        <v>6115</v>
      </c>
      <c r="C1139" s="41" t="s">
        <v>3510</v>
      </c>
      <c r="D1139" s="42">
        <v>38995</v>
      </c>
      <c r="E1139" s="41">
        <v>1</v>
      </c>
      <c r="F1139" s="41">
        <v>1</v>
      </c>
      <c r="G1139" s="41" t="s">
        <v>6116</v>
      </c>
      <c r="H1139" s="41">
        <v>1</v>
      </c>
    </row>
    <row r="1140" spans="1:8" ht="16" x14ac:dyDescent="0.2">
      <c r="A1140" s="41" t="s">
        <v>813</v>
      </c>
      <c r="B1140" s="41" t="s">
        <v>6117</v>
      </c>
      <c r="C1140" s="41" t="s">
        <v>3490</v>
      </c>
      <c r="D1140" s="42">
        <v>35636</v>
      </c>
      <c r="E1140" s="41">
        <v>10</v>
      </c>
      <c r="F1140" s="41">
        <v>1</v>
      </c>
      <c r="G1140" s="41" t="s">
        <v>6118</v>
      </c>
      <c r="H1140" s="41">
        <v>10</v>
      </c>
    </row>
    <row r="1141" spans="1:8" ht="16" x14ac:dyDescent="0.2">
      <c r="A1141" s="41" t="s">
        <v>814</v>
      </c>
      <c r="B1141" s="41" t="s">
        <v>6119</v>
      </c>
      <c r="C1141" s="41" t="s">
        <v>3490</v>
      </c>
      <c r="D1141" s="42">
        <v>42944</v>
      </c>
      <c r="E1141" s="41">
        <v>10</v>
      </c>
      <c r="F1141" s="41">
        <v>1</v>
      </c>
      <c r="G1141" s="41" t="s">
        <v>6120</v>
      </c>
      <c r="H1141" s="41">
        <v>10</v>
      </c>
    </row>
    <row r="1142" spans="1:8" ht="16" x14ac:dyDescent="0.2">
      <c r="A1142" s="41" t="s">
        <v>6121</v>
      </c>
      <c r="B1142" s="41" t="s">
        <v>6122</v>
      </c>
      <c r="C1142" s="41" t="s">
        <v>3490</v>
      </c>
      <c r="D1142" s="42">
        <v>39345</v>
      </c>
      <c r="E1142" s="41">
        <v>10</v>
      </c>
      <c r="F1142" s="41">
        <v>1</v>
      </c>
      <c r="G1142" s="41" t="s">
        <v>6123</v>
      </c>
      <c r="H1142" s="41">
        <v>10</v>
      </c>
    </row>
    <row r="1143" spans="1:8" ht="16" x14ac:dyDescent="0.2">
      <c r="A1143" s="41" t="s">
        <v>815</v>
      </c>
      <c r="B1143" s="41" t="s">
        <v>6124</v>
      </c>
      <c r="C1143" s="41" t="s">
        <v>3490</v>
      </c>
      <c r="D1143" s="42">
        <v>38089</v>
      </c>
      <c r="E1143" s="41">
        <v>10</v>
      </c>
      <c r="F1143" s="41">
        <v>1</v>
      </c>
      <c r="G1143" s="41" t="s">
        <v>6125</v>
      </c>
      <c r="H1143" s="41">
        <v>10</v>
      </c>
    </row>
    <row r="1144" spans="1:8" ht="16" x14ac:dyDescent="0.2">
      <c r="A1144" s="41" t="s">
        <v>6126</v>
      </c>
      <c r="B1144" s="41" t="s">
        <v>6127</v>
      </c>
      <c r="C1144" s="41" t="s">
        <v>3490</v>
      </c>
      <c r="D1144" s="42">
        <v>35816</v>
      </c>
      <c r="E1144" s="41">
        <v>10</v>
      </c>
      <c r="F1144" s="41">
        <v>1</v>
      </c>
      <c r="G1144" s="41" t="s">
        <v>6128</v>
      </c>
      <c r="H1144" s="41">
        <v>10</v>
      </c>
    </row>
    <row r="1145" spans="1:8" ht="16" x14ac:dyDescent="0.2">
      <c r="A1145" s="41" t="s">
        <v>6129</v>
      </c>
      <c r="B1145" s="41" t="s">
        <v>6130</v>
      </c>
      <c r="C1145" s="41" t="s">
        <v>3490</v>
      </c>
      <c r="D1145" s="42">
        <v>42552</v>
      </c>
      <c r="E1145" s="41">
        <v>10</v>
      </c>
      <c r="F1145" s="41">
        <v>1</v>
      </c>
      <c r="G1145" s="41" t="s">
        <v>6131</v>
      </c>
      <c r="H1145" s="41">
        <v>10</v>
      </c>
    </row>
    <row r="1146" spans="1:8" ht="16" x14ac:dyDescent="0.2">
      <c r="A1146" s="41" t="s">
        <v>6132</v>
      </c>
      <c r="B1146" s="41" t="s">
        <v>6133</v>
      </c>
      <c r="C1146" s="41" t="s">
        <v>3490</v>
      </c>
      <c r="D1146" s="42">
        <v>43875</v>
      </c>
      <c r="E1146" s="41">
        <v>10</v>
      </c>
      <c r="F1146" s="41">
        <v>1</v>
      </c>
      <c r="G1146" s="41" t="s">
        <v>6134</v>
      </c>
      <c r="H1146" s="41">
        <v>10</v>
      </c>
    </row>
    <row r="1147" spans="1:8" ht="16" x14ac:dyDescent="0.2">
      <c r="A1147" s="41" t="s">
        <v>6135</v>
      </c>
      <c r="B1147" s="41" t="s">
        <v>6136</v>
      </c>
      <c r="C1147" s="41" t="s">
        <v>3490</v>
      </c>
      <c r="D1147" s="42">
        <v>43570</v>
      </c>
      <c r="E1147" s="41">
        <v>10</v>
      </c>
      <c r="F1147" s="41">
        <v>1</v>
      </c>
      <c r="G1147" s="41" t="s">
        <v>6137</v>
      </c>
      <c r="H1147" s="41">
        <v>10</v>
      </c>
    </row>
    <row r="1148" spans="1:8" ht="16" x14ac:dyDescent="0.2">
      <c r="A1148" s="41" t="s">
        <v>816</v>
      </c>
      <c r="B1148" s="41" t="s">
        <v>6138</v>
      </c>
      <c r="C1148" s="41" t="s">
        <v>3490</v>
      </c>
      <c r="D1148" s="42">
        <v>36656</v>
      </c>
      <c r="E1148" s="41">
        <v>10</v>
      </c>
      <c r="F1148" s="41">
        <v>1</v>
      </c>
      <c r="G1148" s="41" t="s">
        <v>6139</v>
      </c>
      <c r="H1148" s="41">
        <v>10</v>
      </c>
    </row>
    <row r="1149" spans="1:8" ht="16" x14ac:dyDescent="0.2">
      <c r="A1149" s="41" t="s">
        <v>817</v>
      </c>
      <c r="B1149" s="41" t="s">
        <v>6140</v>
      </c>
      <c r="C1149" s="41" t="s">
        <v>3490</v>
      </c>
      <c r="D1149" s="42">
        <v>43049</v>
      </c>
      <c r="E1149" s="41">
        <v>10</v>
      </c>
      <c r="F1149" s="41">
        <v>1</v>
      </c>
      <c r="G1149" s="41" t="s">
        <v>6141</v>
      </c>
      <c r="H1149" s="41">
        <v>10</v>
      </c>
    </row>
    <row r="1150" spans="1:8" ht="16" x14ac:dyDescent="0.2">
      <c r="A1150" s="41" t="s">
        <v>818</v>
      </c>
      <c r="B1150" s="41" t="s">
        <v>6142</v>
      </c>
      <c r="C1150" s="41" t="s">
        <v>3490</v>
      </c>
      <c r="D1150" s="42">
        <v>34738</v>
      </c>
      <c r="E1150" s="41">
        <v>10</v>
      </c>
      <c r="F1150" s="41">
        <v>1</v>
      </c>
      <c r="G1150" s="41" t="s">
        <v>6143</v>
      </c>
      <c r="H1150" s="41">
        <v>10</v>
      </c>
    </row>
    <row r="1151" spans="1:8" ht="16" x14ac:dyDescent="0.2">
      <c r="A1151" s="41" t="s">
        <v>819</v>
      </c>
      <c r="B1151" s="41" t="s">
        <v>6144</v>
      </c>
      <c r="C1151" s="41" t="s">
        <v>3490</v>
      </c>
      <c r="D1151" s="42">
        <v>38224</v>
      </c>
      <c r="E1151" s="41">
        <v>5</v>
      </c>
      <c r="F1151" s="41">
        <v>1</v>
      </c>
      <c r="G1151" s="41" t="s">
        <v>6145</v>
      </c>
      <c r="H1151" s="41">
        <v>5</v>
      </c>
    </row>
    <row r="1152" spans="1:8" ht="16" x14ac:dyDescent="0.2">
      <c r="A1152" s="41" t="s">
        <v>820</v>
      </c>
      <c r="B1152" s="41" t="s">
        <v>6146</v>
      </c>
      <c r="C1152" s="41" t="s">
        <v>3490</v>
      </c>
      <c r="D1152" s="42">
        <v>40729</v>
      </c>
      <c r="E1152" s="41">
        <v>10</v>
      </c>
      <c r="F1152" s="41">
        <v>1</v>
      </c>
      <c r="G1152" s="41" t="s">
        <v>6147</v>
      </c>
      <c r="H1152" s="41">
        <v>10</v>
      </c>
    </row>
    <row r="1153" spans="1:8" ht="16" x14ac:dyDescent="0.2">
      <c r="A1153" s="41" t="s">
        <v>821</v>
      </c>
      <c r="B1153" s="41" t="s">
        <v>6148</v>
      </c>
      <c r="C1153" s="41" t="s">
        <v>3490</v>
      </c>
      <c r="D1153" s="42">
        <v>44594</v>
      </c>
      <c r="E1153" s="41">
        <v>10</v>
      </c>
      <c r="F1153" s="41">
        <v>1</v>
      </c>
      <c r="G1153" s="41" t="s">
        <v>6149</v>
      </c>
      <c r="H1153" s="41">
        <v>10</v>
      </c>
    </row>
    <row r="1154" spans="1:8" ht="16" x14ac:dyDescent="0.2">
      <c r="A1154" s="41" t="s">
        <v>6150</v>
      </c>
      <c r="B1154" s="41" t="s">
        <v>6151</v>
      </c>
      <c r="C1154" s="41" t="s">
        <v>3490</v>
      </c>
      <c r="D1154" s="42">
        <v>38812</v>
      </c>
      <c r="E1154" s="41">
        <v>10</v>
      </c>
      <c r="F1154" s="41">
        <v>1</v>
      </c>
      <c r="G1154" s="41" t="s">
        <v>6152</v>
      </c>
      <c r="H1154" s="41">
        <v>10</v>
      </c>
    </row>
    <row r="1155" spans="1:8" ht="16" x14ac:dyDescent="0.2">
      <c r="A1155" s="41" t="s">
        <v>6153</v>
      </c>
      <c r="B1155" s="41" t="s">
        <v>6154</v>
      </c>
      <c r="C1155" s="41" t="s">
        <v>3490</v>
      </c>
      <c r="D1155" s="42">
        <v>45653</v>
      </c>
      <c r="E1155" s="41">
        <v>10</v>
      </c>
      <c r="F1155" s="41">
        <v>1</v>
      </c>
      <c r="G1155" s="41" t="s">
        <v>6155</v>
      </c>
      <c r="H1155" s="41">
        <v>10</v>
      </c>
    </row>
    <row r="1156" spans="1:8" ht="16" x14ac:dyDescent="0.2">
      <c r="A1156" s="41" t="s">
        <v>6156</v>
      </c>
      <c r="B1156" s="41" t="s">
        <v>6157</v>
      </c>
      <c r="C1156" s="41" t="s">
        <v>3490</v>
      </c>
      <c r="D1156" s="42">
        <v>42093</v>
      </c>
      <c r="E1156" s="41">
        <v>1</v>
      </c>
      <c r="F1156" s="41">
        <v>1</v>
      </c>
      <c r="G1156" s="41" t="s">
        <v>6158</v>
      </c>
      <c r="H1156" s="41">
        <v>1</v>
      </c>
    </row>
    <row r="1157" spans="1:8" ht="16" x14ac:dyDescent="0.2">
      <c r="A1157" s="41" t="s">
        <v>6159</v>
      </c>
      <c r="B1157" s="41" t="s">
        <v>6160</v>
      </c>
      <c r="C1157" s="41" t="s">
        <v>3490</v>
      </c>
      <c r="D1157" s="42">
        <v>42093</v>
      </c>
      <c r="E1157" s="41">
        <v>1</v>
      </c>
      <c r="F1157" s="41">
        <v>1</v>
      </c>
      <c r="G1157" s="41" t="s">
        <v>6161</v>
      </c>
      <c r="H1157" s="41">
        <v>1</v>
      </c>
    </row>
    <row r="1158" spans="1:8" ht="16" x14ac:dyDescent="0.2">
      <c r="A1158" s="41" t="s">
        <v>822</v>
      </c>
      <c r="B1158" s="41" t="s">
        <v>6162</v>
      </c>
      <c r="C1158" s="41" t="s">
        <v>3490</v>
      </c>
      <c r="D1158" s="42">
        <v>39455</v>
      </c>
      <c r="E1158" s="41">
        <v>2</v>
      </c>
      <c r="F1158" s="41">
        <v>1</v>
      </c>
      <c r="G1158" s="41" t="s">
        <v>6163</v>
      </c>
      <c r="H1158" s="41">
        <v>2</v>
      </c>
    </row>
    <row r="1159" spans="1:8" ht="16" x14ac:dyDescent="0.2">
      <c r="A1159" s="41" t="s">
        <v>6164</v>
      </c>
      <c r="B1159" s="41" t="s">
        <v>6165</v>
      </c>
      <c r="C1159" s="41" t="s">
        <v>3510</v>
      </c>
      <c r="D1159" s="42">
        <v>42093</v>
      </c>
      <c r="E1159" s="41">
        <v>1</v>
      </c>
      <c r="F1159" s="41">
        <v>1</v>
      </c>
      <c r="G1159" s="41" t="s">
        <v>6166</v>
      </c>
      <c r="H1159" s="41">
        <v>1</v>
      </c>
    </row>
    <row r="1160" spans="1:8" ht="16" x14ac:dyDescent="0.2">
      <c r="A1160" s="41" t="s">
        <v>823</v>
      </c>
      <c r="B1160" s="41" t="s">
        <v>6167</v>
      </c>
      <c r="C1160" s="41" t="s">
        <v>3490</v>
      </c>
      <c r="D1160" s="42">
        <v>39057</v>
      </c>
      <c r="E1160" s="41">
        <v>5</v>
      </c>
      <c r="F1160" s="41">
        <v>1</v>
      </c>
      <c r="G1160" s="41" t="s">
        <v>6168</v>
      </c>
      <c r="H1160" s="41">
        <v>5</v>
      </c>
    </row>
    <row r="1161" spans="1:8" ht="16" x14ac:dyDescent="0.2">
      <c r="A1161" s="41" t="s">
        <v>824</v>
      </c>
      <c r="B1161" s="41" t="s">
        <v>6169</v>
      </c>
      <c r="C1161" s="41" t="s">
        <v>3490</v>
      </c>
      <c r="D1161" s="42">
        <v>41974</v>
      </c>
      <c r="E1161" s="41">
        <v>2</v>
      </c>
      <c r="F1161" s="41">
        <v>1</v>
      </c>
      <c r="G1161" s="41" t="s">
        <v>6170</v>
      </c>
      <c r="H1161" s="41">
        <v>2</v>
      </c>
    </row>
    <row r="1162" spans="1:8" ht="16" x14ac:dyDescent="0.2">
      <c r="A1162" s="41" t="s">
        <v>6171</v>
      </c>
      <c r="B1162" s="41" t="s">
        <v>6172</v>
      </c>
      <c r="C1162" s="41" t="s">
        <v>3490</v>
      </c>
      <c r="D1162" s="42">
        <v>45565</v>
      </c>
      <c r="E1162" s="41">
        <v>10</v>
      </c>
      <c r="F1162" s="41">
        <v>1</v>
      </c>
      <c r="G1162" s="41" t="s">
        <v>6173</v>
      </c>
      <c r="H1162" s="41">
        <v>10</v>
      </c>
    </row>
    <row r="1163" spans="1:8" ht="16" x14ac:dyDescent="0.2">
      <c r="A1163" s="41" t="s">
        <v>6174</v>
      </c>
      <c r="B1163" s="41" t="s">
        <v>6175</v>
      </c>
      <c r="C1163" s="41" t="s">
        <v>3490</v>
      </c>
      <c r="D1163" s="42">
        <v>45520</v>
      </c>
      <c r="E1163" s="41">
        <v>10</v>
      </c>
      <c r="F1163" s="41">
        <v>1</v>
      </c>
      <c r="G1163" s="41" t="s">
        <v>6176</v>
      </c>
      <c r="H1163" s="41">
        <v>10</v>
      </c>
    </row>
    <row r="1164" spans="1:8" ht="16" x14ac:dyDescent="0.2">
      <c r="A1164" s="41" t="s">
        <v>6177</v>
      </c>
      <c r="B1164" s="41" t="s">
        <v>6178</v>
      </c>
      <c r="C1164" s="41" t="s">
        <v>3490</v>
      </c>
      <c r="D1164" s="42">
        <v>38495</v>
      </c>
      <c r="E1164" s="41">
        <v>10</v>
      </c>
      <c r="F1164" s="41">
        <v>1</v>
      </c>
      <c r="G1164" s="41" t="s">
        <v>6179</v>
      </c>
      <c r="H1164" s="41">
        <v>10</v>
      </c>
    </row>
    <row r="1165" spans="1:8" ht="16" x14ac:dyDescent="0.2">
      <c r="A1165" s="41" t="s">
        <v>825</v>
      </c>
      <c r="B1165" s="41" t="s">
        <v>6180</v>
      </c>
      <c r="C1165" s="41" t="s">
        <v>3490</v>
      </c>
      <c r="D1165" s="42">
        <v>39377</v>
      </c>
      <c r="E1165" s="41">
        <v>10</v>
      </c>
      <c r="F1165" s="41">
        <v>1</v>
      </c>
      <c r="G1165" s="41" t="s">
        <v>6181</v>
      </c>
      <c r="H1165" s="41">
        <v>10</v>
      </c>
    </row>
    <row r="1166" spans="1:8" ht="16" x14ac:dyDescent="0.2">
      <c r="A1166" s="41" t="s">
        <v>826</v>
      </c>
      <c r="B1166" s="41" t="s">
        <v>6182</v>
      </c>
      <c r="C1166" s="41" t="s">
        <v>3490</v>
      </c>
      <c r="D1166" s="42">
        <v>35067</v>
      </c>
      <c r="E1166" s="41">
        <v>10</v>
      </c>
      <c r="F1166" s="41">
        <v>1</v>
      </c>
      <c r="G1166" s="41" t="s">
        <v>6183</v>
      </c>
      <c r="H1166" s="41">
        <v>10</v>
      </c>
    </row>
    <row r="1167" spans="1:8" ht="16" x14ac:dyDescent="0.2">
      <c r="A1167" s="41" t="s">
        <v>827</v>
      </c>
      <c r="B1167" s="41" t="s">
        <v>6184</v>
      </c>
      <c r="C1167" s="41" t="s">
        <v>3490</v>
      </c>
      <c r="D1167" s="42">
        <v>38527</v>
      </c>
      <c r="E1167" s="41">
        <v>5</v>
      </c>
      <c r="F1167" s="41">
        <v>1</v>
      </c>
      <c r="G1167" s="41" t="s">
        <v>6185</v>
      </c>
      <c r="H1167" s="41">
        <v>5</v>
      </c>
    </row>
    <row r="1168" spans="1:8" ht="16" x14ac:dyDescent="0.2">
      <c r="A1168" s="41" t="s">
        <v>828</v>
      </c>
      <c r="B1168" s="41" t="s">
        <v>6186</v>
      </c>
      <c r="C1168" s="41" t="s">
        <v>3490</v>
      </c>
      <c r="D1168" s="42">
        <v>40248</v>
      </c>
      <c r="E1168" s="41">
        <v>2</v>
      </c>
      <c r="F1168" s="41">
        <v>1</v>
      </c>
      <c r="G1168" s="41" t="s">
        <v>6187</v>
      </c>
      <c r="H1168" s="41">
        <v>2</v>
      </c>
    </row>
    <row r="1169" spans="1:8" ht="16" x14ac:dyDescent="0.2">
      <c r="A1169" s="41" t="s">
        <v>829</v>
      </c>
      <c r="B1169" s="41" t="s">
        <v>6188</v>
      </c>
      <c r="C1169" s="41" t="s">
        <v>3490</v>
      </c>
      <c r="D1169" s="42">
        <v>45055</v>
      </c>
      <c r="E1169" s="41">
        <v>1</v>
      </c>
      <c r="F1169" s="41">
        <v>1</v>
      </c>
      <c r="G1169" s="41" t="s">
        <v>6189</v>
      </c>
      <c r="H1169" s="41">
        <v>1</v>
      </c>
    </row>
    <row r="1170" spans="1:8" ht="16" x14ac:dyDescent="0.2">
      <c r="A1170" s="41" t="s">
        <v>6190</v>
      </c>
      <c r="B1170" s="41" t="s">
        <v>6191</v>
      </c>
      <c r="C1170" s="41" t="s">
        <v>3490</v>
      </c>
      <c r="D1170" s="42">
        <v>44944</v>
      </c>
      <c r="E1170" s="41">
        <v>10</v>
      </c>
      <c r="F1170" s="41">
        <v>1</v>
      </c>
      <c r="G1170" s="41" t="s">
        <v>6192</v>
      </c>
      <c r="H1170" s="41">
        <v>10</v>
      </c>
    </row>
    <row r="1171" spans="1:8" ht="16" x14ac:dyDescent="0.2">
      <c r="A1171" s="41" t="s">
        <v>830</v>
      </c>
      <c r="B1171" s="41" t="s">
        <v>6193</v>
      </c>
      <c r="C1171" s="41" t="s">
        <v>3490</v>
      </c>
      <c r="D1171" s="42">
        <v>44743</v>
      </c>
      <c r="E1171" s="41">
        <v>2</v>
      </c>
      <c r="F1171" s="41">
        <v>1</v>
      </c>
      <c r="G1171" s="41" t="s">
        <v>6194</v>
      </c>
      <c r="H1171" s="41">
        <v>2</v>
      </c>
    </row>
    <row r="1172" spans="1:8" ht="16" x14ac:dyDescent="0.2">
      <c r="A1172" s="41" t="s">
        <v>6195</v>
      </c>
      <c r="B1172" s="41" t="s">
        <v>6196</v>
      </c>
      <c r="C1172" s="41" t="s">
        <v>3510</v>
      </c>
      <c r="D1172" s="42">
        <v>44502</v>
      </c>
      <c r="E1172" s="41">
        <v>10</v>
      </c>
      <c r="F1172" s="41">
        <v>1</v>
      </c>
      <c r="G1172" s="41" t="s">
        <v>6197</v>
      </c>
      <c r="H1172" s="41">
        <v>10</v>
      </c>
    </row>
    <row r="1173" spans="1:8" ht="16" x14ac:dyDescent="0.2">
      <c r="A1173" s="41" t="s">
        <v>6198</v>
      </c>
      <c r="B1173" s="41" t="s">
        <v>6199</v>
      </c>
      <c r="C1173" s="41" t="s">
        <v>3510</v>
      </c>
      <c r="D1173" s="42">
        <v>38974</v>
      </c>
      <c r="E1173" s="41">
        <v>2</v>
      </c>
      <c r="F1173" s="41">
        <v>1</v>
      </c>
      <c r="G1173" s="41" t="s">
        <v>6200</v>
      </c>
      <c r="H1173" s="41">
        <v>2</v>
      </c>
    </row>
    <row r="1174" spans="1:8" ht="16" x14ac:dyDescent="0.2">
      <c r="A1174" s="41" t="s">
        <v>831</v>
      </c>
      <c r="B1174" s="41" t="s">
        <v>6201</v>
      </c>
      <c r="C1174" s="41" t="s">
        <v>3490</v>
      </c>
      <c r="D1174" s="42">
        <v>44608</v>
      </c>
      <c r="E1174" s="41">
        <v>1</v>
      </c>
      <c r="F1174" s="41">
        <v>1</v>
      </c>
      <c r="G1174" s="41" t="s">
        <v>6202</v>
      </c>
      <c r="H1174" s="41">
        <v>1</v>
      </c>
    </row>
    <row r="1175" spans="1:8" ht="16" x14ac:dyDescent="0.2">
      <c r="A1175" s="41" t="s">
        <v>832</v>
      </c>
      <c r="B1175" s="41" t="s">
        <v>6203</v>
      </c>
      <c r="C1175" s="41" t="s">
        <v>3490</v>
      </c>
      <c r="D1175" s="42">
        <v>44551</v>
      </c>
      <c r="E1175" s="41">
        <v>2</v>
      </c>
      <c r="F1175" s="41">
        <v>1</v>
      </c>
      <c r="G1175" s="41" t="s">
        <v>6204</v>
      </c>
      <c r="H1175" s="41">
        <v>2</v>
      </c>
    </row>
    <row r="1176" spans="1:8" ht="16" x14ac:dyDescent="0.2">
      <c r="A1176" s="41" t="s">
        <v>6205</v>
      </c>
      <c r="B1176" s="41" t="s">
        <v>6206</v>
      </c>
      <c r="C1176" s="41" t="s">
        <v>3490</v>
      </c>
      <c r="D1176" s="42">
        <v>34738</v>
      </c>
      <c r="E1176" s="41">
        <v>10</v>
      </c>
      <c r="F1176" s="41">
        <v>1</v>
      </c>
      <c r="G1176" s="41" t="s">
        <v>6207</v>
      </c>
      <c r="H1176" s="41">
        <v>10</v>
      </c>
    </row>
    <row r="1177" spans="1:8" ht="16" x14ac:dyDescent="0.2">
      <c r="A1177" s="41" t="s">
        <v>833</v>
      </c>
      <c r="B1177" s="41" t="s">
        <v>6208</v>
      </c>
      <c r="C1177" s="41" t="s">
        <v>3490</v>
      </c>
      <c r="D1177" s="42">
        <v>42642</v>
      </c>
      <c r="E1177" s="41">
        <v>5</v>
      </c>
      <c r="F1177" s="41">
        <v>1</v>
      </c>
      <c r="G1177" s="41" t="s">
        <v>6209</v>
      </c>
      <c r="H1177" s="41">
        <v>5</v>
      </c>
    </row>
    <row r="1178" spans="1:8" ht="16" x14ac:dyDescent="0.2">
      <c r="A1178" s="41" t="s">
        <v>834</v>
      </c>
      <c r="B1178" s="41" t="s">
        <v>6210</v>
      </c>
      <c r="C1178" s="41" t="s">
        <v>3490</v>
      </c>
      <c r="D1178" s="42">
        <v>35186</v>
      </c>
      <c r="E1178" s="41">
        <v>1</v>
      </c>
      <c r="F1178" s="41">
        <v>1</v>
      </c>
      <c r="G1178" s="41" t="s">
        <v>6211</v>
      </c>
      <c r="H1178" s="41">
        <v>1</v>
      </c>
    </row>
    <row r="1179" spans="1:8" ht="16" x14ac:dyDescent="0.2">
      <c r="A1179" s="41" t="s">
        <v>835</v>
      </c>
      <c r="B1179" s="41" t="s">
        <v>6212</v>
      </c>
      <c r="C1179" s="41" t="s">
        <v>3510</v>
      </c>
      <c r="D1179" s="42">
        <v>44167</v>
      </c>
      <c r="E1179" s="41">
        <v>2</v>
      </c>
      <c r="F1179" s="41">
        <v>1</v>
      </c>
      <c r="G1179" s="41" t="s">
        <v>6213</v>
      </c>
      <c r="H1179" s="41">
        <v>2</v>
      </c>
    </row>
    <row r="1180" spans="1:8" ht="16" x14ac:dyDescent="0.2">
      <c r="A1180" s="41" t="s">
        <v>836</v>
      </c>
      <c r="B1180" s="41" t="s">
        <v>6214</v>
      </c>
      <c r="C1180" s="41" t="s">
        <v>3490</v>
      </c>
      <c r="D1180" s="42">
        <v>37277</v>
      </c>
      <c r="E1180" s="41">
        <v>1</v>
      </c>
      <c r="F1180" s="41">
        <v>1</v>
      </c>
      <c r="G1180" s="41" t="s">
        <v>6215</v>
      </c>
      <c r="H1180" s="41">
        <v>1</v>
      </c>
    </row>
    <row r="1181" spans="1:8" ht="16" x14ac:dyDescent="0.2">
      <c r="A1181" s="41" t="s">
        <v>837</v>
      </c>
      <c r="B1181" s="41" t="s">
        <v>6216</v>
      </c>
      <c r="C1181" s="41" t="s">
        <v>3490</v>
      </c>
      <c r="D1181" s="42">
        <v>37811</v>
      </c>
      <c r="E1181" s="41">
        <v>5</v>
      </c>
      <c r="F1181" s="41">
        <v>1</v>
      </c>
      <c r="G1181" s="41" t="s">
        <v>6217</v>
      </c>
      <c r="H1181" s="41">
        <v>5</v>
      </c>
    </row>
    <row r="1182" spans="1:8" ht="16" x14ac:dyDescent="0.2">
      <c r="A1182" s="41" t="s">
        <v>838</v>
      </c>
      <c r="B1182" s="41" t="s">
        <v>6218</v>
      </c>
      <c r="C1182" s="41" t="s">
        <v>3490</v>
      </c>
      <c r="D1182" s="42">
        <v>43026</v>
      </c>
      <c r="E1182" s="41">
        <v>10</v>
      </c>
      <c r="F1182" s="41">
        <v>1</v>
      </c>
      <c r="G1182" s="41" t="s">
        <v>6219</v>
      </c>
      <c r="H1182" s="41">
        <v>10</v>
      </c>
    </row>
    <row r="1183" spans="1:8" ht="16" x14ac:dyDescent="0.2">
      <c r="A1183" s="41" t="s">
        <v>6220</v>
      </c>
      <c r="B1183" s="41" t="s">
        <v>6221</v>
      </c>
      <c r="C1183" s="41" t="s">
        <v>3490</v>
      </c>
      <c r="D1183" s="42">
        <v>42657</v>
      </c>
      <c r="E1183" s="41">
        <v>10</v>
      </c>
      <c r="F1183" s="41">
        <v>1</v>
      </c>
      <c r="G1183" s="41" t="s">
        <v>6222</v>
      </c>
      <c r="H1183" s="41">
        <v>10</v>
      </c>
    </row>
    <row r="1184" spans="1:8" ht="16" x14ac:dyDescent="0.2">
      <c r="A1184" s="41" t="s">
        <v>839</v>
      </c>
      <c r="B1184" s="41" t="s">
        <v>6223</v>
      </c>
      <c r="C1184" s="41" t="s">
        <v>3490</v>
      </c>
      <c r="D1184" s="42">
        <v>34829</v>
      </c>
      <c r="E1184" s="41">
        <v>5</v>
      </c>
      <c r="F1184" s="41">
        <v>1</v>
      </c>
      <c r="G1184" s="41" t="s">
        <v>6224</v>
      </c>
      <c r="H1184" s="41">
        <v>5</v>
      </c>
    </row>
    <row r="1185" spans="1:8" ht="16" x14ac:dyDescent="0.2">
      <c r="A1185" s="41" t="s">
        <v>840</v>
      </c>
      <c r="B1185" s="41" t="s">
        <v>6225</v>
      </c>
      <c r="C1185" s="41" t="s">
        <v>3490</v>
      </c>
      <c r="D1185" s="42">
        <v>45608</v>
      </c>
      <c r="E1185" s="41">
        <v>1</v>
      </c>
      <c r="F1185" s="41">
        <v>1</v>
      </c>
      <c r="G1185" s="41" t="s">
        <v>6226</v>
      </c>
      <c r="H1185" s="41">
        <v>1</v>
      </c>
    </row>
    <row r="1186" spans="1:8" ht="16" x14ac:dyDescent="0.2">
      <c r="A1186" s="41" t="s">
        <v>841</v>
      </c>
      <c r="B1186" s="41" t="s">
        <v>6227</v>
      </c>
      <c r="C1186" s="41" t="s">
        <v>3490</v>
      </c>
      <c r="D1186" s="42">
        <v>42999</v>
      </c>
      <c r="E1186" s="41">
        <v>5</v>
      </c>
      <c r="F1186" s="41">
        <v>1</v>
      </c>
      <c r="G1186" s="41" t="s">
        <v>6228</v>
      </c>
      <c r="H1186" s="41">
        <v>5</v>
      </c>
    </row>
    <row r="1187" spans="1:8" ht="16" x14ac:dyDescent="0.2">
      <c r="A1187" s="41" t="s">
        <v>6229</v>
      </c>
      <c r="B1187" s="41" t="s">
        <v>6230</v>
      </c>
      <c r="C1187" s="41" t="s">
        <v>3490</v>
      </c>
      <c r="D1187" s="42">
        <v>39892</v>
      </c>
      <c r="E1187" s="41">
        <v>10</v>
      </c>
      <c r="F1187" s="41">
        <v>1</v>
      </c>
      <c r="G1187" s="41" t="s">
        <v>6231</v>
      </c>
      <c r="H1187" s="41">
        <v>10</v>
      </c>
    </row>
    <row r="1188" spans="1:8" ht="16" x14ac:dyDescent="0.2">
      <c r="A1188" s="41" t="s">
        <v>842</v>
      </c>
      <c r="B1188" s="41" t="s">
        <v>6232</v>
      </c>
      <c r="C1188" s="41" t="s">
        <v>3490</v>
      </c>
      <c r="D1188" s="42">
        <v>45229</v>
      </c>
      <c r="E1188" s="41">
        <v>10</v>
      </c>
      <c r="F1188" s="41">
        <v>1</v>
      </c>
      <c r="G1188" s="41" t="s">
        <v>6233</v>
      </c>
      <c r="H1188" s="41">
        <v>10</v>
      </c>
    </row>
    <row r="1189" spans="1:8" ht="16" x14ac:dyDescent="0.2">
      <c r="A1189" s="41" t="s">
        <v>843</v>
      </c>
      <c r="B1189" s="41" t="s">
        <v>6234</v>
      </c>
      <c r="C1189" s="41" t="s">
        <v>3490</v>
      </c>
      <c r="D1189" s="42">
        <v>44064</v>
      </c>
      <c r="E1189" s="41">
        <v>10</v>
      </c>
      <c r="F1189" s="41">
        <v>1</v>
      </c>
      <c r="G1189" s="41" t="s">
        <v>6235</v>
      </c>
      <c r="H1189" s="41">
        <v>10</v>
      </c>
    </row>
    <row r="1190" spans="1:8" ht="16" x14ac:dyDescent="0.2">
      <c r="A1190" s="41" t="s">
        <v>844</v>
      </c>
      <c r="B1190" s="41" t="s">
        <v>6236</v>
      </c>
      <c r="C1190" s="41" t="s">
        <v>3490</v>
      </c>
      <c r="D1190" s="42">
        <v>44071</v>
      </c>
      <c r="E1190" s="41">
        <v>10</v>
      </c>
      <c r="F1190" s="41">
        <v>1</v>
      </c>
      <c r="G1190" s="41" t="s">
        <v>6237</v>
      </c>
      <c r="H1190" s="41">
        <v>10</v>
      </c>
    </row>
    <row r="1191" spans="1:8" ht="16" x14ac:dyDescent="0.2">
      <c r="A1191" s="41" t="s">
        <v>845</v>
      </c>
      <c r="B1191" s="41" t="s">
        <v>6238</v>
      </c>
      <c r="C1191" s="41" t="s">
        <v>3490</v>
      </c>
      <c r="D1191" s="42">
        <v>41177</v>
      </c>
      <c r="E1191" s="41">
        <v>5</v>
      </c>
      <c r="F1191" s="41">
        <v>1</v>
      </c>
      <c r="G1191" s="41" t="s">
        <v>6239</v>
      </c>
      <c r="H1191" s="41">
        <v>5</v>
      </c>
    </row>
    <row r="1192" spans="1:8" ht="16" x14ac:dyDescent="0.2">
      <c r="A1192" s="41" t="s">
        <v>846</v>
      </c>
      <c r="B1192" s="41" t="s">
        <v>6240</v>
      </c>
      <c r="C1192" s="41" t="s">
        <v>3490</v>
      </c>
      <c r="D1192" s="42">
        <v>42675</v>
      </c>
      <c r="E1192" s="41">
        <v>2</v>
      </c>
      <c r="F1192" s="41">
        <v>1</v>
      </c>
      <c r="G1192" s="41" t="s">
        <v>6241</v>
      </c>
      <c r="H1192" s="41">
        <v>2</v>
      </c>
    </row>
    <row r="1193" spans="1:8" ht="16" x14ac:dyDescent="0.2">
      <c r="A1193" s="41" t="s">
        <v>847</v>
      </c>
      <c r="B1193" s="41" t="s">
        <v>6242</v>
      </c>
      <c r="C1193" s="41" t="s">
        <v>3490</v>
      </c>
      <c r="D1193" s="42">
        <v>44116</v>
      </c>
      <c r="E1193" s="41">
        <v>5</v>
      </c>
      <c r="F1193" s="41">
        <v>1</v>
      </c>
      <c r="G1193" s="41" t="s">
        <v>6243</v>
      </c>
      <c r="H1193" s="41">
        <v>5</v>
      </c>
    </row>
    <row r="1194" spans="1:8" ht="16" x14ac:dyDescent="0.2">
      <c r="A1194" s="41" t="s">
        <v>848</v>
      </c>
      <c r="B1194" s="41" t="s">
        <v>6244</v>
      </c>
      <c r="C1194" s="41" t="s">
        <v>3490</v>
      </c>
      <c r="D1194" s="42">
        <v>43699</v>
      </c>
      <c r="E1194" s="41">
        <v>10</v>
      </c>
      <c r="F1194" s="41">
        <v>1</v>
      </c>
      <c r="G1194" s="41" t="s">
        <v>6245</v>
      </c>
      <c r="H1194" s="41">
        <v>10</v>
      </c>
    </row>
    <row r="1195" spans="1:8" ht="16" x14ac:dyDescent="0.2">
      <c r="A1195" s="41" t="s">
        <v>6246</v>
      </c>
      <c r="B1195" s="41" t="s">
        <v>6247</v>
      </c>
      <c r="C1195" s="41" t="s">
        <v>3490</v>
      </c>
      <c r="D1195" s="42">
        <v>45875</v>
      </c>
      <c r="E1195" s="41">
        <v>10</v>
      </c>
      <c r="F1195" s="41">
        <v>1</v>
      </c>
      <c r="G1195" s="41" t="s">
        <v>6248</v>
      </c>
      <c r="H1195" s="41">
        <v>10</v>
      </c>
    </row>
    <row r="1196" spans="1:8" ht="16" x14ac:dyDescent="0.2">
      <c r="A1196" s="41" t="s">
        <v>849</v>
      </c>
      <c r="B1196" s="41" t="s">
        <v>6249</v>
      </c>
      <c r="C1196" s="41" t="s">
        <v>3490</v>
      </c>
      <c r="D1196" s="42">
        <v>40189</v>
      </c>
      <c r="E1196" s="41">
        <v>10</v>
      </c>
      <c r="F1196" s="41">
        <v>1</v>
      </c>
      <c r="G1196" s="41" t="s">
        <v>6250</v>
      </c>
      <c r="H1196" s="41">
        <v>10</v>
      </c>
    </row>
    <row r="1197" spans="1:8" ht="16" x14ac:dyDescent="0.2">
      <c r="A1197" s="41" t="s">
        <v>6251</v>
      </c>
      <c r="B1197" s="41" t="s">
        <v>6252</v>
      </c>
      <c r="C1197" s="41" t="s">
        <v>3490</v>
      </c>
      <c r="D1197" s="42">
        <v>44062</v>
      </c>
      <c r="E1197" s="41">
        <v>5</v>
      </c>
      <c r="F1197" s="41">
        <v>1</v>
      </c>
      <c r="G1197" s="41" t="s">
        <v>6253</v>
      </c>
      <c r="H1197" s="41">
        <v>5</v>
      </c>
    </row>
    <row r="1198" spans="1:8" ht="16" x14ac:dyDescent="0.2">
      <c r="A1198" s="41" t="s">
        <v>6254</v>
      </c>
      <c r="B1198" s="41" t="s">
        <v>6255</v>
      </c>
      <c r="C1198" s="41" t="s">
        <v>3490</v>
      </c>
      <c r="D1198" s="42">
        <v>38562</v>
      </c>
      <c r="E1198" s="41">
        <v>5</v>
      </c>
      <c r="F1198" s="41">
        <v>1</v>
      </c>
      <c r="G1198" s="41" t="s">
        <v>6256</v>
      </c>
      <c r="H1198" s="41">
        <v>5</v>
      </c>
    </row>
    <row r="1199" spans="1:8" ht="16" x14ac:dyDescent="0.2">
      <c r="A1199" s="41" t="s">
        <v>6257</v>
      </c>
      <c r="B1199" s="41" t="s">
        <v>6258</v>
      </c>
      <c r="C1199" s="41" t="s">
        <v>3490</v>
      </c>
      <c r="D1199" s="42">
        <v>45695</v>
      </c>
      <c r="E1199" s="41">
        <v>2</v>
      </c>
      <c r="F1199" s="41">
        <v>1</v>
      </c>
      <c r="G1199" s="41" t="s">
        <v>6259</v>
      </c>
      <c r="H1199" s="41">
        <v>2</v>
      </c>
    </row>
    <row r="1200" spans="1:8" ht="16" x14ac:dyDescent="0.2">
      <c r="A1200" s="41" t="s">
        <v>850</v>
      </c>
      <c r="B1200" s="41" t="s">
        <v>6260</v>
      </c>
      <c r="C1200" s="41" t="s">
        <v>3490</v>
      </c>
      <c r="D1200" s="42">
        <v>40977</v>
      </c>
      <c r="E1200" s="41">
        <v>10</v>
      </c>
      <c r="F1200" s="41">
        <v>1</v>
      </c>
      <c r="G1200" s="41" t="s">
        <v>6261</v>
      </c>
      <c r="H1200" s="41">
        <v>10</v>
      </c>
    </row>
    <row r="1201" spans="1:8" ht="16" x14ac:dyDescent="0.2">
      <c r="A1201" s="41" t="s">
        <v>851</v>
      </c>
      <c r="B1201" s="41" t="s">
        <v>6262</v>
      </c>
      <c r="C1201" s="41" t="s">
        <v>3490</v>
      </c>
      <c r="D1201" s="42">
        <v>44881</v>
      </c>
      <c r="E1201" s="41">
        <v>2</v>
      </c>
      <c r="F1201" s="41">
        <v>1</v>
      </c>
      <c r="G1201" s="41" t="s">
        <v>6263</v>
      </c>
      <c r="H1201" s="41">
        <v>2</v>
      </c>
    </row>
    <row r="1202" spans="1:8" ht="16" x14ac:dyDescent="0.2">
      <c r="A1202" s="41" t="s">
        <v>852</v>
      </c>
      <c r="B1202" s="41" t="s">
        <v>6264</v>
      </c>
      <c r="C1202" s="41" t="s">
        <v>3490</v>
      </c>
      <c r="D1202" s="42">
        <v>45314</v>
      </c>
      <c r="E1202" s="41">
        <v>5</v>
      </c>
      <c r="F1202" s="41">
        <v>1</v>
      </c>
      <c r="G1202" s="41" t="s">
        <v>6265</v>
      </c>
      <c r="H1202" s="41">
        <v>5</v>
      </c>
    </row>
    <row r="1203" spans="1:8" ht="16" x14ac:dyDescent="0.2">
      <c r="A1203" s="41" t="s">
        <v>853</v>
      </c>
      <c r="B1203" s="41" t="s">
        <v>6266</v>
      </c>
      <c r="C1203" s="41" t="s">
        <v>3490</v>
      </c>
      <c r="D1203" s="42">
        <v>44496</v>
      </c>
      <c r="E1203" s="41">
        <v>10</v>
      </c>
      <c r="F1203" s="41">
        <v>1</v>
      </c>
      <c r="G1203" s="41" t="s">
        <v>6267</v>
      </c>
      <c r="H1203" s="41">
        <v>10</v>
      </c>
    </row>
    <row r="1204" spans="1:8" ht="16" x14ac:dyDescent="0.2">
      <c r="A1204" s="41" t="s">
        <v>6268</v>
      </c>
      <c r="B1204" s="41" t="s">
        <v>6269</v>
      </c>
      <c r="C1204" s="41" t="s">
        <v>3490</v>
      </c>
      <c r="D1204" s="42">
        <v>44707</v>
      </c>
      <c r="E1204" s="41">
        <v>2</v>
      </c>
      <c r="F1204" s="41">
        <v>1</v>
      </c>
      <c r="G1204" s="41" t="s">
        <v>6270</v>
      </c>
      <c r="H1204" s="41">
        <v>2</v>
      </c>
    </row>
    <row r="1205" spans="1:8" ht="16" x14ac:dyDescent="0.2">
      <c r="A1205" s="41" t="s">
        <v>854</v>
      </c>
      <c r="B1205" s="41" t="s">
        <v>6271</v>
      </c>
      <c r="C1205" s="41" t="s">
        <v>3490</v>
      </c>
      <c r="D1205" s="42">
        <v>44553</v>
      </c>
      <c r="E1205" s="41">
        <v>2</v>
      </c>
      <c r="F1205" s="41">
        <v>1</v>
      </c>
      <c r="G1205" s="41" t="s">
        <v>6272</v>
      </c>
      <c r="H1205" s="41">
        <v>2</v>
      </c>
    </row>
    <row r="1206" spans="1:8" ht="16" x14ac:dyDescent="0.2">
      <c r="A1206" s="41" t="s">
        <v>855</v>
      </c>
      <c r="B1206" s="41" t="s">
        <v>6273</v>
      </c>
      <c r="C1206" s="41" t="s">
        <v>3510</v>
      </c>
      <c r="D1206" s="42">
        <v>39282</v>
      </c>
      <c r="E1206" s="41">
        <v>10</v>
      </c>
      <c r="F1206" s="41">
        <v>1</v>
      </c>
      <c r="G1206" s="41" t="s">
        <v>6274</v>
      </c>
      <c r="H1206" s="41">
        <v>10</v>
      </c>
    </row>
    <row r="1207" spans="1:8" ht="16" x14ac:dyDescent="0.2">
      <c r="A1207" s="41" t="s">
        <v>6275</v>
      </c>
      <c r="B1207" s="41" t="s">
        <v>6276</v>
      </c>
      <c r="C1207" s="41" t="s">
        <v>3490</v>
      </c>
      <c r="D1207" s="42">
        <v>44608</v>
      </c>
      <c r="E1207" s="41">
        <v>10</v>
      </c>
      <c r="F1207" s="41">
        <v>1</v>
      </c>
      <c r="G1207" s="41" t="s">
        <v>6277</v>
      </c>
      <c r="H1207" s="41">
        <v>10</v>
      </c>
    </row>
    <row r="1208" spans="1:8" ht="16" x14ac:dyDescent="0.2">
      <c r="A1208" s="41" t="s">
        <v>6278</v>
      </c>
      <c r="B1208" s="41" t="s">
        <v>6279</v>
      </c>
      <c r="C1208" s="41" t="s">
        <v>3490</v>
      </c>
      <c r="D1208" s="42">
        <v>45897</v>
      </c>
      <c r="E1208" s="41">
        <v>10</v>
      </c>
      <c r="F1208" s="41">
        <v>1</v>
      </c>
      <c r="G1208" s="41" t="s">
        <v>6280</v>
      </c>
      <c r="H1208" s="41">
        <v>10</v>
      </c>
    </row>
    <row r="1209" spans="1:8" ht="16" x14ac:dyDescent="0.2">
      <c r="A1209" s="41" t="s">
        <v>857</v>
      </c>
      <c r="B1209" s="41" t="s">
        <v>6281</v>
      </c>
      <c r="C1209" s="41" t="s">
        <v>3490</v>
      </c>
      <c r="D1209" s="42">
        <v>42072</v>
      </c>
      <c r="E1209" s="41">
        <v>1</v>
      </c>
      <c r="F1209" s="41">
        <v>1</v>
      </c>
      <c r="G1209" s="41" t="s">
        <v>6282</v>
      </c>
      <c r="H1209" s="41">
        <v>1</v>
      </c>
    </row>
    <row r="1210" spans="1:8" ht="16" x14ac:dyDescent="0.2">
      <c r="A1210" s="41" t="s">
        <v>6283</v>
      </c>
      <c r="B1210" s="41" t="s">
        <v>6284</v>
      </c>
      <c r="C1210" s="41" t="s">
        <v>3797</v>
      </c>
      <c r="D1210" s="42">
        <v>42130</v>
      </c>
      <c r="E1210" s="41">
        <v>10</v>
      </c>
      <c r="F1210" s="41">
        <v>1</v>
      </c>
      <c r="G1210" s="41" t="s">
        <v>6285</v>
      </c>
      <c r="H1210" s="41">
        <v>10</v>
      </c>
    </row>
    <row r="1211" spans="1:8" ht="16" x14ac:dyDescent="0.2">
      <c r="A1211" s="41" t="s">
        <v>858</v>
      </c>
      <c r="B1211" s="41" t="s">
        <v>6286</v>
      </c>
      <c r="C1211" s="41" t="s">
        <v>3490</v>
      </c>
      <c r="D1211" s="42">
        <v>44552</v>
      </c>
      <c r="E1211" s="41">
        <v>5</v>
      </c>
      <c r="F1211" s="41">
        <v>1</v>
      </c>
      <c r="G1211" s="41" t="s">
        <v>6287</v>
      </c>
      <c r="H1211" s="41">
        <v>5</v>
      </c>
    </row>
    <row r="1212" spans="1:8" ht="16" x14ac:dyDescent="0.2">
      <c r="A1212" s="41" t="s">
        <v>859</v>
      </c>
      <c r="B1212" s="41" t="s">
        <v>6288</v>
      </c>
      <c r="C1212" s="41" t="s">
        <v>3490</v>
      </c>
      <c r="D1212" s="42">
        <v>43570</v>
      </c>
      <c r="E1212" s="41">
        <v>2</v>
      </c>
      <c r="F1212" s="41">
        <v>1</v>
      </c>
      <c r="G1212" s="41" t="s">
        <v>6289</v>
      </c>
      <c r="H1212" s="41">
        <v>2</v>
      </c>
    </row>
    <row r="1213" spans="1:8" ht="16" x14ac:dyDescent="0.2">
      <c r="A1213" s="41" t="s">
        <v>6290</v>
      </c>
      <c r="B1213" s="41" t="s">
        <v>6291</v>
      </c>
      <c r="C1213" s="41" t="s">
        <v>3510</v>
      </c>
      <c r="D1213" s="42">
        <v>45531</v>
      </c>
      <c r="E1213" s="41">
        <v>10</v>
      </c>
      <c r="F1213" s="41">
        <v>1</v>
      </c>
      <c r="G1213" s="41" t="s">
        <v>6292</v>
      </c>
      <c r="H1213" s="41">
        <v>10</v>
      </c>
    </row>
    <row r="1214" spans="1:8" ht="16" x14ac:dyDescent="0.2">
      <c r="A1214" s="41" t="s">
        <v>860</v>
      </c>
      <c r="B1214" s="41" t="s">
        <v>6293</v>
      </c>
      <c r="C1214" s="41" t="s">
        <v>3490</v>
      </c>
      <c r="D1214" s="42">
        <v>36663</v>
      </c>
      <c r="E1214" s="41">
        <v>2</v>
      </c>
      <c r="F1214" s="41">
        <v>1</v>
      </c>
      <c r="G1214" s="41" t="s">
        <v>6294</v>
      </c>
      <c r="H1214" s="41">
        <v>2</v>
      </c>
    </row>
    <row r="1215" spans="1:8" ht="16" x14ac:dyDescent="0.2">
      <c r="A1215" s="41" t="s">
        <v>6295</v>
      </c>
      <c r="B1215" s="41" t="s">
        <v>6296</v>
      </c>
      <c r="C1215" s="41" t="s">
        <v>3490</v>
      </c>
      <c r="D1215" s="42">
        <v>44188</v>
      </c>
      <c r="E1215" s="41">
        <v>1</v>
      </c>
      <c r="F1215" s="41">
        <v>1</v>
      </c>
      <c r="G1215" s="41" t="s">
        <v>6297</v>
      </c>
      <c r="H1215" s="41">
        <v>1</v>
      </c>
    </row>
    <row r="1216" spans="1:8" ht="16" x14ac:dyDescent="0.2">
      <c r="A1216" s="41" t="s">
        <v>861</v>
      </c>
      <c r="B1216" s="41" t="s">
        <v>6298</v>
      </c>
      <c r="C1216" s="41" t="s">
        <v>3490</v>
      </c>
      <c r="D1216" s="42">
        <v>42552</v>
      </c>
      <c r="E1216" s="41">
        <v>10</v>
      </c>
      <c r="F1216" s="41">
        <v>1</v>
      </c>
      <c r="G1216" s="41" t="s">
        <v>6299</v>
      </c>
      <c r="H1216" s="41">
        <v>10</v>
      </c>
    </row>
    <row r="1217" spans="1:8" ht="16" x14ac:dyDescent="0.2">
      <c r="A1217" s="41" t="s">
        <v>6300</v>
      </c>
      <c r="B1217" s="41" t="s">
        <v>6301</v>
      </c>
      <c r="C1217" s="41" t="s">
        <v>3490</v>
      </c>
      <c r="D1217" s="42">
        <v>44588</v>
      </c>
      <c r="E1217" s="41">
        <v>10</v>
      </c>
      <c r="F1217" s="41">
        <v>1</v>
      </c>
      <c r="G1217" s="41" t="s">
        <v>6302</v>
      </c>
      <c r="H1217" s="41">
        <v>10</v>
      </c>
    </row>
    <row r="1218" spans="1:8" ht="16" x14ac:dyDescent="0.2">
      <c r="A1218" s="41" t="s">
        <v>862</v>
      </c>
      <c r="B1218" s="41" t="s">
        <v>6303</v>
      </c>
      <c r="C1218" s="41" t="s">
        <v>3490</v>
      </c>
      <c r="D1218" s="42">
        <v>40010</v>
      </c>
      <c r="E1218" s="41">
        <v>10</v>
      </c>
      <c r="F1218" s="41">
        <v>1</v>
      </c>
      <c r="G1218" s="41" t="s">
        <v>6304</v>
      </c>
      <c r="H1218" s="41">
        <v>10</v>
      </c>
    </row>
    <row r="1219" spans="1:8" ht="16" x14ac:dyDescent="0.2">
      <c r="A1219" s="41" t="s">
        <v>863</v>
      </c>
      <c r="B1219" s="41" t="s">
        <v>6305</v>
      </c>
      <c r="C1219" s="41" t="s">
        <v>3490</v>
      </c>
      <c r="D1219" s="42">
        <v>44547</v>
      </c>
      <c r="E1219" s="41">
        <v>2</v>
      </c>
      <c r="F1219" s="41">
        <v>1</v>
      </c>
      <c r="G1219" s="41" t="s">
        <v>6306</v>
      </c>
      <c r="H1219" s="41">
        <v>2</v>
      </c>
    </row>
    <row r="1220" spans="1:8" ht="16" x14ac:dyDescent="0.2">
      <c r="A1220" s="41" t="s">
        <v>864</v>
      </c>
      <c r="B1220" s="41" t="s">
        <v>6307</v>
      </c>
      <c r="C1220" s="41" t="s">
        <v>3490</v>
      </c>
      <c r="D1220" s="42">
        <v>43194</v>
      </c>
      <c r="E1220" s="41">
        <v>10</v>
      </c>
      <c r="F1220" s="41">
        <v>1</v>
      </c>
      <c r="G1220" s="41" t="s">
        <v>6308</v>
      </c>
      <c r="H1220" s="41">
        <v>10</v>
      </c>
    </row>
    <row r="1221" spans="1:8" ht="16" x14ac:dyDescent="0.2">
      <c r="A1221" s="41" t="s">
        <v>865</v>
      </c>
      <c r="B1221" s="41" t="s">
        <v>6309</v>
      </c>
      <c r="C1221" s="41" t="s">
        <v>3490</v>
      </c>
      <c r="D1221" s="42">
        <v>41928</v>
      </c>
      <c r="E1221" s="41">
        <v>2</v>
      </c>
      <c r="F1221" s="41">
        <v>1</v>
      </c>
      <c r="G1221" s="41" t="s">
        <v>6310</v>
      </c>
      <c r="H1221" s="41">
        <v>2</v>
      </c>
    </row>
    <row r="1222" spans="1:8" ht="16" x14ac:dyDescent="0.2">
      <c r="A1222" s="41" t="s">
        <v>867</v>
      </c>
      <c r="B1222" s="41" t="s">
        <v>6311</v>
      </c>
      <c r="C1222" s="41" t="s">
        <v>3510</v>
      </c>
      <c r="D1222" s="42">
        <v>42584</v>
      </c>
      <c r="E1222" s="41">
        <v>10</v>
      </c>
      <c r="F1222" s="41">
        <v>1</v>
      </c>
      <c r="G1222" s="41" t="s">
        <v>6312</v>
      </c>
      <c r="H1222" s="41">
        <v>10</v>
      </c>
    </row>
    <row r="1223" spans="1:8" ht="16" x14ac:dyDescent="0.2">
      <c r="A1223" s="41" t="s">
        <v>6313</v>
      </c>
      <c r="B1223" s="41" t="s">
        <v>6314</v>
      </c>
      <c r="C1223" s="41" t="s">
        <v>3510</v>
      </c>
      <c r="D1223" s="42">
        <v>38131</v>
      </c>
      <c r="E1223" s="41">
        <v>1</v>
      </c>
      <c r="F1223" s="41">
        <v>1</v>
      </c>
      <c r="G1223" s="41" t="s">
        <v>6315</v>
      </c>
      <c r="H1223" s="41">
        <v>1</v>
      </c>
    </row>
    <row r="1224" spans="1:8" ht="16" x14ac:dyDescent="0.2">
      <c r="A1224" s="41" t="s">
        <v>868</v>
      </c>
      <c r="B1224" s="41" t="s">
        <v>6316</v>
      </c>
      <c r="C1224" s="41" t="s">
        <v>3490</v>
      </c>
      <c r="D1224" s="42">
        <v>36278</v>
      </c>
      <c r="E1224" s="41">
        <v>2</v>
      </c>
      <c r="F1224" s="41">
        <v>1</v>
      </c>
      <c r="G1224" s="41" t="s">
        <v>6317</v>
      </c>
      <c r="H1224" s="41">
        <v>2</v>
      </c>
    </row>
    <row r="1225" spans="1:8" ht="16" x14ac:dyDescent="0.2">
      <c r="A1225" s="41" t="s">
        <v>6318</v>
      </c>
      <c r="B1225" s="41" t="s">
        <v>6319</v>
      </c>
      <c r="C1225" s="41" t="s">
        <v>3490</v>
      </c>
      <c r="D1225" s="42">
        <v>44637</v>
      </c>
      <c r="E1225" s="41">
        <v>10</v>
      </c>
      <c r="F1225" s="41">
        <v>1</v>
      </c>
      <c r="G1225" s="41" t="s">
        <v>6320</v>
      </c>
      <c r="H1225" s="41">
        <v>10</v>
      </c>
    </row>
    <row r="1226" spans="1:8" ht="16" x14ac:dyDescent="0.2">
      <c r="A1226" s="41" t="s">
        <v>6321</v>
      </c>
      <c r="B1226" s="41" t="s">
        <v>6322</v>
      </c>
      <c r="C1226" s="41" t="s">
        <v>3490</v>
      </c>
      <c r="D1226" s="42">
        <v>43950</v>
      </c>
      <c r="E1226" s="41">
        <v>1</v>
      </c>
      <c r="F1226" s="41">
        <v>1</v>
      </c>
      <c r="G1226" s="41" t="s">
        <v>6323</v>
      </c>
      <c r="H1226" s="41">
        <v>1</v>
      </c>
    </row>
    <row r="1227" spans="1:8" ht="16" x14ac:dyDescent="0.2">
      <c r="A1227" s="41" t="s">
        <v>6324</v>
      </c>
      <c r="B1227" s="41" t="s">
        <v>6325</v>
      </c>
      <c r="C1227" s="41" t="s">
        <v>3510</v>
      </c>
      <c r="D1227" s="42">
        <v>45090</v>
      </c>
      <c r="E1227" s="41">
        <v>1</v>
      </c>
      <c r="F1227" s="41">
        <v>1</v>
      </c>
      <c r="G1227" s="41" t="s">
        <v>6326</v>
      </c>
      <c r="H1227" s="41">
        <v>1</v>
      </c>
    </row>
    <row r="1228" spans="1:8" ht="16" x14ac:dyDescent="0.2">
      <c r="A1228" s="41" t="s">
        <v>869</v>
      </c>
      <c r="B1228" s="41" t="s">
        <v>6327</v>
      </c>
      <c r="C1228" s="41" t="s">
        <v>3490</v>
      </c>
      <c r="D1228" s="42">
        <v>39071</v>
      </c>
      <c r="E1228" s="41">
        <v>10</v>
      </c>
      <c r="F1228" s="41">
        <v>1</v>
      </c>
      <c r="G1228" s="41" t="s">
        <v>6328</v>
      </c>
      <c r="H1228" s="41">
        <v>10</v>
      </c>
    </row>
    <row r="1229" spans="1:8" ht="16" x14ac:dyDescent="0.2">
      <c r="A1229" s="41" t="s">
        <v>870</v>
      </c>
      <c r="B1229" s="41" t="s">
        <v>6329</v>
      </c>
      <c r="C1229" s="41" t="s">
        <v>3490</v>
      </c>
      <c r="D1229" s="42">
        <v>43839</v>
      </c>
      <c r="E1229" s="41">
        <v>10</v>
      </c>
      <c r="F1229" s="41">
        <v>1</v>
      </c>
      <c r="G1229" s="41" t="s">
        <v>6330</v>
      </c>
      <c r="H1229" s="41">
        <v>10</v>
      </c>
    </row>
    <row r="1230" spans="1:8" ht="16" x14ac:dyDescent="0.2">
      <c r="A1230" s="41" t="s">
        <v>871</v>
      </c>
      <c r="B1230" s="41" t="s">
        <v>6331</v>
      </c>
      <c r="C1230" s="41" t="s">
        <v>3490</v>
      </c>
      <c r="D1230" s="42">
        <v>41008</v>
      </c>
      <c r="E1230" s="41">
        <v>1</v>
      </c>
      <c r="F1230" s="41">
        <v>1</v>
      </c>
      <c r="G1230" s="41" t="s">
        <v>6332</v>
      </c>
      <c r="H1230" s="41">
        <v>1</v>
      </c>
    </row>
    <row r="1231" spans="1:8" ht="16" x14ac:dyDescent="0.2">
      <c r="A1231" s="41" t="s">
        <v>6333</v>
      </c>
      <c r="B1231" s="41" t="s">
        <v>6334</v>
      </c>
      <c r="C1231" s="41" t="s">
        <v>3490</v>
      </c>
      <c r="D1231" s="42">
        <v>45644</v>
      </c>
      <c r="E1231" s="41">
        <v>2</v>
      </c>
      <c r="F1231" s="41">
        <v>1</v>
      </c>
      <c r="G1231" s="41" t="s">
        <v>6335</v>
      </c>
      <c r="H1231" s="41">
        <v>2</v>
      </c>
    </row>
    <row r="1232" spans="1:8" ht="16" x14ac:dyDescent="0.2">
      <c r="A1232" s="41" t="s">
        <v>6336</v>
      </c>
      <c r="B1232" s="41" t="s">
        <v>6337</v>
      </c>
      <c r="C1232" s="41" t="s">
        <v>3490</v>
      </c>
      <c r="D1232" s="42">
        <v>35102</v>
      </c>
      <c r="E1232" s="41">
        <v>10</v>
      </c>
      <c r="F1232" s="41">
        <v>1</v>
      </c>
      <c r="G1232" s="41" t="s">
        <v>6338</v>
      </c>
      <c r="H1232" s="41">
        <v>10</v>
      </c>
    </row>
    <row r="1233" spans="1:8" ht="16" x14ac:dyDescent="0.2">
      <c r="A1233" s="41" t="s">
        <v>6339</v>
      </c>
      <c r="B1233" s="41" t="s">
        <v>6340</v>
      </c>
      <c r="C1233" s="41" t="s">
        <v>3490</v>
      </c>
      <c r="D1233" s="42">
        <v>44319</v>
      </c>
      <c r="E1233" s="41">
        <v>1</v>
      </c>
      <c r="F1233" s="41">
        <v>1</v>
      </c>
      <c r="G1233" s="41" t="s">
        <v>6341</v>
      </c>
      <c r="H1233" s="41">
        <v>1</v>
      </c>
    </row>
    <row r="1234" spans="1:8" ht="16" x14ac:dyDescent="0.2">
      <c r="A1234" s="41" t="s">
        <v>6342</v>
      </c>
      <c r="B1234" s="41" t="s">
        <v>6343</v>
      </c>
      <c r="C1234" s="41" t="s">
        <v>3490</v>
      </c>
      <c r="D1234" s="42">
        <v>35025</v>
      </c>
      <c r="E1234" s="41">
        <v>10</v>
      </c>
      <c r="F1234" s="41">
        <v>50</v>
      </c>
      <c r="G1234" s="41" t="s">
        <v>6344</v>
      </c>
      <c r="H1234" s="41">
        <v>10</v>
      </c>
    </row>
    <row r="1235" spans="1:8" ht="16" x14ac:dyDescent="0.2">
      <c r="A1235" s="41" t="s">
        <v>6345</v>
      </c>
      <c r="B1235" s="41" t="s">
        <v>6346</v>
      </c>
      <c r="C1235" s="41" t="s">
        <v>3490</v>
      </c>
      <c r="D1235" s="42">
        <v>41347</v>
      </c>
      <c r="E1235" s="41">
        <v>10</v>
      </c>
      <c r="F1235" s="41">
        <v>1</v>
      </c>
      <c r="G1235" s="41" t="s">
        <v>6347</v>
      </c>
      <c r="H1235" s="41">
        <v>10</v>
      </c>
    </row>
    <row r="1236" spans="1:8" ht="16" x14ac:dyDescent="0.2">
      <c r="A1236" s="41" t="s">
        <v>872</v>
      </c>
      <c r="B1236" s="41" t="s">
        <v>6348</v>
      </c>
      <c r="C1236" s="41" t="s">
        <v>3490</v>
      </c>
      <c r="D1236" s="42">
        <v>40527</v>
      </c>
      <c r="E1236" s="41">
        <v>10</v>
      </c>
      <c r="F1236" s="41">
        <v>1</v>
      </c>
      <c r="G1236" s="41" t="s">
        <v>6349</v>
      </c>
      <c r="H1236" s="41">
        <v>10</v>
      </c>
    </row>
    <row r="1237" spans="1:8" ht="16" x14ac:dyDescent="0.2">
      <c r="A1237" s="41" t="s">
        <v>6350</v>
      </c>
      <c r="B1237" s="41" t="s">
        <v>6351</v>
      </c>
      <c r="C1237" s="41" t="s">
        <v>3490</v>
      </c>
      <c r="D1237" s="42">
        <v>44337</v>
      </c>
      <c r="E1237" s="41">
        <v>2</v>
      </c>
      <c r="F1237" s="41">
        <v>1</v>
      </c>
      <c r="G1237" s="41" t="s">
        <v>6352</v>
      </c>
      <c r="H1237" s="41">
        <v>2</v>
      </c>
    </row>
    <row r="1238" spans="1:8" ht="16" x14ac:dyDescent="0.2">
      <c r="A1238" s="41" t="s">
        <v>873</v>
      </c>
      <c r="B1238" s="41" t="s">
        <v>6353</v>
      </c>
      <c r="C1238" s="41" t="s">
        <v>3490</v>
      </c>
      <c r="D1238" s="42">
        <v>44426</v>
      </c>
      <c r="E1238" s="41">
        <v>1</v>
      </c>
      <c r="F1238" s="41">
        <v>1</v>
      </c>
      <c r="G1238" s="41" t="s">
        <v>6354</v>
      </c>
      <c r="H1238" s="41">
        <v>1</v>
      </c>
    </row>
    <row r="1239" spans="1:8" ht="16" x14ac:dyDescent="0.2">
      <c r="A1239" s="41" t="s">
        <v>874</v>
      </c>
      <c r="B1239" s="41" t="s">
        <v>6355</v>
      </c>
      <c r="C1239" s="41" t="s">
        <v>3490</v>
      </c>
      <c r="D1239" s="42">
        <v>42558</v>
      </c>
      <c r="E1239" s="41">
        <v>2</v>
      </c>
      <c r="F1239" s="41">
        <v>1</v>
      </c>
      <c r="G1239" s="41" t="s">
        <v>6356</v>
      </c>
      <c r="H1239" s="41">
        <v>2</v>
      </c>
    </row>
    <row r="1240" spans="1:8" ht="16" x14ac:dyDescent="0.2">
      <c r="A1240" s="41" t="s">
        <v>875</v>
      </c>
      <c r="B1240" s="41" t="s">
        <v>6357</v>
      </c>
      <c r="C1240" s="41" t="s">
        <v>3490</v>
      </c>
      <c r="D1240" s="42">
        <v>42058</v>
      </c>
      <c r="E1240" s="41">
        <v>5</v>
      </c>
      <c r="F1240" s="41">
        <v>1</v>
      </c>
      <c r="G1240" s="41" t="s">
        <v>6358</v>
      </c>
      <c r="H1240" s="41">
        <v>5</v>
      </c>
    </row>
    <row r="1241" spans="1:8" ht="16" x14ac:dyDescent="0.2">
      <c r="A1241" s="41" t="s">
        <v>876</v>
      </c>
      <c r="B1241" s="41" t="s">
        <v>6359</v>
      </c>
      <c r="C1241" s="41" t="s">
        <v>3490</v>
      </c>
      <c r="D1241" s="42">
        <v>44567</v>
      </c>
      <c r="E1241" s="41">
        <v>10</v>
      </c>
      <c r="F1241" s="41">
        <v>1</v>
      </c>
      <c r="G1241" s="41" t="s">
        <v>6360</v>
      </c>
      <c r="H1241" s="41">
        <v>10</v>
      </c>
    </row>
    <row r="1242" spans="1:8" ht="16" x14ac:dyDescent="0.2">
      <c r="A1242" s="41" t="s">
        <v>877</v>
      </c>
      <c r="B1242" s="41" t="s">
        <v>6361</v>
      </c>
      <c r="C1242" s="41" t="s">
        <v>3490</v>
      </c>
      <c r="D1242" s="42">
        <v>41992</v>
      </c>
      <c r="E1242" s="41">
        <v>10</v>
      </c>
      <c r="F1242" s="41">
        <v>1</v>
      </c>
      <c r="G1242" s="41" t="s">
        <v>6362</v>
      </c>
      <c r="H1242" s="41">
        <v>10</v>
      </c>
    </row>
    <row r="1243" spans="1:8" ht="16" x14ac:dyDescent="0.2">
      <c r="A1243" s="41" t="s">
        <v>6363</v>
      </c>
      <c r="B1243" s="41" t="s">
        <v>6364</v>
      </c>
      <c r="C1243" s="41" t="s">
        <v>3797</v>
      </c>
      <c r="D1243" s="42">
        <v>41166</v>
      </c>
      <c r="E1243" s="41">
        <v>7</v>
      </c>
      <c r="F1243" s="41">
        <v>1</v>
      </c>
      <c r="G1243" s="41" t="s">
        <v>6365</v>
      </c>
      <c r="H1243" s="41">
        <v>7</v>
      </c>
    </row>
    <row r="1244" spans="1:8" ht="16" x14ac:dyDescent="0.2">
      <c r="A1244" s="41" t="s">
        <v>878</v>
      </c>
      <c r="B1244" s="41" t="s">
        <v>6366</v>
      </c>
      <c r="C1244" s="41" t="s">
        <v>3490</v>
      </c>
      <c r="D1244" s="42">
        <v>36488</v>
      </c>
      <c r="E1244" s="41">
        <v>2</v>
      </c>
      <c r="F1244" s="41">
        <v>1</v>
      </c>
      <c r="G1244" s="41" t="s">
        <v>6367</v>
      </c>
      <c r="H1244" s="41">
        <v>2</v>
      </c>
    </row>
    <row r="1245" spans="1:8" ht="16" x14ac:dyDescent="0.2">
      <c r="A1245" s="41" t="s">
        <v>879</v>
      </c>
      <c r="B1245" s="41" t="s">
        <v>6368</v>
      </c>
      <c r="C1245" s="41" t="s">
        <v>3490</v>
      </c>
      <c r="D1245" s="42">
        <v>45693</v>
      </c>
      <c r="E1245" s="41">
        <v>2</v>
      </c>
      <c r="F1245" s="41">
        <v>1</v>
      </c>
      <c r="G1245" s="41" t="s">
        <v>6369</v>
      </c>
      <c r="H1245" s="41">
        <v>2</v>
      </c>
    </row>
    <row r="1246" spans="1:8" ht="16" x14ac:dyDescent="0.2">
      <c r="A1246" s="41" t="s">
        <v>880</v>
      </c>
      <c r="B1246" s="41" t="s">
        <v>6370</v>
      </c>
      <c r="C1246" s="41" t="s">
        <v>3490</v>
      </c>
      <c r="D1246" s="42">
        <v>35291</v>
      </c>
      <c r="E1246" s="41">
        <v>1</v>
      </c>
      <c r="F1246" s="41">
        <v>1</v>
      </c>
      <c r="G1246" s="41" t="s">
        <v>6371</v>
      </c>
      <c r="H1246" s="41">
        <v>1</v>
      </c>
    </row>
    <row r="1247" spans="1:8" ht="16" x14ac:dyDescent="0.2">
      <c r="A1247" s="41" t="s">
        <v>881</v>
      </c>
      <c r="B1247" s="41" t="s">
        <v>6372</v>
      </c>
      <c r="C1247" s="41" t="s">
        <v>3490</v>
      </c>
      <c r="D1247" s="42">
        <v>39336</v>
      </c>
      <c r="E1247" s="41">
        <v>1</v>
      </c>
      <c r="F1247" s="41">
        <v>1</v>
      </c>
      <c r="G1247" s="41" t="s">
        <v>6373</v>
      </c>
      <c r="H1247" s="41">
        <v>1</v>
      </c>
    </row>
    <row r="1248" spans="1:8" ht="16" x14ac:dyDescent="0.2">
      <c r="A1248" s="41" t="s">
        <v>882</v>
      </c>
      <c r="B1248" s="41" t="s">
        <v>6374</v>
      </c>
      <c r="C1248" s="41" t="s">
        <v>3490</v>
      </c>
      <c r="D1248" s="42">
        <v>45286</v>
      </c>
      <c r="E1248" s="41">
        <v>1</v>
      </c>
      <c r="F1248" s="41">
        <v>1</v>
      </c>
      <c r="G1248" s="41" t="s">
        <v>6375</v>
      </c>
      <c r="H1248" s="41">
        <v>1</v>
      </c>
    </row>
    <row r="1249" spans="1:8" ht="16" x14ac:dyDescent="0.2">
      <c r="A1249" s="41" t="s">
        <v>6376</v>
      </c>
      <c r="B1249" s="41" t="s">
        <v>6377</v>
      </c>
      <c r="C1249" s="41" t="s">
        <v>3490</v>
      </c>
      <c r="D1249" s="42">
        <v>34738</v>
      </c>
      <c r="E1249" s="41">
        <v>5</v>
      </c>
      <c r="F1249" s="41">
        <v>1</v>
      </c>
      <c r="G1249" s="41" t="s">
        <v>6378</v>
      </c>
      <c r="H1249" s="41">
        <v>5</v>
      </c>
    </row>
    <row r="1250" spans="1:8" ht="16" x14ac:dyDescent="0.2">
      <c r="A1250" s="41" t="s">
        <v>883</v>
      </c>
      <c r="B1250" s="41" t="s">
        <v>6379</v>
      </c>
      <c r="C1250" s="41" t="s">
        <v>3490</v>
      </c>
      <c r="D1250" s="42">
        <v>38142</v>
      </c>
      <c r="E1250" s="41">
        <v>10</v>
      </c>
      <c r="F1250" s="41">
        <v>1</v>
      </c>
      <c r="G1250" s="41" t="s">
        <v>6380</v>
      </c>
      <c r="H1250" s="41">
        <v>10</v>
      </c>
    </row>
    <row r="1251" spans="1:8" ht="16" x14ac:dyDescent="0.2">
      <c r="A1251" s="41" t="s">
        <v>884</v>
      </c>
      <c r="B1251" s="41" t="s">
        <v>6381</v>
      </c>
      <c r="C1251" s="41" t="s">
        <v>3490</v>
      </c>
      <c r="D1251" s="42">
        <v>37277</v>
      </c>
      <c r="E1251" s="41">
        <v>10</v>
      </c>
      <c r="F1251" s="41">
        <v>1</v>
      </c>
      <c r="G1251" s="41" t="s">
        <v>6382</v>
      </c>
      <c r="H1251" s="41">
        <v>10</v>
      </c>
    </row>
    <row r="1252" spans="1:8" ht="16" x14ac:dyDescent="0.2">
      <c r="A1252" s="41" t="s">
        <v>885</v>
      </c>
      <c r="B1252" s="41" t="s">
        <v>6383</v>
      </c>
      <c r="C1252" s="41" t="s">
        <v>3490</v>
      </c>
      <c r="D1252" s="42">
        <v>35326</v>
      </c>
      <c r="E1252" s="41">
        <v>10</v>
      </c>
      <c r="F1252" s="41">
        <v>1</v>
      </c>
      <c r="G1252" s="41" t="s">
        <v>6384</v>
      </c>
      <c r="H1252" s="41">
        <v>10</v>
      </c>
    </row>
    <row r="1253" spans="1:8" ht="16" x14ac:dyDescent="0.2">
      <c r="A1253" s="41" t="s">
        <v>886</v>
      </c>
      <c r="B1253" s="41" t="s">
        <v>6385</v>
      </c>
      <c r="C1253" s="41" t="s">
        <v>3490</v>
      </c>
      <c r="D1253" s="42">
        <v>38359</v>
      </c>
      <c r="E1253" s="41">
        <v>10</v>
      </c>
      <c r="F1253" s="41">
        <v>1</v>
      </c>
      <c r="G1253" s="41" t="s">
        <v>6386</v>
      </c>
      <c r="H1253" s="41">
        <v>10</v>
      </c>
    </row>
    <row r="1254" spans="1:8" ht="16" x14ac:dyDescent="0.2">
      <c r="A1254" s="41" t="s">
        <v>887</v>
      </c>
      <c r="B1254" s="41" t="s">
        <v>6387</v>
      </c>
      <c r="C1254" s="41" t="s">
        <v>3490</v>
      </c>
      <c r="D1254" s="42">
        <v>38551</v>
      </c>
      <c r="E1254" s="41">
        <v>10</v>
      </c>
      <c r="F1254" s="41">
        <v>1</v>
      </c>
      <c r="G1254" s="41" t="s">
        <v>6388</v>
      </c>
      <c r="H1254" s="41">
        <v>10</v>
      </c>
    </row>
    <row r="1255" spans="1:8" ht="16" x14ac:dyDescent="0.2">
      <c r="A1255" s="41" t="s">
        <v>888</v>
      </c>
      <c r="B1255" s="41" t="s">
        <v>6389</v>
      </c>
      <c r="C1255" s="41" t="s">
        <v>3490</v>
      </c>
      <c r="D1255" s="42">
        <v>43553</v>
      </c>
      <c r="E1255" s="41">
        <v>10</v>
      </c>
      <c r="F1255" s="41">
        <v>1</v>
      </c>
      <c r="G1255" s="41" t="s">
        <v>6390</v>
      </c>
      <c r="H1255" s="41">
        <v>10</v>
      </c>
    </row>
    <row r="1256" spans="1:8" ht="16" x14ac:dyDescent="0.2">
      <c r="A1256" s="41" t="s">
        <v>889</v>
      </c>
      <c r="B1256" s="41" t="s">
        <v>6391</v>
      </c>
      <c r="C1256" s="41" t="s">
        <v>3490</v>
      </c>
      <c r="D1256" s="42">
        <v>44648</v>
      </c>
      <c r="E1256" s="41">
        <v>1</v>
      </c>
      <c r="F1256" s="41">
        <v>1</v>
      </c>
      <c r="G1256" s="41" t="s">
        <v>6392</v>
      </c>
      <c r="H1256" s="41">
        <v>1</v>
      </c>
    </row>
    <row r="1257" spans="1:8" ht="16" x14ac:dyDescent="0.2">
      <c r="A1257" s="41" t="s">
        <v>890</v>
      </c>
      <c r="B1257" s="41" t="s">
        <v>6393</v>
      </c>
      <c r="C1257" s="41" t="s">
        <v>3490</v>
      </c>
      <c r="D1257" s="42">
        <v>44270</v>
      </c>
      <c r="E1257" s="41">
        <v>10</v>
      </c>
      <c r="F1257" s="41">
        <v>1</v>
      </c>
      <c r="G1257" s="41" t="s">
        <v>6394</v>
      </c>
      <c r="H1257" s="41">
        <v>10</v>
      </c>
    </row>
    <row r="1258" spans="1:8" ht="16" x14ac:dyDescent="0.2">
      <c r="A1258" s="41" t="s">
        <v>6395</v>
      </c>
      <c r="B1258" s="41" t="s">
        <v>6396</v>
      </c>
      <c r="C1258" s="41" t="s">
        <v>3510</v>
      </c>
      <c r="D1258" s="42">
        <v>41011</v>
      </c>
      <c r="E1258" s="41">
        <v>10</v>
      </c>
      <c r="F1258" s="41">
        <v>1</v>
      </c>
      <c r="G1258" s="41" t="s">
        <v>6397</v>
      </c>
      <c r="H1258" s="41">
        <v>10</v>
      </c>
    </row>
    <row r="1259" spans="1:8" ht="16" x14ac:dyDescent="0.2">
      <c r="A1259" s="41" t="s">
        <v>891</v>
      </c>
      <c r="B1259" s="41" t="s">
        <v>6398</v>
      </c>
      <c r="C1259" s="41" t="s">
        <v>3490</v>
      </c>
      <c r="D1259" s="42">
        <v>36208</v>
      </c>
      <c r="E1259" s="41">
        <v>10</v>
      </c>
      <c r="F1259" s="41">
        <v>1</v>
      </c>
      <c r="G1259" s="41" t="s">
        <v>6399</v>
      </c>
      <c r="H1259" s="41">
        <v>10</v>
      </c>
    </row>
    <row r="1260" spans="1:8" ht="16" x14ac:dyDescent="0.2">
      <c r="A1260" s="41" t="s">
        <v>892</v>
      </c>
      <c r="B1260" s="41" t="s">
        <v>6400</v>
      </c>
      <c r="C1260" s="41" t="s">
        <v>3490</v>
      </c>
      <c r="D1260" s="42">
        <v>45236</v>
      </c>
      <c r="E1260" s="41">
        <v>1</v>
      </c>
      <c r="F1260" s="41">
        <v>1</v>
      </c>
      <c r="G1260" s="41" t="s">
        <v>6401</v>
      </c>
      <c r="H1260" s="41">
        <v>1</v>
      </c>
    </row>
    <row r="1261" spans="1:8" ht="16" x14ac:dyDescent="0.2">
      <c r="A1261" s="41" t="s">
        <v>893</v>
      </c>
      <c r="B1261" s="41" t="s">
        <v>6402</v>
      </c>
      <c r="C1261" s="41" t="s">
        <v>3490</v>
      </c>
      <c r="D1261" s="42">
        <v>45287</v>
      </c>
      <c r="E1261" s="41">
        <v>2</v>
      </c>
      <c r="F1261" s="41">
        <v>1</v>
      </c>
      <c r="G1261" s="41" t="s">
        <v>6403</v>
      </c>
      <c r="H1261" s="41">
        <v>2</v>
      </c>
    </row>
    <row r="1262" spans="1:8" ht="16" x14ac:dyDescent="0.2">
      <c r="A1262" s="41" t="s">
        <v>894</v>
      </c>
      <c r="B1262" s="41" t="s">
        <v>6404</v>
      </c>
      <c r="C1262" s="41" t="s">
        <v>3490</v>
      </c>
      <c r="D1262" s="42">
        <v>38040</v>
      </c>
      <c r="E1262" s="41">
        <v>10</v>
      </c>
      <c r="F1262" s="41">
        <v>1</v>
      </c>
      <c r="G1262" s="41" t="s">
        <v>6405</v>
      </c>
      <c r="H1262" s="41">
        <v>10</v>
      </c>
    </row>
    <row r="1263" spans="1:8" ht="16" x14ac:dyDescent="0.2">
      <c r="A1263" s="41" t="s">
        <v>895</v>
      </c>
      <c r="B1263" s="41" t="s">
        <v>6406</v>
      </c>
      <c r="C1263" s="41" t="s">
        <v>3490</v>
      </c>
      <c r="D1263" s="42">
        <v>45358</v>
      </c>
      <c r="E1263" s="41">
        <v>1</v>
      </c>
      <c r="F1263" s="41">
        <v>1</v>
      </c>
      <c r="G1263" s="41" t="s">
        <v>6407</v>
      </c>
      <c r="H1263" s="41">
        <v>1</v>
      </c>
    </row>
    <row r="1264" spans="1:8" ht="16" x14ac:dyDescent="0.2">
      <c r="A1264" s="41" t="s">
        <v>6408</v>
      </c>
      <c r="B1264" s="41" t="s">
        <v>6409</v>
      </c>
      <c r="C1264" s="41" t="s">
        <v>3490</v>
      </c>
      <c r="D1264" s="42">
        <v>36781</v>
      </c>
      <c r="E1264" s="41">
        <v>5</v>
      </c>
      <c r="F1264" s="41">
        <v>1</v>
      </c>
      <c r="G1264" s="41" t="s">
        <v>6410</v>
      </c>
      <c r="H1264" s="41">
        <v>5</v>
      </c>
    </row>
    <row r="1265" spans="1:8" ht="16" x14ac:dyDescent="0.2">
      <c r="A1265" s="41" t="s">
        <v>896</v>
      </c>
      <c r="B1265" s="41" t="s">
        <v>6411</v>
      </c>
      <c r="C1265" s="41" t="s">
        <v>3490</v>
      </c>
      <c r="D1265" s="42">
        <v>38917</v>
      </c>
      <c r="E1265" s="41">
        <v>2</v>
      </c>
      <c r="F1265" s="41">
        <v>1</v>
      </c>
      <c r="G1265" s="41" t="s">
        <v>6412</v>
      </c>
      <c r="H1265" s="41">
        <v>2</v>
      </c>
    </row>
    <row r="1266" spans="1:8" ht="16" x14ac:dyDescent="0.2">
      <c r="A1266" s="41" t="s">
        <v>897</v>
      </c>
      <c r="B1266" s="41" t="s">
        <v>6413</v>
      </c>
      <c r="C1266" s="41" t="s">
        <v>3490</v>
      </c>
      <c r="D1266" s="42">
        <v>37753</v>
      </c>
      <c r="E1266" s="41">
        <v>2</v>
      </c>
      <c r="F1266" s="41">
        <v>1</v>
      </c>
      <c r="G1266" s="41" t="s">
        <v>6414</v>
      </c>
      <c r="H1266" s="41">
        <v>2</v>
      </c>
    </row>
    <row r="1267" spans="1:8" ht="16" x14ac:dyDescent="0.2">
      <c r="A1267" s="41" t="s">
        <v>6415</v>
      </c>
      <c r="B1267" s="41" t="s">
        <v>6416</v>
      </c>
      <c r="C1267" s="41" t="s">
        <v>3490</v>
      </c>
      <c r="D1267" s="42">
        <v>38135</v>
      </c>
      <c r="E1267" s="41">
        <v>10</v>
      </c>
      <c r="F1267" s="41">
        <v>1</v>
      </c>
      <c r="G1267" s="41" t="s">
        <v>6417</v>
      </c>
      <c r="H1267" s="41">
        <v>10</v>
      </c>
    </row>
    <row r="1268" spans="1:8" ht="16" x14ac:dyDescent="0.2">
      <c r="A1268" s="41" t="s">
        <v>898</v>
      </c>
      <c r="B1268" s="41" t="s">
        <v>6418</v>
      </c>
      <c r="C1268" s="41" t="s">
        <v>3490</v>
      </c>
      <c r="D1268" s="42">
        <v>42240</v>
      </c>
      <c r="E1268" s="41">
        <v>10</v>
      </c>
      <c r="F1268" s="41">
        <v>1</v>
      </c>
      <c r="G1268" s="41" t="s">
        <v>6419</v>
      </c>
      <c r="H1268" s="41">
        <v>10</v>
      </c>
    </row>
    <row r="1269" spans="1:8" ht="16" x14ac:dyDescent="0.2">
      <c r="A1269" s="41" t="s">
        <v>899</v>
      </c>
      <c r="B1269" s="41" t="s">
        <v>6420</v>
      </c>
      <c r="C1269" s="41" t="s">
        <v>3490</v>
      </c>
      <c r="D1269" s="42">
        <v>40669</v>
      </c>
      <c r="E1269" s="41">
        <v>10</v>
      </c>
      <c r="F1269" s="41">
        <v>1</v>
      </c>
      <c r="G1269" s="41" t="s">
        <v>6421</v>
      </c>
      <c r="H1269" s="41">
        <v>10</v>
      </c>
    </row>
    <row r="1270" spans="1:8" ht="16" x14ac:dyDescent="0.2">
      <c r="A1270" s="41" t="s">
        <v>900</v>
      </c>
      <c r="B1270" s="41" t="s">
        <v>6422</v>
      </c>
      <c r="C1270" s="41" t="s">
        <v>3490</v>
      </c>
      <c r="D1270" s="42">
        <v>45286</v>
      </c>
      <c r="E1270" s="41">
        <v>10</v>
      </c>
      <c r="F1270" s="41">
        <v>1</v>
      </c>
      <c r="G1270" s="41" t="s">
        <v>6423</v>
      </c>
      <c r="H1270" s="41">
        <v>10</v>
      </c>
    </row>
    <row r="1271" spans="1:8" ht="16" x14ac:dyDescent="0.2">
      <c r="A1271" s="41" t="s">
        <v>901</v>
      </c>
      <c r="B1271" s="41" t="s">
        <v>6424</v>
      </c>
      <c r="C1271" s="41" t="s">
        <v>3490</v>
      </c>
      <c r="D1271" s="42">
        <v>45202</v>
      </c>
      <c r="E1271" s="41">
        <v>10</v>
      </c>
      <c r="F1271" s="41">
        <v>1</v>
      </c>
      <c r="G1271" s="41" t="s">
        <v>6425</v>
      </c>
      <c r="H1271" s="41">
        <v>10</v>
      </c>
    </row>
    <row r="1272" spans="1:8" ht="16" x14ac:dyDescent="0.2">
      <c r="A1272" s="41" t="s">
        <v>902</v>
      </c>
      <c r="B1272" s="41" t="s">
        <v>6426</v>
      </c>
      <c r="C1272" s="41" t="s">
        <v>3510</v>
      </c>
      <c r="D1272" s="42">
        <v>42832</v>
      </c>
      <c r="E1272" s="41">
        <v>1</v>
      </c>
      <c r="F1272" s="41">
        <v>1</v>
      </c>
      <c r="G1272" s="41" t="s">
        <v>6427</v>
      </c>
      <c r="H1272" s="41">
        <v>1</v>
      </c>
    </row>
    <row r="1273" spans="1:8" ht="16" x14ac:dyDescent="0.2">
      <c r="A1273" s="41" t="s">
        <v>903</v>
      </c>
      <c r="B1273" s="41" t="s">
        <v>6428</v>
      </c>
      <c r="C1273" s="41" t="s">
        <v>3490</v>
      </c>
      <c r="D1273" s="42">
        <v>42536</v>
      </c>
      <c r="E1273" s="41">
        <v>1</v>
      </c>
      <c r="F1273" s="41">
        <v>1</v>
      </c>
      <c r="G1273" s="41" t="s">
        <v>6429</v>
      </c>
      <c r="H1273" s="41">
        <v>1</v>
      </c>
    </row>
    <row r="1274" spans="1:8" ht="16" x14ac:dyDescent="0.2">
      <c r="A1274" s="41" t="s">
        <v>6430</v>
      </c>
      <c r="B1274" s="41" t="s">
        <v>6431</v>
      </c>
      <c r="C1274" s="41" t="s">
        <v>3490</v>
      </c>
      <c r="D1274" s="42">
        <v>39343</v>
      </c>
      <c r="E1274" s="41">
        <v>5</v>
      </c>
      <c r="F1274" s="41">
        <v>1</v>
      </c>
      <c r="G1274" s="41" t="s">
        <v>6432</v>
      </c>
      <c r="H1274" s="41">
        <v>5</v>
      </c>
    </row>
    <row r="1275" spans="1:8" ht="16" x14ac:dyDescent="0.2">
      <c r="A1275" s="41" t="s">
        <v>6433</v>
      </c>
      <c r="B1275" s="41" t="s">
        <v>6434</v>
      </c>
      <c r="C1275" s="41" t="s">
        <v>3490</v>
      </c>
      <c r="D1275" s="42">
        <v>39251</v>
      </c>
      <c r="E1275" s="41">
        <v>5</v>
      </c>
      <c r="F1275" s="41">
        <v>1</v>
      </c>
      <c r="G1275" s="41" t="s">
        <v>6435</v>
      </c>
      <c r="H1275" s="41">
        <v>5</v>
      </c>
    </row>
    <row r="1276" spans="1:8" ht="16" x14ac:dyDescent="0.2">
      <c r="A1276" s="41" t="s">
        <v>904</v>
      </c>
      <c r="B1276" s="41" t="s">
        <v>6436</v>
      </c>
      <c r="C1276" s="41" t="s">
        <v>3510</v>
      </c>
      <c r="D1276" s="42">
        <v>39518</v>
      </c>
      <c r="E1276" s="41">
        <v>5</v>
      </c>
      <c r="F1276" s="41">
        <v>1</v>
      </c>
      <c r="G1276" s="41" t="s">
        <v>6437</v>
      </c>
      <c r="H1276" s="41">
        <v>5</v>
      </c>
    </row>
    <row r="1277" spans="1:8" ht="16" x14ac:dyDescent="0.2">
      <c r="A1277" s="41" t="s">
        <v>905</v>
      </c>
      <c r="B1277" s="41" t="s">
        <v>6438</v>
      </c>
      <c r="C1277" s="41" t="s">
        <v>3510</v>
      </c>
      <c r="D1277" s="42">
        <v>38701</v>
      </c>
      <c r="E1277" s="41">
        <v>10</v>
      </c>
      <c r="F1277" s="41">
        <v>1</v>
      </c>
      <c r="G1277" s="41" t="s">
        <v>6439</v>
      </c>
      <c r="H1277" s="41">
        <v>10</v>
      </c>
    </row>
    <row r="1278" spans="1:8" ht="16" x14ac:dyDescent="0.2">
      <c r="A1278" s="41" t="s">
        <v>906</v>
      </c>
      <c r="B1278" s="41" t="s">
        <v>6440</v>
      </c>
      <c r="C1278" s="41" t="s">
        <v>3490</v>
      </c>
      <c r="D1278" s="42">
        <v>39164</v>
      </c>
      <c r="E1278" s="41">
        <v>5</v>
      </c>
      <c r="F1278" s="41">
        <v>1</v>
      </c>
      <c r="G1278" s="41" t="s">
        <v>6441</v>
      </c>
      <c r="H1278" s="41">
        <v>5</v>
      </c>
    </row>
    <row r="1279" spans="1:8" ht="16" x14ac:dyDescent="0.2">
      <c r="A1279" s="41" t="s">
        <v>907</v>
      </c>
      <c r="B1279" s="41" t="s">
        <v>6442</v>
      </c>
      <c r="C1279" s="41" t="s">
        <v>3490</v>
      </c>
      <c r="D1279" s="42">
        <v>39164</v>
      </c>
      <c r="E1279" s="41">
        <v>5</v>
      </c>
      <c r="F1279" s="41">
        <v>1</v>
      </c>
      <c r="G1279" s="41" t="s">
        <v>6443</v>
      </c>
      <c r="H1279" s="41">
        <v>5</v>
      </c>
    </row>
    <row r="1280" spans="1:8" ht="16" x14ac:dyDescent="0.2">
      <c r="A1280" s="41" t="s">
        <v>908</v>
      </c>
      <c r="B1280" s="41" t="s">
        <v>6444</v>
      </c>
      <c r="C1280" s="41" t="s">
        <v>3490</v>
      </c>
      <c r="D1280" s="42">
        <v>43045</v>
      </c>
      <c r="E1280" s="41">
        <v>10</v>
      </c>
      <c r="F1280" s="41">
        <v>1</v>
      </c>
      <c r="G1280" s="41" t="s">
        <v>6445</v>
      </c>
      <c r="H1280" s="41">
        <v>10</v>
      </c>
    </row>
    <row r="1281" spans="1:8" ht="16" x14ac:dyDescent="0.2">
      <c r="A1281" s="41" t="s">
        <v>6446</v>
      </c>
      <c r="B1281" s="41" t="s">
        <v>6447</v>
      </c>
      <c r="C1281" s="41" t="s">
        <v>3490</v>
      </c>
      <c r="D1281" s="42">
        <v>44861</v>
      </c>
      <c r="E1281" s="41">
        <v>10</v>
      </c>
      <c r="F1281" s="41">
        <v>1</v>
      </c>
      <c r="G1281" s="41" t="s">
        <v>6448</v>
      </c>
      <c r="H1281" s="41">
        <v>10</v>
      </c>
    </row>
    <row r="1282" spans="1:8" ht="16" x14ac:dyDescent="0.2">
      <c r="A1282" s="41" t="s">
        <v>6449</v>
      </c>
      <c r="B1282" s="41" t="s">
        <v>6450</v>
      </c>
      <c r="C1282" s="41" t="s">
        <v>3490</v>
      </c>
      <c r="D1282" s="42">
        <v>45702</v>
      </c>
      <c r="E1282" s="41">
        <v>10</v>
      </c>
      <c r="F1282" s="41">
        <v>1</v>
      </c>
      <c r="G1282" s="41" t="s">
        <v>6451</v>
      </c>
      <c r="H1282" s="41">
        <v>10</v>
      </c>
    </row>
    <row r="1283" spans="1:8" ht="16" x14ac:dyDescent="0.2">
      <c r="A1283" s="41" t="s">
        <v>909</v>
      </c>
      <c r="B1283" s="41" t="s">
        <v>6452</v>
      </c>
      <c r="C1283" s="41" t="s">
        <v>3490</v>
      </c>
      <c r="D1283" s="42">
        <v>35060</v>
      </c>
      <c r="E1283" s="41">
        <v>2</v>
      </c>
      <c r="F1283" s="41">
        <v>1</v>
      </c>
      <c r="G1283" s="41" t="s">
        <v>6453</v>
      </c>
      <c r="H1283" s="41">
        <v>2</v>
      </c>
    </row>
    <row r="1284" spans="1:8" ht="16" x14ac:dyDescent="0.2">
      <c r="A1284" s="41" t="s">
        <v>6454</v>
      </c>
      <c r="B1284" s="41" t="s">
        <v>6455</v>
      </c>
      <c r="C1284" s="41" t="s">
        <v>3510</v>
      </c>
      <c r="D1284" s="42">
        <v>41667</v>
      </c>
      <c r="E1284" s="41">
        <v>10</v>
      </c>
      <c r="F1284" s="41">
        <v>1</v>
      </c>
      <c r="G1284" s="41" t="s">
        <v>6456</v>
      </c>
      <c r="H1284" s="41">
        <v>10</v>
      </c>
    </row>
    <row r="1285" spans="1:8" ht="16" x14ac:dyDescent="0.2">
      <c r="A1285" s="41" t="s">
        <v>910</v>
      </c>
      <c r="B1285" s="41" t="s">
        <v>6457</v>
      </c>
      <c r="C1285" s="41" t="s">
        <v>3490</v>
      </c>
      <c r="D1285" s="42">
        <v>36278</v>
      </c>
      <c r="E1285" s="41">
        <v>5</v>
      </c>
      <c r="F1285" s="41">
        <v>1</v>
      </c>
      <c r="G1285" s="41" t="s">
        <v>6458</v>
      </c>
      <c r="H1285" s="41">
        <v>5</v>
      </c>
    </row>
    <row r="1286" spans="1:8" ht="16" x14ac:dyDescent="0.2">
      <c r="A1286" s="41" t="s">
        <v>911</v>
      </c>
      <c r="B1286" s="41" t="s">
        <v>6459</v>
      </c>
      <c r="C1286" s="41" t="s">
        <v>3490</v>
      </c>
      <c r="D1286" s="42">
        <v>39042</v>
      </c>
      <c r="E1286" s="41">
        <v>2</v>
      </c>
      <c r="F1286" s="41">
        <v>1</v>
      </c>
      <c r="G1286" s="41" t="s">
        <v>6460</v>
      </c>
      <c r="H1286" s="41">
        <v>2</v>
      </c>
    </row>
    <row r="1287" spans="1:8" ht="16" x14ac:dyDescent="0.2">
      <c r="A1287" s="41" t="s">
        <v>912</v>
      </c>
      <c r="B1287" s="41" t="s">
        <v>6461</v>
      </c>
      <c r="C1287" s="41" t="s">
        <v>3490</v>
      </c>
      <c r="D1287" s="42">
        <v>35158</v>
      </c>
      <c r="E1287" s="41">
        <v>1</v>
      </c>
      <c r="F1287" s="41">
        <v>1</v>
      </c>
      <c r="G1287" s="41" t="s">
        <v>6462</v>
      </c>
      <c r="H1287" s="41">
        <v>1</v>
      </c>
    </row>
    <row r="1288" spans="1:8" ht="16" x14ac:dyDescent="0.2">
      <c r="A1288" s="41" t="s">
        <v>913</v>
      </c>
      <c r="B1288" s="41" t="s">
        <v>6463</v>
      </c>
      <c r="C1288" s="41" t="s">
        <v>3490</v>
      </c>
      <c r="D1288" s="42">
        <v>39234</v>
      </c>
      <c r="E1288" s="41">
        <v>2</v>
      </c>
      <c r="F1288" s="41">
        <v>1</v>
      </c>
      <c r="G1288" s="41" t="s">
        <v>6464</v>
      </c>
      <c r="H1288" s="41">
        <v>2</v>
      </c>
    </row>
    <row r="1289" spans="1:8" ht="16" x14ac:dyDescent="0.2">
      <c r="A1289" s="41" t="s">
        <v>914</v>
      </c>
      <c r="B1289" s="41" t="s">
        <v>6465</v>
      </c>
      <c r="C1289" s="41" t="s">
        <v>3490</v>
      </c>
      <c r="D1289" s="42">
        <v>42256</v>
      </c>
      <c r="E1289" s="41">
        <v>10</v>
      </c>
      <c r="F1289" s="41">
        <v>1</v>
      </c>
      <c r="G1289" s="41" t="s">
        <v>6466</v>
      </c>
      <c r="H1289" s="41">
        <v>10</v>
      </c>
    </row>
    <row r="1290" spans="1:8" ht="16" x14ac:dyDescent="0.2">
      <c r="A1290" s="41" t="s">
        <v>6467</v>
      </c>
      <c r="B1290" s="41" t="s">
        <v>6468</v>
      </c>
      <c r="C1290" s="41" t="s">
        <v>3510</v>
      </c>
      <c r="D1290" s="42">
        <v>45674</v>
      </c>
      <c r="E1290" s="41">
        <v>1</v>
      </c>
      <c r="F1290" s="41">
        <v>1</v>
      </c>
      <c r="G1290" s="41" t="s">
        <v>6469</v>
      </c>
      <c r="H1290" s="41">
        <v>1</v>
      </c>
    </row>
    <row r="1291" spans="1:8" ht="16" x14ac:dyDescent="0.2">
      <c r="A1291" s="41" t="s">
        <v>915</v>
      </c>
      <c r="B1291" s="41" t="s">
        <v>6470</v>
      </c>
      <c r="C1291" s="41" t="s">
        <v>3490</v>
      </c>
      <c r="D1291" s="42">
        <v>34738</v>
      </c>
      <c r="E1291" s="41">
        <v>2</v>
      </c>
      <c r="F1291" s="41">
        <v>1</v>
      </c>
      <c r="G1291" s="41" t="s">
        <v>6471</v>
      </c>
      <c r="H1291" s="41">
        <v>2</v>
      </c>
    </row>
    <row r="1292" spans="1:8" ht="16" x14ac:dyDescent="0.2">
      <c r="A1292" s="41" t="s">
        <v>916</v>
      </c>
      <c r="B1292" s="41" t="s">
        <v>6472</v>
      </c>
      <c r="C1292" s="41" t="s">
        <v>3490</v>
      </c>
      <c r="D1292" s="42">
        <v>44285</v>
      </c>
      <c r="E1292" s="41">
        <v>4</v>
      </c>
      <c r="F1292" s="41">
        <v>1</v>
      </c>
      <c r="G1292" s="41" t="s">
        <v>6473</v>
      </c>
      <c r="H1292" s="41">
        <v>4</v>
      </c>
    </row>
    <row r="1293" spans="1:8" ht="16" x14ac:dyDescent="0.2">
      <c r="A1293" s="41" t="s">
        <v>917</v>
      </c>
      <c r="B1293" s="41" t="s">
        <v>6474</v>
      </c>
      <c r="C1293" s="41" t="s">
        <v>3490</v>
      </c>
      <c r="D1293" s="42">
        <v>41011</v>
      </c>
      <c r="E1293" s="41">
        <v>1</v>
      </c>
      <c r="F1293" s="41">
        <v>1</v>
      </c>
      <c r="G1293" s="41" t="s">
        <v>6475</v>
      </c>
      <c r="H1293" s="41">
        <v>1</v>
      </c>
    </row>
    <row r="1294" spans="1:8" ht="16" x14ac:dyDescent="0.2">
      <c r="A1294" s="41" t="s">
        <v>918</v>
      </c>
      <c r="B1294" s="41" t="s">
        <v>6476</v>
      </c>
      <c r="C1294" s="41" t="s">
        <v>3490</v>
      </c>
      <c r="D1294" s="42">
        <v>42697</v>
      </c>
      <c r="E1294" s="41">
        <v>5</v>
      </c>
      <c r="F1294" s="41">
        <v>1</v>
      </c>
      <c r="G1294" s="41" t="s">
        <v>6477</v>
      </c>
      <c r="H1294" s="41">
        <v>5</v>
      </c>
    </row>
    <row r="1295" spans="1:8" ht="16" x14ac:dyDescent="0.2">
      <c r="A1295" s="41" t="s">
        <v>919</v>
      </c>
      <c r="B1295" s="41" t="s">
        <v>6478</v>
      </c>
      <c r="C1295" s="41" t="s">
        <v>3490</v>
      </c>
      <c r="D1295" s="42">
        <v>37908</v>
      </c>
      <c r="E1295" s="41">
        <v>2</v>
      </c>
      <c r="F1295" s="41">
        <v>1</v>
      </c>
      <c r="G1295" s="41" t="s">
        <v>6479</v>
      </c>
      <c r="H1295" s="41">
        <v>2</v>
      </c>
    </row>
    <row r="1296" spans="1:8" ht="16" x14ac:dyDescent="0.2">
      <c r="A1296" s="41" t="s">
        <v>920</v>
      </c>
      <c r="B1296" s="41" t="s">
        <v>6480</v>
      </c>
      <c r="C1296" s="41" t="s">
        <v>3490</v>
      </c>
      <c r="D1296" s="42">
        <v>39175</v>
      </c>
      <c r="E1296" s="41">
        <v>10</v>
      </c>
      <c r="F1296" s="41">
        <v>1</v>
      </c>
      <c r="G1296" s="41" t="s">
        <v>6481</v>
      </c>
      <c r="H1296" s="41">
        <v>10</v>
      </c>
    </row>
    <row r="1297" spans="1:8" ht="16" x14ac:dyDescent="0.2">
      <c r="A1297" s="41" t="s">
        <v>6482</v>
      </c>
      <c r="B1297" s="41" t="s">
        <v>6483</v>
      </c>
      <c r="C1297" s="41" t="s">
        <v>3490</v>
      </c>
      <c r="D1297" s="42">
        <v>42611</v>
      </c>
      <c r="E1297" s="41">
        <v>10</v>
      </c>
      <c r="F1297" s="41">
        <v>1</v>
      </c>
      <c r="G1297" s="41" t="s">
        <v>6484</v>
      </c>
      <c r="H1297" s="41">
        <v>10</v>
      </c>
    </row>
    <row r="1298" spans="1:8" ht="16" x14ac:dyDescent="0.2">
      <c r="A1298" s="41" t="s">
        <v>921</v>
      </c>
      <c r="B1298" s="41" t="s">
        <v>6485</v>
      </c>
      <c r="C1298" s="41" t="s">
        <v>3490</v>
      </c>
      <c r="D1298" s="42">
        <v>40991</v>
      </c>
      <c r="E1298" s="41">
        <v>1</v>
      </c>
      <c r="F1298" s="41">
        <v>1</v>
      </c>
      <c r="G1298" s="41" t="s">
        <v>6486</v>
      </c>
      <c r="H1298" s="41">
        <v>1</v>
      </c>
    </row>
    <row r="1299" spans="1:8" ht="16" x14ac:dyDescent="0.2">
      <c r="A1299" s="41" t="s">
        <v>6487</v>
      </c>
      <c r="B1299" s="41" t="s">
        <v>6488</v>
      </c>
      <c r="C1299" s="41" t="s">
        <v>3510</v>
      </c>
      <c r="D1299" s="42">
        <v>39196</v>
      </c>
      <c r="E1299" s="41">
        <v>10</v>
      </c>
      <c r="F1299" s="41">
        <v>1</v>
      </c>
      <c r="G1299" s="41" t="s">
        <v>6489</v>
      </c>
      <c r="H1299" s="41">
        <v>10</v>
      </c>
    </row>
    <row r="1300" spans="1:8" ht="16" x14ac:dyDescent="0.2">
      <c r="A1300" s="41" t="s">
        <v>922</v>
      </c>
      <c r="B1300" s="41" t="s">
        <v>6490</v>
      </c>
      <c r="C1300" s="41" t="s">
        <v>3490</v>
      </c>
      <c r="D1300" s="42">
        <v>44042</v>
      </c>
      <c r="E1300" s="41">
        <v>10</v>
      </c>
      <c r="F1300" s="41">
        <v>1</v>
      </c>
      <c r="G1300" s="41" t="s">
        <v>6491</v>
      </c>
      <c r="H1300" s="41">
        <v>10</v>
      </c>
    </row>
    <row r="1301" spans="1:8" ht="16" x14ac:dyDescent="0.2">
      <c r="A1301" s="41" t="s">
        <v>923</v>
      </c>
      <c r="B1301" s="41" t="s">
        <v>6492</v>
      </c>
      <c r="C1301" s="41" t="s">
        <v>3510</v>
      </c>
      <c r="D1301" s="42">
        <v>38126</v>
      </c>
      <c r="E1301" s="41">
        <v>4</v>
      </c>
      <c r="F1301" s="41">
        <v>1</v>
      </c>
      <c r="G1301" s="41" t="s">
        <v>6493</v>
      </c>
      <c r="H1301" s="41">
        <v>4</v>
      </c>
    </row>
    <row r="1302" spans="1:8" ht="16" x14ac:dyDescent="0.2">
      <c r="A1302" s="41" t="s">
        <v>6494</v>
      </c>
      <c r="B1302" s="41" t="s">
        <v>6495</v>
      </c>
      <c r="C1302" s="41" t="s">
        <v>3490</v>
      </c>
      <c r="D1302" s="42">
        <v>42431</v>
      </c>
      <c r="E1302" s="41">
        <v>10</v>
      </c>
      <c r="F1302" s="41">
        <v>1</v>
      </c>
      <c r="G1302" s="41" t="s">
        <v>6496</v>
      </c>
      <c r="H1302" s="41">
        <v>10</v>
      </c>
    </row>
    <row r="1303" spans="1:8" ht="16" x14ac:dyDescent="0.2">
      <c r="A1303" s="41" t="s">
        <v>924</v>
      </c>
      <c r="B1303" s="41" t="s">
        <v>6497</v>
      </c>
      <c r="C1303" s="41" t="s">
        <v>3510</v>
      </c>
      <c r="D1303" s="42">
        <v>38551</v>
      </c>
      <c r="E1303" s="41">
        <v>1</v>
      </c>
      <c r="F1303" s="41">
        <v>1</v>
      </c>
      <c r="G1303" s="41" t="s">
        <v>6498</v>
      </c>
      <c r="H1303" s="41">
        <v>1</v>
      </c>
    </row>
    <row r="1304" spans="1:8" ht="16" x14ac:dyDescent="0.2">
      <c r="A1304" s="41" t="s">
        <v>925</v>
      </c>
      <c r="B1304" s="41" t="s">
        <v>6499</v>
      </c>
      <c r="C1304" s="41" t="s">
        <v>3490</v>
      </c>
      <c r="D1304" s="42">
        <v>39260</v>
      </c>
      <c r="E1304" s="41">
        <v>2</v>
      </c>
      <c r="F1304" s="41">
        <v>1</v>
      </c>
      <c r="G1304" s="41" t="s">
        <v>6500</v>
      </c>
      <c r="H1304" s="41">
        <v>2</v>
      </c>
    </row>
    <row r="1305" spans="1:8" ht="16" x14ac:dyDescent="0.2">
      <c r="A1305" s="41" t="s">
        <v>926</v>
      </c>
      <c r="B1305" s="41" t="s">
        <v>6501</v>
      </c>
      <c r="C1305" s="41" t="s">
        <v>3490</v>
      </c>
      <c r="D1305" s="42">
        <v>37769</v>
      </c>
      <c r="E1305" s="41">
        <v>10</v>
      </c>
      <c r="F1305" s="41">
        <v>1</v>
      </c>
      <c r="G1305" s="41" t="s">
        <v>6502</v>
      </c>
      <c r="H1305" s="41">
        <v>10</v>
      </c>
    </row>
    <row r="1306" spans="1:8" ht="16" x14ac:dyDescent="0.2">
      <c r="A1306" s="41" t="s">
        <v>927</v>
      </c>
      <c r="B1306" s="41" t="s">
        <v>6503</v>
      </c>
      <c r="C1306" s="41" t="s">
        <v>3490</v>
      </c>
      <c r="D1306" s="42">
        <v>43593</v>
      </c>
      <c r="E1306" s="41">
        <v>10</v>
      </c>
      <c r="F1306" s="41">
        <v>1</v>
      </c>
      <c r="G1306" s="41" t="s">
        <v>6504</v>
      </c>
      <c r="H1306" s="41">
        <v>10</v>
      </c>
    </row>
    <row r="1307" spans="1:8" ht="16" x14ac:dyDescent="0.2">
      <c r="A1307" s="41" t="s">
        <v>928</v>
      </c>
      <c r="B1307" s="41" t="s">
        <v>6505</v>
      </c>
      <c r="C1307" s="41" t="s">
        <v>3490</v>
      </c>
      <c r="D1307" s="42">
        <v>39546</v>
      </c>
      <c r="E1307" s="41">
        <v>2</v>
      </c>
      <c r="F1307" s="41">
        <v>1</v>
      </c>
      <c r="G1307" s="41" t="s">
        <v>6506</v>
      </c>
      <c r="H1307" s="41">
        <v>2</v>
      </c>
    </row>
    <row r="1308" spans="1:8" ht="16" x14ac:dyDescent="0.2">
      <c r="A1308" s="41" t="s">
        <v>929</v>
      </c>
      <c r="B1308" s="41" t="s">
        <v>6507</v>
      </c>
      <c r="C1308" s="41" t="s">
        <v>3490</v>
      </c>
      <c r="D1308" s="42">
        <v>45139</v>
      </c>
      <c r="E1308" s="41">
        <v>1</v>
      </c>
      <c r="F1308" s="41">
        <v>1</v>
      </c>
      <c r="G1308" s="41" t="s">
        <v>6508</v>
      </c>
      <c r="H1308" s="41">
        <v>1</v>
      </c>
    </row>
    <row r="1309" spans="1:8" ht="16" x14ac:dyDescent="0.2">
      <c r="A1309" s="41" t="s">
        <v>930</v>
      </c>
      <c r="B1309" s="41" t="s">
        <v>6509</v>
      </c>
      <c r="C1309" s="41" t="s">
        <v>3490</v>
      </c>
      <c r="D1309" s="42">
        <v>45134</v>
      </c>
      <c r="E1309" s="41">
        <v>2</v>
      </c>
      <c r="F1309" s="41">
        <v>1</v>
      </c>
      <c r="G1309" s="41" t="s">
        <v>6510</v>
      </c>
      <c r="H1309" s="41">
        <v>2</v>
      </c>
    </row>
    <row r="1310" spans="1:8" ht="16" x14ac:dyDescent="0.2">
      <c r="A1310" s="41" t="s">
        <v>931</v>
      </c>
      <c r="B1310" s="41" t="s">
        <v>6511</v>
      </c>
      <c r="C1310" s="41" t="s">
        <v>3490</v>
      </c>
      <c r="D1310" s="42">
        <v>39115</v>
      </c>
      <c r="E1310" s="41">
        <v>5</v>
      </c>
      <c r="F1310" s="41">
        <v>1</v>
      </c>
      <c r="G1310" s="41" t="s">
        <v>6512</v>
      </c>
      <c r="H1310" s="41">
        <v>5</v>
      </c>
    </row>
    <row r="1311" spans="1:8" ht="16" x14ac:dyDescent="0.2">
      <c r="A1311" s="41" t="s">
        <v>932</v>
      </c>
      <c r="B1311" s="41" t="s">
        <v>6513</v>
      </c>
      <c r="C1311" s="41" t="s">
        <v>3490</v>
      </c>
      <c r="D1311" s="42">
        <v>39734</v>
      </c>
      <c r="E1311" s="41">
        <v>10</v>
      </c>
      <c r="F1311" s="41">
        <v>1</v>
      </c>
      <c r="G1311" s="41" t="s">
        <v>6514</v>
      </c>
      <c r="H1311" s="41">
        <v>10</v>
      </c>
    </row>
    <row r="1312" spans="1:8" ht="16" x14ac:dyDescent="0.2">
      <c r="A1312" s="41" t="s">
        <v>933</v>
      </c>
      <c r="B1312" s="41" t="s">
        <v>6515</v>
      </c>
      <c r="C1312" s="41" t="s">
        <v>3490</v>
      </c>
      <c r="D1312" s="42">
        <v>43129</v>
      </c>
      <c r="E1312" s="41">
        <v>10</v>
      </c>
      <c r="F1312" s="41">
        <v>1</v>
      </c>
      <c r="G1312" s="41" t="s">
        <v>6516</v>
      </c>
      <c r="H1312" s="41">
        <v>10</v>
      </c>
    </row>
    <row r="1313" spans="1:8" ht="16" x14ac:dyDescent="0.2">
      <c r="A1313" s="41" t="s">
        <v>6517</v>
      </c>
      <c r="B1313" s="41" t="s">
        <v>6518</v>
      </c>
      <c r="C1313" s="41" t="s">
        <v>3490</v>
      </c>
      <c r="D1313" s="42">
        <v>36985</v>
      </c>
      <c r="E1313" s="41">
        <v>10</v>
      </c>
      <c r="F1313" s="41">
        <v>1</v>
      </c>
      <c r="G1313" s="41" t="s">
        <v>6519</v>
      </c>
      <c r="H1313" s="41">
        <v>10</v>
      </c>
    </row>
    <row r="1314" spans="1:8" ht="16" x14ac:dyDescent="0.2">
      <c r="A1314" s="41" t="s">
        <v>934</v>
      </c>
      <c r="B1314" s="41" t="s">
        <v>6520</v>
      </c>
      <c r="C1314" s="41" t="s">
        <v>3490</v>
      </c>
      <c r="D1314" s="42">
        <v>39079</v>
      </c>
      <c r="E1314" s="41">
        <v>10</v>
      </c>
      <c r="F1314" s="41">
        <v>1</v>
      </c>
      <c r="G1314" s="41" t="s">
        <v>6521</v>
      </c>
      <c r="H1314" s="41">
        <v>10</v>
      </c>
    </row>
    <row r="1315" spans="1:8" ht="16" x14ac:dyDescent="0.2">
      <c r="A1315" s="41" t="s">
        <v>6522</v>
      </c>
      <c r="B1315" s="41" t="s">
        <v>6523</v>
      </c>
      <c r="C1315" s="41" t="s">
        <v>3490</v>
      </c>
      <c r="D1315" s="42">
        <v>44428</v>
      </c>
      <c r="E1315" s="41">
        <v>10</v>
      </c>
      <c r="F1315" s="41">
        <v>1</v>
      </c>
      <c r="G1315" s="41" t="s">
        <v>6524</v>
      </c>
      <c r="H1315" s="41">
        <v>10</v>
      </c>
    </row>
    <row r="1316" spans="1:8" ht="16" x14ac:dyDescent="0.2">
      <c r="A1316" s="41" t="s">
        <v>935</v>
      </c>
      <c r="B1316" s="41" t="s">
        <v>6525</v>
      </c>
      <c r="C1316" s="41" t="s">
        <v>3490</v>
      </c>
      <c r="D1316" s="42">
        <v>44750</v>
      </c>
      <c r="E1316" s="41">
        <v>5</v>
      </c>
      <c r="F1316" s="41">
        <v>1</v>
      </c>
      <c r="G1316" s="41" t="s">
        <v>6526</v>
      </c>
      <c r="H1316" s="41">
        <v>5</v>
      </c>
    </row>
    <row r="1317" spans="1:8" ht="16" x14ac:dyDescent="0.2">
      <c r="A1317" s="41" t="s">
        <v>936</v>
      </c>
      <c r="B1317" s="41" t="s">
        <v>6527</v>
      </c>
      <c r="C1317" s="41" t="s">
        <v>3490</v>
      </c>
      <c r="D1317" s="42">
        <v>42375</v>
      </c>
      <c r="E1317" s="41">
        <v>10</v>
      </c>
      <c r="F1317" s="41">
        <v>1</v>
      </c>
      <c r="G1317" s="41" t="s">
        <v>6528</v>
      </c>
      <c r="H1317" s="41">
        <v>10</v>
      </c>
    </row>
    <row r="1318" spans="1:8" ht="16" x14ac:dyDescent="0.2">
      <c r="A1318" s="41" t="s">
        <v>938</v>
      </c>
      <c r="B1318" s="41" t="s">
        <v>6529</v>
      </c>
      <c r="C1318" s="41" t="s">
        <v>3490</v>
      </c>
      <c r="D1318" s="42">
        <v>40057</v>
      </c>
      <c r="E1318" s="41">
        <v>10</v>
      </c>
      <c r="F1318" s="41">
        <v>1</v>
      </c>
      <c r="G1318" s="41" t="s">
        <v>6530</v>
      </c>
      <c r="H1318" s="41">
        <v>10</v>
      </c>
    </row>
    <row r="1319" spans="1:8" ht="16" x14ac:dyDescent="0.2">
      <c r="A1319" s="41" t="s">
        <v>939</v>
      </c>
      <c r="B1319" s="41" t="s">
        <v>6531</v>
      </c>
      <c r="C1319" s="41" t="s">
        <v>3490</v>
      </c>
      <c r="D1319" s="42">
        <v>43052</v>
      </c>
      <c r="E1319" s="41">
        <v>5</v>
      </c>
      <c r="F1319" s="41">
        <v>1</v>
      </c>
      <c r="G1319" s="41" t="s">
        <v>6532</v>
      </c>
      <c r="H1319" s="41">
        <v>5</v>
      </c>
    </row>
    <row r="1320" spans="1:8" ht="16" x14ac:dyDescent="0.2">
      <c r="A1320" s="41" t="s">
        <v>6533</v>
      </c>
      <c r="B1320" s="41" t="s">
        <v>6534</v>
      </c>
      <c r="C1320" s="41" t="s">
        <v>3490</v>
      </c>
      <c r="D1320" s="42">
        <v>45695</v>
      </c>
      <c r="E1320" s="41">
        <v>10</v>
      </c>
      <c r="F1320" s="41">
        <v>1</v>
      </c>
      <c r="G1320" s="41" t="s">
        <v>6535</v>
      </c>
      <c r="H1320" s="41">
        <v>10</v>
      </c>
    </row>
    <row r="1321" spans="1:8" ht="16" x14ac:dyDescent="0.2">
      <c r="A1321" s="41" t="s">
        <v>6536</v>
      </c>
      <c r="B1321" s="41" t="s">
        <v>6537</v>
      </c>
      <c r="C1321" s="41" t="s">
        <v>3510</v>
      </c>
      <c r="D1321" s="42">
        <v>41373</v>
      </c>
      <c r="E1321" s="41">
        <v>2</v>
      </c>
      <c r="F1321" s="41">
        <v>1</v>
      </c>
      <c r="G1321" s="41" t="s">
        <v>6538</v>
      </c>
      <c r="H1321" s="41">
        <v>2</v>
      </c>
    </row>
    <row r="1322" spans="1:8" ht="16" x14ac:dyDescent="0.2">
      <c r="A1322" s="41" t="s">
        <v>940</v>
      </c>
      <c r="B1322" s="41" t="s">
        <v>6539</v>
      </c>
      <c r="C1322" s="41" t="s">
        <v>3490</v>
      </c>
      <c r="D1322" s="42">
        <v>38215</v>
      </c>
      <c r="E1322" s="41">
        <v>2</v>
      </c>
      <c r="F1322" s="41">
        <v>1</v>
      </c>
      <c r="G1322" s="41" t="s">
        <v>6540</v>
      </c>
      <c r="H1322" s="41">
        <v>2</v>
      </c>
    </row>
    <row r="1323" spans="1:8" ht="16" x14ac:dyDescent="0.2">
      <c r="A1323" s="41" t="s">
        <v>941</v>
      </c>
      <c r="B1323" s="41" t="s">
        <v>6541</v>
      </c>
      <c r="C1323" s="41" t="s">
        <v>3490</v>
      </c>
      <c r="D1323" s="42">
        <v>45146</v>
      </c>
      <c r="E1323" s="41">
        <v>2</v>
      </c>
      <c r="F1323" s="41">
        <v>1</v>
      </c>
      <c r="G1323" s="41" t="s">
        <v>6542</v>
      </c>
      <c r="H1323" s="41">
        <v>2</v>
      </c>
    </row>
    <row r="1324" spans="1:8" ht="16" x14ac:dyDescent="0.2">
      <c r="A1324" s="41" t="s">
        <v>6543</v>
      </c>
      <c r="B1324" s="41" t="s">
        <v>6544</v>
      </c>
      <c r="C1324" s="41" t="s">
        <v>3490</v>
      </c>
      <c r="D1324" s="42">
        <v>42145</v>
      </c>
      <c r="E1324" s="41">
        <v>1</v>
      </c>
      <c r="F1324" s="41">
        <v>1</v>
      </c>
      <c r="G1324" s="41" t="s">
        <v>6545</v>
      </c>
      <c r="H1324" s="41">
        <v>1</v>
      </c>
    </row>
    <row r="1325" spans="1:8" ht="16" x14ac:dyDescent="0.2">
      <c r="A1325" s="41" t="s">
        <v>6546</v>
      </c>
      <c r="B1325" s="41" t="s">
        <v>6547</v>
      </c>
      <c r="C1325" s="41" t="s">
        <v>3490</v>
      </c>
      <c r="D1325" s="42">
        <v>43462</v>
      </c>
      <c r="E1325" s="41">
        <v>1</v>
      </c>
      <c r="F1325" s="41">
        <v>1</v>
      </c>
      <c r="G1325" s="41" t="s">
        <v>6548</v>
      </c>
      <c r="H1325" s="41">
        <v>1</v>
      </c>
    </row>
    <row r="1326" spans="1:8" ht="16" x14ac:dyDescent="0.2">
      <c r="A1326" s="41" t="s">
        <v>942</v>
      </c>
      <c r="B1326" s="41" t="s">
        <v>6549</v>
      </c>
      <c r="C1326" s="41" t="s">
        <v>3490</v>
      </c>
      <c r="D1326" s="42">
        <v>35004</v>
      </c>
      <c r="E1326" s="41">
        <v>10</v>
      </c>
      <c r="F1326" s="41">
        <v>1</v>
      </c>
      <c r="G1326" s="41" t="s">
        <v>6550</v>
      </c>
      <c r="H1326" s="41">
        <v>10</v>
      </c>
    </row>
    <row r="1327" spans="1:8" ht="16" x14ac:dyDescent="0.2">
      <c r="A1327" s="41" t="s">
        <v>943</v>
      </c>
      <c r="B1327" s="41" t="s">
        <v>6551</v>
      </c>
      <c r="C1327" s="41" t="s">
        <v>3490</v>
      </c>
      <c r="D1327" s="42">
        <v>44978</v>
      </c>
      <c r="E1327" s="41">
        <v>10</v>
      </c>
      <c r="F1327" s="41">
        <v>1</v>
      </c>
      <c r="G1327" s="41" t="s">
        <v>6552</v>
      </c>
      <c r="H1327" s="41">
        <v>10</v>
      </c>
    </row>
    <row r="1328" spans="1:8" ht="16" x14ac:dyDescent="0.2">
      <c r="A1328" s="41" t="s">
        <v>6553</v>
      </c>
      <c r="B1328" s="41" t="s">
        <v>6554</v>
      </c>
      <c r="C1328" s="41" t="s">
        <v>3490</v>
      </c>
      <c r="D1328" s="42">
        <v>36439</v>
      </c>
      <c r="E1328" s="41">
        <v>5</v>
      </c>
      <c r="F1328" s="41">
        <v>1</v>
      </c>
      <c r="G1328" s="41" t="s">
        <v>6555</v>
      </c>
      <c r="H1328" s="41">
        <v>5</v>
      </c>
    </row>
    <row r="1329" spans="1:8" ht="16" x14ac:dyDescent="0.2">
      <c r="A1329" s="41" t="s">
        <v>6556</v>
      </c>
      <c r="B1329" s="41" t="s">
        <v>6557</v>
      </c>
      <c r="C1329" s="41" t="s">
        <v>3490</v>
      </c>
      <c r="D1329" s="42">
        <v>44105</v>
      </c>
      <c r="E1329" s="41">
        <v>10</v>
      </c>
      <c r="F1329" s="41">
        <v>1</v>
      </c>
      <c r="G1329" s="41" t="s">
        <v>6558</v>
      </c>
      <c r="H1329" s="41">
        <v>10</v>
      </c>
    </row>
    <row r="1330" spans="1:8" ht="16" x14ac:dyDescent="0.2">
      <c r="A1330" s="41" t="s">
        <v>6559</v>
      </c>
      <c r="B1330" s="41" t="s">
        <v>6560</v>
      </c>
      <c r="C1330" s="41" t="s">
        <v>3510</v>
      </c>
      <c r="D1330" s="42">
        <v>42670</v>
      </c>
      <c r="E1330" s="41">
        <v>10</v>
      </c>
      <c r="F1330" s="41">
        <v>1</v>
      </c>
      <c r="G1330" s="41" t="s">
        <v>6561</v>
      </c>
      <c r="H1330" s="41">
        <v>10</v>
      </c>
    </row>
    <row r="1331" spans="1:8" ht="16" x14ac:dyDescent="0.2">
      <c r="A1331" s="41" t="s">
        <v>944</v>
      </c>
      <c r="B1331" s="41" t="s">
        <v>6562</v>
      </c>
      <c r="C1331" s="41" t="s">
        <v>3490</v>
      </c>
      <c r="D1331" s="42">
        <v>38797</v>
      </c>
      <c r="E1331" s="41">
        <v>10</v>
      </c>
      <c r="F1331" s="41">
        <v>1</v>
      </c>
      <c r="G1331" s="41" t="s">
        <v>6563</v>
      </c>
      <c r="H1331" s="41">
        <v>10</v>
      </c>
    </row>
    <row r="1332" spans="1:8" ht="16" x14ac:dyDescent="0.2">
      <c r="A1332" s="41" t="s">
        <v>945</v>
      </c>
      <c r="B1332" s="41" t="s">
        <v>6564</v>
      </c>
      <c r="C1332" s="41" t="s">
        <v>3490</v>
      </c>
      <c r="D1332" s="42">
        <v>38750</v>
      </c>
      <c r="E1332" s="41">
        <v>10</v>
      </c>
      <c r="F1332" s="41">
        <v>1</v>
      </c>
      <c r="G1332" s="41" t="s">
        <v>6565</v>
      </c>
      <c r="H1332" s="41">
        <v>10</v>
      </c>
    </row>
    <row r="1333" spans="1:8" ht="16" x14ac:dyDescent="0.2">
      <c r="A1333" s="41" t="s">
        <v>6566</v>
      </c>
      <c r="B1333" s="41" t="s">
        <v>6567</v>
      </c>
      <c r="C1333" s="41" t="s">
        <v>3490</v>
      </c>
      <c r="D1333" s="42">
        <v>44308</v>
      </c>
      <c r="E1333" s="41">
        <v>10</v>
      </c>
      <c r="F1333" s="41">
        <v>1</v>
      </c>
      <c r="G1333" s="41" t="s">
        <v>6568</v>
      </c>
      <c r="H1333" s="41">
        <v>10</v>
      </c>
    </row>
    <row r="1334" spans="1:8" ht="16" x14ac:dyDescent="0.2">
      <c r="A1334" s="41" t="s">
        <v>6569</v>
      </c>
      <c r="B1334" s="41" t="s">
        <v>6570</v>
      </c>
      <c r="C1334" s="41" t="s">
        <v>3490</v>
      </c>
      <c r="D1334" s="42">
        <v>45610</v>
      </c>
      <c r="E1334" s="41">
        <v>10</v>
      </c>
      <c r="F1334" s="41">
        <v>1</v>
      </c>
      <c r="G1334" s="41" t="s">
        <v>6571</v>
      </c>
      <c r="H1334" s="41">
        <v>10</v>
      </c>
    </row>
    <row r="1335" spans="1:8" ht="16" x14ac:dyDescent="0.2">
      <c r="A1335" s="41" t="s">
        <v>6572</v>
      </c>
      <c r="B1335" s="41" t="s">
        <v>6573</v>
      </c>
      <c r="C1335" s="41" t="s">
        <v>3490</v>
      </c>
      <c r="D1335" s="42">
        <v>34887</v>
      </c>
      <c r="E1335" s="41">
        <v>10</v>
      </c>
      <c r="F1335" s="41">
        <v>1</v>
      </c>
      <c r="G1335" s="41" t="s">
        <v>6574</v>
      </c>
      <c r="H1335" s="41">
        <v>10</v>
      </c>
    </row>
    <row r="1336" spans="1:8" ht="16" x14ac:dyDescent="0.2">
      <c r="A1336" s="41" t="s">
        <v>946</v>
      </c>
      <c r="B1336" s="41" t="s">
        <v>6575</v>
      </c>
      <c r="C1336" s="41" t="s">
        <v>3490</v>
      </c>
      <c r="D1336" s="42">
        <v>36761</v>
      </c>
      <c r="E1336" s="41">
        <v>10</v>
      </c>
      <c r="F1336" s="41">
        <v>1</v>
      </c>
      <c r="G1336" s="41" t="s">
        <v>6576</v>
      </c>
      <c r="H1336" s="41">
        <v>10</v>
      </c>
    </row>
    <row r="1337" spans="1:8" ht="16" x14ac:dyDescent="0.2">
      <c r="A1337" s="41" t="s">
        <v>947</v>
      </c>
      <c r="B1337" s="41" t="s">
        <v>6577</v>
      </c>
      <c r="C1337" s="41" t="s">
        <v>3490</v>
      </c>
      <c r="D1337" s="42">
        <v>39510</v>
      </c>
      <c r="E1337" s="41">
        <v>1</v>
      </c>
      <c r="F1337" s="41">
        <v>1</v>
      </c>
      <c r="G1337" s="41" t="s">
        <v>6578</v>
      </c>
      <c r="H1337" s="41">
        <v>1</v>
      </c>
    </row>
    <row r="1338" spans="1:8" ht="16" x14ac:dyDescent="0.2">
      <c r="A1338" s="41" t="s">
        <v>948</v>
      </c>
      <c r="B1338" s="41" t="s">
        <v>6579</v>
      </c>
      <c r="C1338" s="41" t="s">
        <v>3490</v>
      </c>
      <c r="D1338" s="42">
        <v>35081</v>
      </c>
      <c r="E1338" s="41">
        <v>10</v>
      </c>
      <c r="F1338" s="41">
        <v>1</v>
      </c>
      <c r="G1338" s="41" t="s">
        <v>6580</v>
      </c>
      <c r="H1338" s="41">
        <v>10</v>
      </c>
    </row>
    <row r="1339" spans="1:8" ht="16" x14ac:dyDescent="0.2">
      <c r="A1339" s="41" t="s">
        <v>6581</v>
      </c>
      <c r="B1339" s="41" t="s">
        <v>6582</v>
      </c>
      <c r="C1339" s="41" t="s">
        <v>3510</v>
      </c>
      <c r="D1339" s="42">
        <v>37596</v>
      </c>
      <c r="E1339" s="41">
        <v>10</v>
      </c>
      <c r="F1339" s="41">
        <v>1</v>
      </c>
      <c r="G1339" s="41" t="s">
        <v>6583</v>
      </c>
      <c r="H1339" s="41">
        <v>10</v>
      </c>
    </row>
    <row r="1340" spans="1:8" ht="16" x14ac:dyDescent="0.2">
      <c r="A1340" s="41" t="s">
        <v>6584</v>
      </c>
      <c r="B1340" s="41" t="s">
        <v>6585</v>
      </c>
      <c r="C1340" s="41" t="s">
        <v>3510</v>
      </c>
      <c r="D1340" s="42">
        <v>35242</v>
      </c>
      <c r="E1340" s="41">
        <v>10</v>
      </c>
      <c r="F1340" s="41">
        <v>1</v>
      </c>
      <c r="G1340" s="41" t="s">
        <v>6586</v>
      </c>
      <c r="H1340" s="41">
        <v>10</v>
      </c>
    </row>
    <row r="1341" spans="1:8" ht="16" x14ac:dyDescent="0.2">
      <c r="A1341" s="41" t="s">
        <v>6587</v>
      </c>
      <c r="B1341" s="41" t="s">
        <v>6588</v>
      </c>
      <c r="C1341" s="41" t="s">
        <v>3490</v>
      </c>
      <c r="D1341" s="42">
        <v>45559</v>
      </c>
      <c r="E1341" s="41">
        <v>10</v>
      </c>
      <c r="F1341" s="41">
        <v>1</v>
      </c>
      <c r="G1341" s="41" t="s">
        <v>6589</v>
      </c>
      <c r="H1341" s="41">
        <v>10</v>
      </c>
    </row>
    <row r="1342" spans="1:8" ht="16" x14ac:dyDescent="0.2">
      <c r="A1342" s="41" t="s">
        <v>949</v>
      </c>
      <c r="B1342" s="41" t="s">
        <v>6590</v>
      </c>
      <c r="C1342" s="41" t="s">
        <v>3490</v>
      </c>
      <c r="D1342" s="42">
        <v>45322</v>
      </c>
      <c r="E1342" s="41">
        <v>2</v>
      </c>
      <c r="F1342" s="41">
        <v>1</v>
      </c>
      <c r="G1342" s="41" t="s">
        <v>6591</v>
      </c>
      <c r="H1342" s="41">
        <v>2</v>
      </c>
    </row>
    <row r="1343" spans="1:8" ht="16" x14ac:dyDescent="0.2">
      <c r="A1343" s="41" t="s">
        <v>950</v>
      </c>
      <c r="B1343" s="41" t="s">
        <v>6592</v>
      </c>
      <c r="C1343" s="41" t="s">
        <v>3490</v>
      </c>
      <c r="D1343" s="42">
        <v>45777</v>
      </c>
      <c r="E1343" s="41">
        <v>10</v>
      </c>
      <c r="F1343" s="41">
        <v>1</v>
      </c>
      <c r="G1343" s="41" t="s">
        <v>6593</v>
      </c>
      <c r="H1343" s="41">
        <v>10</v>
      </c>
    </row>
    <row r="1344" spans="1:8" ht="16" x14ac:dyDescent="0.2">
      <c r="A1344" s="41" t="s">
        <v>951</v>
      </c>
      <c r="B1344" s="41" t="s">
        <v>6594</v>
      </c>
      <c r="C1344" s="41" t="s">
        <v>3510</v>
      </c>
      <c r="D1344" s="42">
        <v>42830</v>
      </c>
      <c r="E1344" s="41">
        <v>10</v>
      </c>
      <c r="F1344" s="41">
        <v>1</v>
      </c>
      <c r="G1344" s="41" t="s">
        <v>6595</v>
      </c>
      <c r="H1344" s="41">
        <v>10</v>
      </c>
    </row>
    <row r="1345" spans="1:8" ht="16" x14ac:dyDescent="0.2">
      <c r="A1345" s="41" t="s">
        <v>952</v>
      </c>
      <c r="B1345" s="41" t="s">
        <v>6596</v>
      </c>
      <c r="C1345" s="41" t="s">
        <v>3490</v>
      </c>
      <c r="D1345" s="42">
        <v>36593</v>
      </c>
      <c r="E1345" s="41">
        <v>2</v>
      </c>
      <c r="F1345" s="41">
        <v>1</v>
      </c>
      <c r="G1345" s="41" t="s">
        <v>6597</v>
      </c>
      <c r="H1345" s="41">
        <v>2</v>
      </c>
    </row>
    <row r="1346" spans="1:8" ht="16" x14ac:dyDescent="0.2">
      <c r="A1346" s="41" t="s">
        <v>953</v>
      </c>
      <c r="B1346" s="41" t="s">
        <v>6598</v>
      </c>
      <c r="C1346" s="41" t="s">
        <v>3510</v>
      </c>
      <c r="D1346" s="42">
        <v>44938</v>
      </c>
      <c r="E1346" s="41">
        <v>10</v>
      </c>
      <c r="F1346" s="41">
        <v>1</v>
      </c>
      <c r="G1346" s="41" t="s">
        <v>6599</v>
      </c>
      <c r="H1346" s="41">
        <v>10</v>
      </c>
    </row>
    <row r="1347" spans="1:8" ht="16" x14ac:dyDescent="0.2">
      <c r="A1347" s="41" t="s">
        <v>954</v>
      </c>
      <c r="B1347" s="41" t="s">
        <v>6600</v>
      </c>
      <c r="C1347" s="41" t="s">
        <v>3490</v>
      </c>
      <c r="D1347" s="42">
        <v>37942</v>
      </c>
      <c r="E1347" s="41">
        <v>10</v>
      </c>
      <c r="F1347" s="41">
        <v>1</v>
      </c>
      <c r="G1347" s="41" t="s">
        <v>6601</v>
      </c>
      <c r="H1347" s="41">
        <v>10</v>
      </c>
    </row>
    <row r="1348" spans="1:8" ht="16" x14ac:dyDescent="0.2">
      <c r="A1348" s="41" t="s">
        <v>955</v>
      </c>
      <c r="B1348" s="41" t="s">
        <v>6602</v>
      </c>
      <c r="C1348" s="41" t="s">
        <v>3490</v>
      </c>
      <c r="D1348" s="42">
        <v>44977</v>
      </c>
      <c r="E1348" s="41">
        <v>10</v>
      </c>
      <c r="F1348" s="41">
        <v>1</v>
      </c>
      <c r="G1348" s="41" t="s">
        <v>6603</v>
      </c>
      <c r="H1348" s="41">
        <v>10</v>
      </c>
    </row>
    <row r="1349" spans="1:8" ht="16" x14ac:dyDescent="0.2">
      <c r="A1349" s="41" t="s">
        <v>956</v>
      </c>
      <c r="B1349" s="41" t="s">
        <v>6604</v>
      </c>
      <c r="C1349" s="41" t="s">
        <v>3490</v>
      </c>
      <c r="D1349" s="42">
        <v>38296</v>
      </c>
      <c r="E1349" s="41">
        <v>10</v>
      </c>
      <c r="F1349" s="41">
        <v>1</v>
      </c>
      <c r="G1349" s="41" t="s">
        <v>6605</v>
      </c>
      <c r="H1349" s="41">
        <v>10</v>
      </c>
    </row>
    <row r="1350" spans="1:8" ht="16" x14ac:dyDescent="0.2">
      <c r="A1350" s="41" t="s">
        <v>6606</v>
      </c>
      <c r="B1350" s="41" t="s">
        <v>6607</v>
      </c>
      <c r="C1350" s="41" t="s">
        <v>3490</v>
      </c>
      <c r="D1350" s="42">
        <v>45623</v>
      </c>
      <c r="E1350" s="41">
        <v>10</v>
      </c>
      <c r="F1350" s="41">
        <v>1</v>
      </c>
      <c r="G1350" s="41" t="s">
        <v>6608</v>
      </c>
      <c r="H1350" s="41">
        <v>10</v>
      </c>
    </row>
    <row r="1351" spans="1:8" ht="16" x14ac:dyDescent="0.2">
      <c r="A1351" s="41" t="s">
        <v>957</v>
      </c>
      <c r="B1351" s="41" t="s">
        <v>6609</v>
      </c>
      <c r="C1351" s="41" t="s">
        <v>3490</v>
      </c>
      <c r="D1351" s="42">
        <v>37609</v>
      </c>
      <c r="E1351" s="41">
        <v>10</v>
      </c>
      <c r="F1351" s="41">
        <v>1</v>
      </c>
      <c r="G1351" s="41" t="s">
        <v>6610</v>
      </c>
      <c r="H1351" s="41">
        <v>10</v>
      </c>
    </row>
    <row r="1352" spans="1:8" ht="16" x14ac:dyDescent="0.2">
      <c r="A1352" s="41" t="s">
        <v>6611</v>
      </c>
      <c r="B1352" s="41" t="s">
        <v>6612</v>
      </c>
      <c r="C1352" s="41" t="s">
        <v>3490</v>
      </c>
      <c r="D1352" s="42">
        <v>44252</v>
      </c>
      <c r="E1352" s="41">
        <v>10</v>
      </c>
      <c r="F1352" s="41">
        <v>1</v>
      </c>
      <c r="G1352" s="41" t="s">
        <v>6613</v>
      </c>
      <c r="H1352" s="41">
        <v>10</v>
      </c>
    </row>
    <row r="1353" spans="1:8" ht="16" x14ac:dyDescent="0.2">
      <c r="A1353" s="41" t="s">
        <v>958</v>
      </c>
      <c r="B1353" s="41" t="s">
        <v>6614</v>
      </c>
      <c r="C1353" s="41" t="s">
        <v>3490</v>
      </c>
      <c r="D1353" s="42">
        <v>45195</v>
      </c>
      <c r="E1353" s="41">
        <v>10</v>
      </c>
      <c r="F1353" s="41">
        <v>1</v>
      </c>
      <c r="G1353" s="41" t="s">
        <v>6615</v>
      </c>
      <c r="H1353" s="41">
        <v>10</v>
      </c>
    </row>
    <row r="1354" spans="1:8" ht="16" x14ac:dyDescent="0.2">
      <c r="A1354" s="41" t="s">
        <v>959</v>
      </c>
      <c r="B1354" s="41" t="s">
        <v>6616</v>
      </c>
      <c r="C1354" s="41" t="s">
        <v>3490</v>
      </c>
      <c r="D1354" s="42">
        <v>44431</v>
      </c>
      <c r="E1354" s="41">
        <v>10</v>
      </c>
      <c r="F1354" s="41">
        <v>1</v>
      </c>
      <c r="G1354" s="41" t="s">
        <v>6617</v>
      </c>
      <c r="H1354" s="41">
        <v>10</v>
      </c>
    </row>
    <row r="1355" spans="1:8" ht="16" x14ac:dyDescent="0.2">
      <c r="A1355" s="41" t="s">
        <v>961</v>
      </c>
      <c r="B1355" s="41" t="s">
        <v>6618</v>
      </c>
      <c r="C1355" s="41" t="s">
        <v>3490</v>
      </c>
      <c r="D1355" s="42">
        <v>44510</v>
      </c>
      <c r="E1355" s="41">
        <v>1</v>
      </c>
      <c r="F1355" s="41">
        <v>1</v>
      </c>
      <c r="G1355" s="41" t="s">
        <v>6619</v>
      </c>
      <c r="H1355" s="41">
        <v>1</v>
      </c>
    </row>
    <row r="1356" spans="1:8" ht="16" x14ac:dyDescent="0.2">
      <c r="A1356" s="41" t="s">
        <v>962</v>
      </c>
      <c r="B1356" s="41" t="s">
        <v>6620</v>
      </c>
      <c r="C1356" s="41" t="s">
        <v>3490</v>
      </c>
      <c r="D1356" s="42">
        <v>43657</v>
      </c>
      <c r="E1356" s="41">
        <v>5</v>
      </c>
      <c r="F1356" s="41">
        <v>1</v>
      </c>
      <c r="G1356" s="41" t="s">
        <v>6621</v>
      </c>
      <c r="H1356" s="41">
        <v>5</v>
      </c>
    </row>
    <row r="1357" spans="1:8" ht="16" x14ac:dyDescent="0.2">
      <c r="A1357" s="41" t="s">
        <v>6622</v>
      </c>
      <c r="B1357" s="41" t="s">
        <v>6623</v>
      </c>
      <c r="C1357" s="41" t="s">
        <v>3490</v>
      </c>
      <c r="D1357" s="42">
        <v>44658</v>
      </c>
      <c r="E1357" s="41">
        <v>10</v>
      </c>
      <c r="F1357" s="41">
        <v>1</v>
      </c>
      <c r="G1357" s="41" t="s">
        <v>6624</v>
      </c>
      <c r="H1357" s="41">
        <v>10</v>
      </c>
    </row>
    <row r="1358" spans="1:8" ht="16" x14ac:dyDescent="0.2">
      <c r="A1358" s="41" t="s">
        <v>963</v>
      </c>
      <c r="B1358" s="41" t="s">
        <v>6625</v>
      </c>
      <c r="C1358" s="41" t="s">
        <v>3490</v>
      </c>
      <c r="D1358" s="42">
        <v>40471</v>
      </c>
      <c r="E1358" s="41">
        <v>10</v>
      </c>
      <c r="F1358" s="41">
        <v>1</v>
      </c>
      <c r="G1358" s="41" t="s">
        <v>6626</v>
      </c>
      <c r="H1358" s="41">
        <v>10</v>
      </c>
    </row>
    <row r="1359" spans="1:8" ht="16" x14ac:dyDescent="0.2">
      <c r="A1359" s="41" t="s">
        <v>6627</v>
      </c>
      <c r="B1359" s="41" t="s">
        <v>6628</v>
      </c>
      <c r="C1359" s="41" t="s">
        <v>3510</v>
      </c>
      <c r="D1359" s="42">
        <v>45594</v>
      </c>
      <c r="E1359" s="41">
        <v>2</v>
      </c>
      <c r="F1359" s="41">
        <v>1</v>
      </c>
      <c r="G1359" s="41" t="s">
        <v>6629</v>
      </c>
      <c r="H1359" s="41">
        <v>2</v>
      </c>
    </row>
    <row r="1360" spans="1:8" ht="16" x14ac:dyDescent="0.2">
      <c r="A1360" s="41" t="s">
        <v>6630</v>
      </c>
      <c r="B1360" s="41" t="s">
        <v>6631</v>
      </c>
      <c r="C1360" s="41" t="s">
        <v>3510</v>
      </c>
      <c r="D1360" s="42">
        <v>45638</v>
      </c>
      <c r="E1360" s="41">
        <v>1</v>
      </c>
      <c r="F1360" s="41">
        <v>1</v>
      </c>
      <c r="G1360" s="41" t="s">
        <v>6632</v>
      </c>
      <c r="H1360" s="41">
        <v>1</v>
      </c>
    </row>
    <row r="1361" spans="1:8" ht="16" x14ac:dyDescent="0.2">
      <c r="A1361" s="41" t="s">
        <v>964</v>
      </c>
      <c r="B1361" s="41" t="s">
        <v>6633</v>
      </c>
      <c r="C1361" s="41" t="s">
        <v>3490</v>
      </c>
      <c r="D1361" s="42">
        <v>37435</v>
      </c>
      <c r="E1361" s="41">
        <v>5</v>
      </c>
      <c r="F1361" s="41">
        <v>1</v>
      </c>
      <c r="G1361" s="41" t="s">
        <v>6634</v>
      </c>
      <c r="H1361" s="41">
        <v>5</v>
      </c>
    </row>
    <row r="1362" spans="1:8" ht="16" x14ac:dyDescent="0.2">
      <c r="A1362" s="41" t="s">
        <v>965</v>
      </c>
      <c r="B1362" s="41" t="s">
        <v>6635</v>
      </c>
      <c r="C1362" s="41" t="s">
        <v>3490</v>
      </c>
      <c r="D1362" s="42">
        <v>40086</v>
      </c>
      <c r="E1362" s="41">
        <v>10</v>
      </c>
      <c r="F1362" s="41">
        <v>1</v>
      </c>
      <c r="G1362" s="41" t="s">
        <v>6636</v>
      </c>
      <c r="H1362" s="41">
        <v>10</v>
      </c>
    </row>
    <row r="1363" spans="1:8" ht="16" x14ac:dyDescent="0.2">
      <c r="A1363" s="41" t="s">
        <v>6637</v>
      </c>
      <c r="B1363" s="41" t="s">
        <v>6638</v>
      </c>
      <c r="C1363" s="41" t="s">
        <v>3490</v>
      </c>
      <c r="D1363" s="42">
        <v>34941</v>
      </c>
      <c r="E1363" s="41">
        <v>10</v>
      </c>
      <c r="F1363" s="41">
        <v>1</v>
      </c>
      <c r="G1363" s="41" t="s">
        <v>6639</v>
      </c>
      <c r="H1363" s="41">
        <v>10</v>
      </c>
    </row>
    <row r="1364" spans="1:8" ht="16" x14ac:dyDescent="0.2">
      <c r="A1364" s="41" t="s">
        <v>6640</v>
      </c>
      <c r="B1364" s="41" t="s">
        <v>6641</v>
      </c>
      <c r="C1364" s="41" t="s">
        <v>3490</v>
      </c>
      <c r="D1364" s="42">
        <v>45513</v>
      </c>
      <c r="E1364" s="41">
        <v>10</v>
      </c>
      <c r="F1364" s="41">
        <v>1</v>
      </c>
      <c r="G1364" s="41" t="s">
        <v>6642</v>
      </c>
      <c r="H1364" s="41">
        <v>10</v>
      </c>
    </row>
    <row r="1365" spans="1:8" ht="16" x14ac:dyDescent="0.2">
      <c r="A1365" s="41" t="s">
        <v>966</v>
      </c>
      <c r="B1365" s="41" t="s">
        <v>6643</v>
      </c>
      <c r="C1365" s="41" t="s">
        <v>3490</v>
      </c>
      <c r="D1365" s="42">
        <v>37335</v>
      </c>
      <c r="E1365" s="41">
        <v>4</v>
      </c>
      <c r="F1365" s="41">
        <v>1</v>
      </c>
      <c r="G1365" s="41" t="s">
        <v>6644</v>
      </c>
      <c r="H1365" s="41">
        <v>4</v>
      </c>
    </row>
    <row r="1366" spans="1:8" ht="16" x14ac:dyDescent="0.2">
      <c r="A1366" s="41" t="s">
        <v>6645</v>
      </c>
      <c r="B1366" s="41" t="s">
        <v>6646</v>
      </c>
      <c r="C1366" s="41" t="s">
        <v>3510</v>
      </c>
      <c r="D1366" s="42">
        <v>37672</v>
      </c>
      <c r="E1366" s="41">
        <v>10</v>
      </c>
      <c r="F1366" s="41">
        <v>1</v>
      </c>
      <c r="G1366" s="41" t="s">
        <v>6647</v>
      </c>
      <c r="H1366" s="41">
        <v>10</v>
      </c>
    </row>
    <row r="1367" spans="1:8" ht="16" x14ac:dyDescent="0.2">
      <c r="A1367" s="41" t="s">
        <v>967</v>
      </c>
      <c r="B1367" s="41" t="s">
        <v>6648</v>
      </c>
      <c r="C1367" s="41" t="s">
        <v>3490</v>
      </c>
      <c r="D1367" s="42">
        <v>39303</v>
      </c>
      <c r="E1367" s="41">
        <v>10</v>
      </c>
      <c r="F1367" s="41">
        <v>1</v>
      </c>
      <c r="G1367" s="41" t="s">
        <v>6649</v>
      </c>
      <c r="H1367" s="41">
        <v>10</v>
      </c>
    </row>
    <row r="1368" spans="1:8" ht="16" x14ac:dyDescent="0.2">
      <c r="A1368" s="41" t="s">
        <v>968</v>
      </c>
      <c r="B1368" s="41" t="s">
        <v>6650</v>
      </c>
      <c r="C1368" s="41" t="s">
        <v>3490</v>
      </c>
      <c r="D1368" s="42">
        <v>40711</v>
      </c>
      <c r="E1368" s="41">
        <v>1</v>
      </c>
      <c r="F1368" s="41">
        <v>1</v>
      </c>
      <c r="G1368" s="41" t="s">
        <v>6651</v>
      </c>
      <c r="H1368" s="41">
        <v>1</v>
      </c>
    </row>
    <row r="1369" spans="1:8" ht="16" x14ac:dyDescent="0.2">
      <c r="A1369" s="41" t="s">
        <v>6652</v>
      </c>
      <c r="B1369" s="41" t="s">
        <v>6653</v>
      </c>
      <c r="C1369" s="41" t="s">
        <v>3797</v>
      </c>
      <c r="D1369" s="42">
        <v>40584</v>
      </c>
      <c r="E1369" s="41">
        <v>10</v>
      </c>
      <c r="F1369" s="41">
        <v>1</v>
      </c>
      <c r="G1369" s="41" t="s">
        <v>6654</v>
      </c>
      <c r="H1369" s="41">
        <v>10</v>
      </c>
    </row>
    <row r="1370" spans="1:8" ht="16" x14ac:dyDescent="0.2">
      <c r="A1370" s="41" t="s">
        <v>6655</v>
      </c>
      <c r="B1370" s="41" t="s">
        <v>6656</v>
      </c>
      <c r="C1370" s="41" t="s">
        <v>3510</v>
      </c>
      <c r="D1370" s="42">
        <v>40833</v>
      </c>
      <c r="E1370" s="41">
        <v>10</v>
      </c>
      <c r="F1370" s="41">
        <v>1</v>
      </c>
      <c r="G1370" s="41" t="s">
        <v>6657</v>
      </c>
      <c r="H1370" s="41">
        <v>10</v>
      </c>
    </row>
    <row r="1371" spans="1:8" ht="16" x14ac:dyDescent="0.2">
      <c r="A1371" s="41" t="s">
        <v>969</v>
      </c>
      <c r="B1371" s="41" t="s">
        <v>6658</v>
      </c>
      <c r="C1371" s="41" t="s">
        <v>3510</v>
      </c>
      <c r="D1371" s="42">
        <v>43594</v>
      </c>
      <c r="E1371" s="41">
        <v>2</v>
      </c>
      <c r="F1371" s="41">
        <v>1</v>
      </c>
      <c r="G1371" s="41" t="s">
        <v>6659</v>
      </c>
      <c r="H1371" s="41">
        <v>2</v>
      </c>
    </row>
    <row r="1372" spans="1:8" ht="16" x14ac:dyDescent="0.2">
      <c r="A1372" s="41" t="s">
        <v>6660</v>
      </c>
      <c r="B1372" s="41" t="s">
        <v>6661</v>
      </c>
      <c r="C1372" s="41" t="s">
        <v>3490</v>
      </c>
      <c r="D1372" s="42">
        <v>45681</v>
      </c>
      <c r="E1372" s="41">
        <v>1</v>
      </c>
      <c r="F1372" s="41">
        <v>1</v>
      </c>
      <c r="G1372" s="41" t="s">
        <v>6662</v>
      </c>
      <c r="H1372" s="41">
        <v>1</v>
      </c>
    </row>
    <row r="1373" spans="1:8" ht="16" x14ac:dyDescent="0.2">
      <c r="A1373" s="41" t="s">
        <v>970</v>
      </c>
      <c r="B1373" s="41" t="s">
        <v>6663</v>
      </c>
      <c r="C1373" s="41" t="s">
        <v>3490</v>
      </c>
      <c r="D1373" s="42">
        <v>34899</v>
      </c>
      <c r="E1373" s="41">
        <v>5</v>
      </c>
      <c r="F1373" s="41">
        <v>1</v>
      </c>
      <c r="G1373" s="41" t="s">
        <v>6664</v>
      </c>
      <c r="H1373" s="41">
        <v>5</v>
      </c>
    </row>
    <row r="1374" spans="1:8" ht="16" x14ac:dyDescent="0.2">
      <c r="A1374" s="41" t="s">
        <v>971</v>
      </c>
      <c r="B1374" s="41" t="s">
        <v>6665</v>
      </c>
      <c r="C1374" s="41" t="s">
        <v>3490</v>
      </c>
      <c r="D1374" s="42">
        <v>39497</v>
      </c>
      <c r="E1374" s="41">
        <v>10</v>
      </c>
      <c r="F1374" s="41">
        <v>1</v>
      </c>
      <c r="G1374" s="41" t="s">
        <v>6666</v>
      </c>
      <c r="H1374" s="41">
        <v>10</v>
      </c>
    </row>
    <row r="1375" spans="1:8" ht="16" x14ac:dyDescent="0.2">
      <c r="A1375" s="41" t="s">
        <v>972</v>
      </c>
      <c r="B1375" s="41" t="s">
        <v>6667</v>
      </c>
      <c r="C1375" s="41" t="s">
        <v>3510</v>
      </c>
      <c r="D1375" s="42">
        <v>36957</v>
      </c>
      <c r="E1375" s="41">
        <v>10</v>
      </c>
      <c r="F1375" s="41">
        <v>1</v>
      </c>
      <c r="G1375" s="41" t="s">
        <v>6668</v>
      </c>
      <c r="H1375" s="41">
        <v>10</v>
      </c>
    </row>
    <row r="1376" spans="1:8" ht="16" x14ac:dyDescent="0.2">
      <c r="A1376" s="41" t="s">
        <v>973</v>
      </c>
      <c r="B1376" s="41" t="s">
        <v>6669</v>
      </c>
      <c r="C1376" s="41" t="s">
        <v>3490</v>
      </c>
      <c r="D1376" s="42">
        <v>42955</v>
      </c>
      <c r="E1376" s="41">
        <v>10</v>
      </c>
      <c r="F1376" s="41">
        <v>1</v>
      </c>
      <c r="G1376" s="41" t="s">
        <v>6670</v>
      </c>
      <c r="H1376" s="41">
        <v>10</v>
      </c>
    </row>
    <row r="1377" spans="1:8" ht="16" x14ac:dyDescent="0.2">
      <c r="A1377" s="41" t="s">
        <v>6671</v>
      </c>
      <c r="B1377" s="41" t="s">
        <v>6672</v>
      </c>
      <c r="C1377" s="41" t="s">
        <v>3510</v>
      </c>
      <c r="D1377" s="42">
        <v>41583</v>
      </c>
      <c r="E1377" s="41">
        <v>10</v>
      </c>
      <c r="F1377" s="41">
        <v>1</v>
      </c>
      <c r="G1377" s="41" t="s">
        <v>6673</v>
      </c>
      <c r="H1377" s="41">
        <v>10</v>
      </c>
    </row>
    <row r="1378" spans="1:8" ht="16" x14ac:dyDescent="0.2">
      <c r="A1378" s="41" t="s">
        <v>6674</v>
      </c>
      <c r="B1378" s="41" t="s">
        <v>6675</v>
      </c>
      <c r="C1378" s="41" t="s">
        <v>3490</v>
      </c>
      <c r="D1378" s="42">
        <v>45695</v>
      </c>
      <c r="E1378" s="41">
        <v>2</v>
      </c>
      <c r="F1378" s="41">
        <v>1</v>
      </c>
      <c r="G1378" s="41" t="s">
        <v>6676</v>
      </c>
      <c r="H1378" s="41">
        <v>2</v>
      </c>
    </row>
    <row r="1379" spans="1:8" ht="16" x14ac:dyDescent="0.2">
      <c r="A1379" s="41" t="s">
        <v>974</v>
      </c>
      <c r="B1379" s="41" t="s">
        <v>6677</v>
      </c>
      <c r="C1379" s="41" t="s">
        <v>3490</v>
      </c>
      <c r="D1379" s="42">
        <v>44137</v>
      </c>
      <c r="E1379" s="41">
        <v>10</v>
      </c>
      <c r="F1379" s="41">
        <v>1</v>
      </c>
      <c r="G1379" s="41" t="s">
        <v>6678</v>
      </c>
      <c r="H1379" s="41">
        <v>10</v>
      </c>
    </row>
    <row r="1380" spans="1:8" ht="16" x14ac:dyDescent="0.2">
      <c r="A1380" s="41" t="s">
        <v>976</v>
      </c>
      <c r="B1380" s="41" t="s">
        <v>6679</v>
      </c>
      <c r="C1380" s="41" t="s">
        <v>3490</v>
      </c>
      <c r="D1380" s="42">
        <v>42209</v>
      </c>
      <c r="E1380" s="41">
        <v>2</v>
      </c>
      <c r="F1380" s="41">
        <v>1</v>
      </c>
      <c r="G1380" s="41" t="s">
        <v>6680</v>
      </c>
      <c r="H1380" s="41">
        <v>2</v>
      </c>
    </row>
    <row r="1381" spans="1:8" ht="16" x14ac:dyDescent="0.2">
      <c r="A1381" s="41" t="s">
        <v>6681</v>
      </c>
      <c r="B1381" s="41" t="s">
        <v>6682</v>
      </c>
      <c r="C1381" s="41" t="s">
        <v>3510</v>
      </c>
      <c r="D1381" s="42">
        <v>39148</v>
      </c>
      <c r="E1381" s="41">
        <v>10</v>
      </c>
      <c r="F1381" s="41">
        <v>1</v>
      </c>
      <c r="G1381" s="41" t="s">
        <v>6683</v>
      </c>
      <c r="H1381" s="41">
        <v>10</v>
      </c>
    </row>
    <row r="1382" spans="1:8" ht="16" x14ac:dyDescent="0.2">
      <c r="A1382" s="41" t="s">
        <v>977</v>
      </c>
      <c r="B1382" s="41" t="s">
        <v>6684</v>
      </c>
      <c r="C1382" s="41" t="s">
        <v>3490</v>
      </c>
      <c r="D1382" s="42">
        <v>39127</v>
      </c>
      <c r="E1382" s="41">
        <v>10</v>
      </c>
      <c r="F1382" s="41">
        <v>1</v>
      </c>
      <c r="G1382" s="41" t="s">
        <v>6685</v>
      </c>
      <c r="H1382" s="41">
        <v>10</v>
      </c>
    </row>
    <row r="1383" spans="1:8" ht="16" x14ac:dyDescent="0.2">
      <c r="A1383" s="41" t="s">
        <v>978</v>
      </c>
      <c r="B1383" s="41" t="s">
        <v>6686</v>
      </c>
      <c r="C1383" s="41" t="s">
        <v>3490</v>
      </c>
      <c r="D1383" s="42">
        <v>41467</v>
      </c>
      <c r="E1383" s="41">
        <v>1</v>
      </c>
      <c r="F1383" s="41">
        <v>1</v>
      </c>
      <c r="G1383" s="41" t="s">
        <v>6687</v>
      </c>
      <c r="H1383" s="41">
        <v>1</v>
      </c>
    </row>
    <row r="1384" spans="1:8" ht="16" x14ac:dyDescent="0.2">
      <c r="A1384" s="41" t="s">
        <v>979</v>
      </c>
      <c r="B1384" s="41" t="s">
        <v>6688</v>
      </c>
      <c r="C1384" s="41" t="s">
        <v>3490</v>
      </c>
      <c r="D1384" s="42">
        <v>38701</v>
      </c>
      <c r="E1384" s="41">
        <v>1</v>
      </c>
      <c r="F1384" s="41">
        <v>1</v>
      </c>
      <c r="G1384" s="41" t="s">
        <v>6689</v>
      </c>
      <c r="H1384" s="41">
        <v>1</v>
      </c>
    </row>
    <row r="1385" spans="1:8" ht="16" x14ac:dyDescent="0.2">
      <c r="A1385" s="41" t="s">
        <v>980</v>
      </c>
      <c r="B1385" s="41" t="s">
        <v>6690</v>
      </c>
      <c r="C1385" s="41" t="s">
        <v>3490</v>
      </c>
      <c r="D1385" s="42">
        <v>43234</v>
      </c>
      <c r="E1385" s="41">
        <v>1</v>
      </c>
      <c r="F1385" s="41">
        <v>1</v>
      </c>
      <c r="G1385" s="41" t="s">
        <v>6691</v>
      </c>
      <c r="H1385" s="41">
        <v>1</v>
      </c>
    </row>
    <row r="1386" spans="1:8" ht="16" x14ac:dyDescent="0.2">
      <c r="A1386" s="41" t="s">
        <v>981</v>
      </c>
      <c r="B1386" s="41" t="s">
        <v>6692</v>
      </c>
      <c r="C1386" s="41" t="s">
        <v>3490</v>
      </c>
      <c r="D1386" s="42">
        <v>36034</v>
      </c>
      <c r="E1386" s="41">
        <v>1</v>
      </c>
      <c r="F1386" s="41">
        <v>1</v>
      </c>
      <c r="G1386" s="41" t="s">
        <v>6693</v>
      </c>
      <c r="H1386" s="41">
        <v>1</v>
      </c>
    </row>
    <row r="1387" spans="1:8" ht="16" x14ac:dyDescent="0.2">
      <c r="A1387" s="41" t="s">
        <v>6694</v>
      </c>
      <c r="B1387" s="41" t="s">
        <v>6695</v>
      </c>
      <c r="C1387" s="41" t="s">
        <v>3490</v>
      </c>
      <c r="D1387" s="42">
        <v>40240</v>
      </c>
      <c r="E1387" s="41">
        <v>10</v>
      </c>
      <c r="F1387" s="41">
        <v>1</v>
      </c>
      <c r="G1387" s="41" t="s">
        <v>6696</v>
      </c>
      <c r="H1387" s="41">
        <v>10</v>
      </c>
    </row>
    <row r="1388" spans="1:8" ht="16" x14ac:dyDescent="0.2">
      <c r="A1388" s="41" t="s">
        <v>982</v>
      </c>
      <c r="B1388" s="41" t="s">
        <v>6697</v>
      </c>
      <c r="C1388" s="41" t="s">
        <v>3490</v>
      </c>
      <c r="D1388" s="42">
        <v>34787</v>
      </c>
      <c r="E1388" s="41">
        <v>1</v>
      </c>
      <c r="F1388" s="41">
        <v>1</v>
      </c>
      <c r="G1388" s="41" t="s">
        <v>6698</v>
      </c>
      <c r="H1388" s="41">
        <v>1</v>
      </c>
    </row>
    <row r="1389" spans="1:8" ht="16" x14ac:dyDescent="0.2">
      <c r="A1389" s="41" t="s">
        <v>6699</v>
      </c>
      <c r="B1389" s="41" t="s">
        <v>6700</v>
      </c>
      <c r="C1389" s="41" t="s">
        <v>3490</v>
      </c>
      <c r="D1389" s="42">
        <v>45532</v>
      </c>
      <c r="E1389" s="41">
        <v>10</v>
      </c>
      <c r="F1389" s="41">
        <v>1</v>
      </c>
      <c r="G1389" s="41" t="s">
        <v>6701</v>
      </c>
      <c r="H1389" s="41">
        <v>10</v>
      </c>
    </row>
    <row r="1390" spans="1:8" ht="16" x14ac:dyDescent="0.2">
      <c r="A1390" s="41" t="s">
        <v>983</v>
      </c>
      <c r="B1390" s="41" t="s">
        <v>6702</v>
      </c>
      <c r="C1390" s="41" t="s">
        <v>3490</v>
      </c>
      <c r="D1390" s="42">
        <v>40450</v>
      </c>
      <c r="E1390" s="41">
        <v>1</v>
      </c>
      <c r="F1390" s="41">
        <v>1</v>
      </c>
      <c r="G1390" s="41" t="s">
        <v>6703</v>
      </c>
      <c r="H1390" s="41">
        <v>1</v>
      </c>
    </row>
    <row r="1391" spans="1:8" ht="16" x14ac:dyDescent="0.2">
      <c r="A1391" s="41" t="s">
        <v>6704</v>
      </c>
      <c r="B1391" s="41" t="s">
        <v>6705</v>
      </c>
      <c r="C1391" s="41" t="s">
        <v>3797</v>
      </c>
      <c r="D1391" s="42">
        <v>42082</v>
      </c>
      <c r="E1391" s="41">
        <v>10</v>
      </c>
      <c r="F1391" s="41">
        <v>1</v>
      </c>
      <c r="G1391" s="41" t="s">
        <v>6706</v>
      </c>
      <c r="H1391" s="41">
        <v>10</v>
      </c>
    </row>
    <row r="1392" spans="1:8" ht="16" x14ac:dyDescent="0.2">
      <c r="A1392" s="41" t="s">
        <v>6707</v>
      </c>
      <c r="B1392" s="41" t="s">
        <v>6708</v>
      </c>
      <c r="C1392" s="41" t="s">
        <v>3510</v>
      </c>
      <c r="D1392" s="42">
        <v>44285</v>
      </c>
      <c r="E1392" s="41">
        <v>10</v>
      </c>
      <c r="F1392" s="41">
        <v>1</v>
      </c>
      <c r="G1392" s="41" t="s">
        <v>6709</v>
      </c>
      <c r="H1392" s="41">
        <v>10</v>
      </c>
    </row>
    <row r="1393" spans="1:8" ht="16" x14ac:dyDescent="0.2">
      <c r="A1393" s="41" t="s">
        <v>6710</v>
      </c>
      <c r="B1393" s="41" t="s">
        <v>6711</v>
      </c>
      <c r="C1393" s="41" t="s">
        <v>3510</v>
      </c>
      <c r="D1393" s="42">
        <v>44896</v>
      </c>
      <c r="E1393" s="41">
        <v>1</v>
      </c>
      <c r="F1393" s="41">
        <v>1</v>
      </c>
      <c r="G1393" s="41" t="s">
        <v>6712</v>
      </c>
      <c r="H1393" s="41">
        <v>1</v>
      </c>
    </row>
    <row r="1394" spans="1:8" ht="16" x14ac:dyDescent="0.2">
      <c r="A1394" s="41" t="s">
        <v>984</v>
      </c>
      <c r="B1394" s="41" t="s">
        <v>6713</v>
      </c>
      <c r="C1394" s="41" t="s">
        <v>3490</v>
      </c>
      <c r="D1394" s="42">
        <v>34787</v>
      </c>
      <c r="E1394" s="41">
        <v>10</v>
      </c>
      <c r="F1394" s="41">
        <v>1</v>
      </c>
      <c r="G1394" s="41" t="s">
        <v>6714</v>
      </c>
      <c r="H1394" s="41">
        <v>10</v>
      </c>
    </row>
    <row r="1395" spans="1:8" ht="16" x14ac:dyDescent="0.2">
      <c r="A1395" s="41" t="s">
        <v>985</v>
      </c>
      <c r="B1395" s="41" t="s">
        <v>6715</v>
      </c>
      <c r="C1395" s="41" t="s">
        <v>3490</v>
      </c>
      <c r="D1395" s="42">
        <v>35305</v>
      </c>
      <c r="E1395" s="41">
        <v>10</v>
      </c>
      <c r="F1395" s="41">
        <v>1</v>
      </c>
      <c r="G1395" s="41" t="s">
        <v>6716</v>
      </c>
      <c r="H1395" s="41">
        <v>10</v>
      </c>
    </row>
    <row r="1396" spans="1:8" ht="16" x14ac:dyDescent="0.2">
      <c r="A1396" s="41" t="s">
        <v>6717</v>
      </c>
      <c r="B1396" s="41" t="s">
        <v>6718</v>
      </c>
      <c r="C1396" s="41" t="s">
        <v>3490</v>
      </c>
      <c r="D1396" s="42">
        <v>45828</v>
      </c>
      <c r="E1396" s="41">
        <v>1</v>
      </c>
      <c r="F1396" s="41">
        <v>1</v>
      </c>
      <c r="G1396" s="41" t="s">
        <v>6719</v>
      </c>
      <c r="H1396" s="41">
        <v>1</v>
      </c>
    </row>
    <row r="1397" spans="1:8" ht="16" x14ac:dyDescent="0.2">
      <c r="A1397" s="41" t="s">
        <v>6720</v>
      </c>
      <c r="B1397" s="41" t="s">
        <v>6721</v>
      </c>
      <c r="C1397" s="41" t="s">
        <v>3510</v>
      </c>
      <c r="D1397" s="42">
        <v>44985</v>
      </c>
      <c r="E1397" s="41">
        <v>2</v>
      </c>
      <c r="F1397" s="41">
        <v>1</v>
      </c>
      <c r="G1397" s="41" t="s">
        <v>6722</v>
      </c>
      <c r="H1397" s="41">
        <v>2</v>
      </c>
    </row>
    <row r="1398" spans="1:8" ht="16" x14ac:dyDescent="0.2">
      <c r="A1398" s="41" t="s">
        <v>987</v>
      </c>
      <c r="B1398" s="41" t="s">
        <v>6723</v>
      </c>
      <c r="C1398" s="41" t="s">
        <v>3490</v>
      </c>
      <c r="D1398" s="42">
        <v>39157</v>
      </c>
      <c r="E1398" s="41">
        <v>10</v>
      </c>
      <c r="F1398" s="41">
        <v>1</v>
      </c>
      <c r="G1398" s="41" t="s">
        <v>6724</v>
      </c>
      <c r="H1398" s="41">
        <v>10</v>
      </c>
    </row>
    <row r="1399" spans="1:8" ht="16" x14ac:dyDescent="0.2">
      <c r="A1399" s="41" t="s">
        <v>988</v>
      </c>
      <c r="B1399" s="41" t="s">
        <v>6725</v>
      </c>
      <c r="C1399" s="41" t="s">
        <v>3490</v>
      </c>
      <c r="D1399" s="42">
        <v>40833</v>
      </c>
      <c r="E1399" s="41">
        <v>1</v>
      </c>
      <c r="F1399" s="41">
        <v>1</v>
      </c>
      <c r="G1399" s="41" t="s">
        <v>6726</v>
      </c>
      <c r="H1399" s="41">
        <v>1</v>
      </c>
    </row>
    <row r="1400" spans="1:8" ht="16" x14ac:dyDescent="0.2">
      <c r="A1400" s="41" t="s">
        <v>989</v>
      </c>
      <c r="B1400" s="41" t="s">
        <v>6727</v>
      </c>
      <c r="C1400" s="41" t="s">
        <v>3490</v>
      </c>
      <c r="D1400" s="42">
        <v>45118</v>
      </c>
      <c r="E1400" s="41">
        <v>10</v>
      </c>
      <c r="F1400" s="41">
        <v>1</v>
      </c>
      <c r="G1400" s="41" t="s">
        <v>6728</v>
      </c>
      <c r="H1400" s="41">
        <v>10</v>
      </c>
    </row>
    <row r="1401" spans="1:8" ht="16" x14ac:dyDescent="0.2">
      <c r="A1401" s="41" t="s">
        <v>6729</v>
      </c>
      <c r="B1401" s="41" t="s">
        <v>6730</v>
      </c>
      <c r="C1401" s="41" t="s">
        <v>3490</v>
      </c>
      <c r="D1401" s="42">
        <v>42944</v>
      </c>
      <c r="E1401" s="41">
        <v>10</v>
      </c>
      <c r="F1401" s="41">
        <v>1</v>
      </c>
      <c r="G1401" s="41" t="s">
        <v>6731</v>
      </c>
      <c r="H1401" s="41">
        <v>10</v>
      </c>
    </row>
    <row r="1402" spans="1:8" ht="16" x14ac:dyDescent="0.2">
      <c r="A1402" s="41" t="s">
        <v>6732</v>
      </c>
      <c r="B1402" s="41" t="s">
        <v>6733</v>
      </c>
      <c r="C1402" s="41" t="s">
        <v>3510</v>
      </c>
      <c r="D1402" s="42">
        <v>42499</v>
      </c>
      <c r="E1402" s="41">
        <v>10</v>
      </c>
      <c r="F1402" s="41">
        <v>1</v>
      </c>
      <c r="G1402" s="41" t="s">
        <v>6734</v>
      </c>
      <c r="H1402" s="41">
        <v>10</v>
      </c>
    </row>
    <row r="1403" spans="1:8" ht="16" x14ac:dyDescent="0.2">
      <c r="A1403" s="41" t="s">
        <v>990</v>
      </c>
      <c r="B1403" s="41" t="s">
        <v>6735</v>
      </c>
      <c r="C1403" s="41" t="s">
        <v>3490</v>
      </c>
      <c r="D1403" s="42">
        <v>35172</v>
      </c>
      <c r="E1403" s="41">
        <v>1</v>
      </c>
      <c r="F1403" s="41">
        <v>1</v>
      </c>
      <c r="G1403" s="41" t="s">
        <v>6736</v>
      </c>
      <c r="H1403" s="41">
        <v>1</v>
      </c>
    </row>
    <row r="1404" spans="1:8" ht="16" x14ac:dyDescent="0.2">
      <c r="A1404" s="41" t="s">
        <v>6737</v>
      </c>
      <c r="B1404" s="41" t="s">
        <v>6738</v>
      </c>
      <c r="C1404" s="41" t="s">
        <v>3510</v>
      </c>
      <c r="D1404" s="42">
        <v>43836</v>
      </c>
      <c r="E1404" s="41">
        <v>10</v>
      </c>
      <c r="F1404" s="41">
        <v>1</v>
      </c>
      <c r="G1404" s="41" t="s">
        <v>6739</v>
      </c>
      <c r="H1404" s="41">
        <v>10</v>
      </c>
    </row>
    <row r="1405" spans="1:8" ht="16" x14ac:dyDescent="0.2">
      <c r="A1405" s="41" t="s">
        <v>991</v>
      </c>
      <c r="B1405" s="41" t="s">
        <v>6740</v>
      </c>
      <c r="C1405" s="41" t="s">
        <v>3490</v>
      </c>
      <c r="D1405" s="42">
        <v>40816</v>
      </c>
      <c r="E1405" s="41">
        <v>2</v>
      </c>
      <c r="F1405" s="41">
        <v>1</v>
      </c>
      <c r="G1405" s="41" t="s">
        <v>6741</v>
      </c>
      <c r="H1405" s="41">
        <v>2</v>
      </c>
    </row>
    <row r="1406" spans="1:8" ht="16" x14ac:dyDescent="0.2">
      <c r="A1406" s="41" t="s">
        <v>6742</v>
      </c>
      <c r="B1406" s="41" t="s">
        <v>6743</v>
      </c>
      <c r="C1406" s="41" t="s">
        <v>3490</v>
      </c>
      <c r="D1406" s="42">
        <v>44487</v>
      </c>
      <c r="E1406" s="41">
        <v>10</v>
      </c>
      <c r="F1406" s="41">
        <v>1</v>
      </c>
      <c r="G1406" s="41" t="s">
        <v>6744</v>
      </c>
      <c r="H1406" s="41">
        <v>10</v>
      </c>
    </row>
    <row r="1407" spans="1:8" ht="16" x14ac:dyDescent="0.2">
      <c r="A1407" s="41" t="s">
        <v>6745</v>
      </c>
      <c r="B1407" s="41" t="s">
        <v>6746</v>
      </c>
      <c r="C1407" s="41" t="s">
        <v>3510</v>
      </c>
      <c r="D1407" s="42">
        <v>44455</v>
      </c>
      <c r="E1407" s="41">
        <v>10</v>
      </c>
      <c r="F1407" s="41">
        <v>1</v>
      </c>
      <c r="G1407" s="41" t="s">
        <v>6747</v>
      </c>
      <c r="H1407" s="41">
        <v>10</v>
      </c>
    </row>
    <row r="1408" spans="1:8" ht="16" x14ac:dyDescent="0.2">
      <c r="A1408" s="41" t="s">
        <v>992</v>
      </c>
      <c r="B1408" s="41" t="s">
        <v>6748</v>
      </c>
      <c r="C1408" s="41" t="s">
        <v>3490</v>
      </c>
      <c r="D1408" s="42">
        <v>39085</v>
      </c>
      <c r="E1408" s="41">
        <v>2</v>
      </c>
      <c r="F1408" s="41">
        <v>1</v>
      </c>
      <c r="G1408" s="41" t="s">
        <v>6749</v>
      </c>
      <c r="H1408" s="41">
        <v>2</v>
      </c>
    </row>
    <row r="1409" spans="1:8" ht="16" x14ac:dyDescent="0.2">
      <c r="A1409" s="41" t="s">
        <v>993</v>
      </c>
      <c r="B1409" s="41" t="s">
        <v>6750</v>
      </c>
      <c r="C1409" s="41" t="s">
        <v>3490</v>
      </c>
      <c r="D1409" s="42">
        <v>44708</v>
      </c>
      <c r="E1409" s="41">
        <v>10</v>
      </c>
      <c r="F1409" s="41">
        <v>1</v>
      </c>
      <c r="G1409" s="41" t="s">
        <v>6751</v>
      </c>
      <c r="H1409" s="41">
        <v>10</v>
      </c>
    </row>
    <row r="1410" spans="1:8" ht="16" x14ac:dyDescent="0.2">
      <c r="A1410" s="41" t="s">
        <v>994</v>
      </c>
      <c r="B1410" s="41" t="s">
        <v>6752</v>
      </c>
      <c r="C1410" s="41" t="s">
        <v>3490</v>
      </c>
      <c r="D1410" s="42">
        <v>42509</v>
      </c>
      <c r="E1410" s="41">
        <v>10</v>
      </c>
      <c r="F1410" s="41">
        <v>1</v>
      </c>
      <c r="G1410" s="41" t="s">
        <v>6753</v>
      </c>
      <c r="H1410" s="41">
        <v>10</v>
      </c>
    </row>
    <row r="1411" spans="1:8" ht="16" x14ac:dyDescent="0.2">
      <c r="A1411" s="41" t="s">
        <v>995</v>
      </c>
      <c r="B1411" s="41" t="s">
        <v>6754</v>
      </c>
      <c r="C1411" s="41" t="s">
        <v>3490</v>
      </c>
      <c r="D1411" s="42">
        <v>44470</v>
      </c>
      <c r="E1411" s="41">
        <v>5</v>
      </c>
      <c r="F1411" s="41">
        <v>1</v>
      </c>
      <c r="G1411" s="41" t="s">
        <v>6755</v>
      </c>
      <c r="H1411" s="41">
        <v>5</v>
      </c>
    </row>
    <row r="1412" spans="1:8" ht="16" x14ac:dyDescent="0.2">
      <c r="A1412" s="41" t="s">
        <v>6756</v>
      </c>
      <c r="B1412" s="41" t="s">
        <v>6757</v>
      </c>
      <c r="C1412" s="41" t="s">
        <v>3490</v>
      </c>
      <c r="D1412" s="42">
        <v>35109</v>
      </c>
      <c r="E1412" s="41">
        <v>1</v>
      </c>
      <c r="F1412" s="41">
        <v>1</v>
      </c>
      <c r="G1412" s="41" t="s">
        <v>6758</v>
      </c>
      <c r="H1412" s="41">
        <v>1</v>
      </c>
    </row>
    <row r="1413" spans="1:8" ht="16" x14ac:dyDescent="0.2">
      <c r="A1413" s="41" t="s">
        <v>996</v>
      </c>
      <c r="B1413" s="41" t="s">
        <v>6759</v>
      </c>
      <c r="C1413" s="41" t="s">
        <v>3490</v>
      </c>
      <c r="D1413" s="42">
        <v>45334</v>
      </c>
      <c r="E1413" s="41">
        <v>1</v>
      </c>
      <c r="F1413" s="41">
        <v>1</v>
      </c>
      <c r="G1413" s="41" t="s">
        <v>6760</v>
      </c>
      <c r="H1413" s="41">
        <v>1</v>
      </c>
    </row>
    <row r="1414" spans="1:8" ht="16" x14ac:dyDescent="0.2">
      <c r="A1414" s="41" t="s">
        <v>997</v>
      </c>
      <c r="B1414" s="41" t="s">
        <v>6761</v>
      </c>
      <c r="C1414" s="41" t="s">
        <v>3510</v>
      </c>
      <c r="D1414" s="42">
        <v>39051</v>
      </c>
      <c r="E1414" s="41">
        <v>5</v>
      </c>
      <c r="F1414" s="41">
        <v>1</v>
      </c>
      <c r="G1414" s="41" t="s">
        <v>6762</v>
      </c>
      <c r="H1414" s="41">
        <v>5</v>
      </c>
    </row>
    <row r="1415" spans="1:8" ht="16" x14ac:dyDescent="0.2">
      <c r="A1415" s="41" t="s">
        <v>998</v>
      </c>
      <c r="B1415" s="41" t="s">
        <v>6763</v>
      </c>
      <c r="C1415" s="41" t="s">
        <v>3490</v>
      </c>
      <c r="D1415" s="42">
        <v>45855</v>
      </c>
      <c r="E1415" s="41">
        <v>10</v>
      </c>
      <c r="F1415" s="41">
        <v>1</v>
      </c>
      <c r="G1415" s="41" t="s">
        <v>6764</v>
      </c>
      <c r="H1415" s="41">
        <v>10</v>
      </c>
    </row>
    <row r="1416" spans="1:8" ht="16" x14ac:dyDescent="0.2">
      <c r="A1416" s="41" t="s">
        <v>6765</v>
      </c>
      <c r="B1416" s="41" t="s">
        <v>6766</v>
      </c>
      <c r="C1416" s="41" t="s">
        <v>3490</v>
      </c>
      <c r="D1416" s="42">
        <v>44481</v>
      </c>
      <c r="E1416" s="41">
        <v>10</v>
      </c>
      <c r="F1416" s="41">
        <v>1</v>
      </c>
      <c r="G1416" s="41" t="s">
        <v>6767</v>
      </c>
      <c r="H1416" s="41">
        <v>10</v>
      </c>
    </row>
    <row r="1417" spans="1:8" ht="16" x14ac:dyDescent="0.2">
      <c r="A1417" s="41" t="s">
        <v>999</v>
      </c>
      <c r="B1417" s="41" t="s">
        <v>6768</v>
      </c>
      <c r="C1417" s="41" t="s">
        <v>3490</v>
      </c>
      <c r="D1417" s="42">
        <v>43854</v>
      </c>
      <c r="E1417" s="41">
        <v>2</v>
      </c>
      <c r="F1417" s="41">
        <v>1</v>
      </c>
      <c r="G1417" s="41" t="s">
        <v>6769</v>
      </c>
      <c r="H1417" s="41">
        <v>2</v>
      </c>
    </row>
    <row r="1418" spans="1:8" ht="16" x14ac:dyDescent="0.2">
      <c r="A1418" s="41" t="s">
        <v>1000</v>
      </c>
      <c r="B1418" s="41" t="s">
        <v>6770</v>
      </c>
      <c r="C1418" s="41" t="s">
        <v>3490</v>
      </c>
      <c r="D1418" s="42">
        <v>38407</v>
      </c>
      <c r="E1418" s="41">
        <v>1</v>
      </c>
      <c r="F1418" s="41">
        <v>1</v>
      </c>
      <c r="G1418" s="41" t="s">
        <v>6771</v>
      </c>
      <c r="H1418" s="41">
        <v>1</v>
      </c>
    </row>
    <row r="1419" spans="1:8" ht="16" x14ac:dyDescent="0.2">
      <c r="A1419" s="41" t="s">
        <v>6772</v>
      </c>
      <c r="B1419" s="41" t="s">
        <v>6773</v>
      </c>
      <c r="C1419" s="41" t="s">
        <v>3510</v>
      </c>
      <c r="D1419" s="42">
        <v>45895</v>
      </c>
      <c r="E1419" s="41">
        <v>10</v>
      </c>
      <c r="F1419" s="41">
        <v>1</v>
      </c>
      <c r="G1419" s="41" t="s">
        <v>6774</v>
      </c>
      <c r="H1419" s="41">
        <v>10</v>
      </c>
    </row>
    <row r="1420" spans="1:8" ht="16" x14ac:dyDescent="0.2">
      <c r="A1420" s="41" t="s">
        <v>6775</v>
      </c>
      <c r="B1420" s="41" t="s">
        <v>6776</v>
      </c>
      <c r="C1420" s="41" t="s">
        <v>3490</v>
      </c>
      <c r="D1420" s="42">
        <v>39458</v>
      </c>
      <c r="E1420" s="41">
        <v>10</v>
      </c>
      <c r="F1420" s="41">
        <v>1</v>
      </c>
      <c r="G1420" s="41" t="s">
        <v>6777</v>
      </c>
      <c r="H1420" s="41">
        <v>10</v>
      </c>
    </row>
    <row r="1421" spans="1:8" ht="16" x14ac:dyDescent="0.2">
      <c r="A1421" s="41" t="s">
        <v>1001</v>
      </c>
      <c r="B1421" s="41" t="s">
        <v>6778</v>
      </c>
      <c r="C1421" s="41" t="s">
        <v>3490</v>
      </c>
      <c r="D1421" s="42">
        <v>45078</v>
      </c>
      <c r="E1421" s="41">
        <v>1</v>
      </c>
      <c r="F1421" s="41">
        <v>1</v>
      </c>
      <c r="G1421" s="41" t="s">
        <v>6779</v>
      </c>
      <c r="H1421" s="41">
        <v>1</v>
      </c>
    </row>
    <row r="1422" spans="1:8" ht="16" x14ac:dyDescent="0.2">
      <c r="A1422" s="41" t="s">
        <v>1002</v>
      </c>
      <c r="B1422" s="41" t="s">
        <v>6780</v>
      </c>
      <c r="C1422" s="41" t="s">
        <v>3490</v>
      </c>
      <c r="D1422" s="42">
        <v>44518</v>
      </c>
      <c r="E1422" s="41">
        <v>1</v>
      </c>
      <c r="F1422" s="41">
        <v>1</v>
      </c>
      <c r="G1422" s="41" t="s">
        <v>6781</v>
      </c>
      <c r="H1422" s="41">
        <v>1</v>
      </c>
    </row>
    <row r="1423" spans="1:8" ht="16" x14ac:dyDescent="0.2">
      <c r="A1423" s="41" t="s">
        <v>1003</v>
      </c>
      <c r="B1423" s="41" t="s">
        <v>6782</v>
      </c>
      <c r="C1423" s="41" t="s">
        <v>3490</v>
      </c>
      <c r="D1423" s="42">
        <v>34787</v>
      </c>
      <c r="E1423" s="41">
        <v>1</v>
      </c>
      <c r="F1423" s="41">
        <v>1</v>
      </c>
      <c r="G1423" s="41" t="s">
        <v>6783</v>
      </c>
      <c r="H1423" s="41">
        <v>1</v>
      </c>
    </row>
    <row r="1424" spans="1:8" ht="16" x14ac:dyDescent="0.2">
      <c r="A1424" s="41" t="s">
        <v>1005</v>
      </c>
      <c r="B1424" s="41" t="s">
        <v>6784</v>
      </c>
      <c r="C1424" s="41" t="s">
        <v>3490</v>
      </c>
      <c r="D1424" s="42">
        <v>41270</v>
      </c>
      <c r="E1424" s="41">
        <v>1</v>
      </c>
      <c r="F1424" s="41">
        <v>1</v>
      </c>
      <c r="G1424" s="41" t="s">
        <v>6785</v>
      </c>
      <c r="H1424" s="41">
        <v>1</v>
      </c>
    </row>
    <row r="1425" spans="1:8" ht="16" x14ac:dyDescent="0.2">
      <c r="A1425" s="41" t="s">
        <v>1006</v>
      </c>
      <c r="B1425" s="41" t="s">
        <v>6786</v>
      </c>
      <c r="C1425" s="41" t="s">
        <v>3490</v>
      </c>
      <c r="D1425" s="42">
        <v>42459</v>
      </c>
      <c r="E1425" s="41">
        <v>1</v>
      </c>
      <c r="F1425" s="41">
        <v>1</v>
      </c>
      <c r="G1425" s="41" t="s">
        <v>6787</v>
      </c>
      <c r="H1425" s="41">
        <v>1</v>
      </c>
    </row>
    <row r="1426" spans="1:8" ht="16" x14ac:dyDescent="0.2">
      <c r="A1426" s="41" t="s">
        <v>1007</v>
      </c>
      <c r="B1426" s="41" t="s">
        <v>6788</v>
      </c>
      <c r="C1426" s="41" t="s">
        <v>3490</v>
      </c>
      <c r="D1426" s="42">
        <v>41933</v>
      </c>
      <c r="E1426" s="41">
        <v>2</v>
      </c>
      <c r="F1426" s="41">
        <v>1</v>
      </c>
      <c r="G1426" s="41" t="s">
        <v>6789</v>
      </c>
      <c r="H1426" s="41">
        <v>2</v>
      </c>
    </row>
    <row r="1427" spans="1:8" ht="16" x14ac:dyDescent="0.2">
      <c r="A1427" s="41" t="s">
        <v>6790</v>
      </c>
      <c r="B1427" s="41" t="s">
        <v>6791</v>
      </c>
      <c r="C1427" s="41" t="s">
        <v>3490</v>
      </c>
      <c r="D1427" s="42">
        <v>34983</v>
      </c>
      <c r="E1427" s="41">
        <v>10</v>
      </c>
      <c r="F1427" s="41">
        <v>1</v>
      </c>
      <c r="G1427" s="41" t="s">
        <v>6792</v>
      </c>
      <c r="H1427" s="41">
        <v>10</v>
      </c>
    </row>
    <row r="1428" spans="1:8" ht="16" x14ac:dyDescent="0.2">
      <c r="A1428" s="41" t="s">
        <v>1008</v>
      </c>
      <c r="B1428" s="41" t="s">
        <v>6793</v>
      </c>
      <c r="C1428" s="41" t="s">
        <v>3490</v>
      </c>
      <c r="D1428" s="42">
        <v>34738</v>
      </c>
      <c r="E1428" s="41">
        <v>2</v>
      </c>
      <c r="F1428" s="41">
        <v>1</v>
      </c>
      <c r="G1428" s="41" t="s">
        <v>6794</v>
      </c>
      <c r="H1428" s="41">
        <v>2</v>
      </c>
    </row>
    <row r="1429" spans="1:8" ht="16" x14ac:dyDescent="0.2">
      <c r="A1429" s="41" t="s">
        <v>1009</v>
      </c>
      <c r="B1429" s="41" t="s">
        <v>6795</v>
      </c>
      <c r="C1429" s="41" t="s">
        <v>3490</v>
      </c>
      <c r="D1429" s="42">
        <v>40507</v>
      </c>
      <c r="E1429" s="41">
        <v>5</v>
      </c>
      <c r="F1429" s="41">
        <v>1</v>
      </c>
      <c r="G1429" s="41" t="s">
        <v>6796</v>
      </c>
      <c r="H1429" s="41">
        <v>5</v>
      </c>
    </row>
    <row r="1430" spans="1:8" ht="16" x14ac:dyDescent="0.2">
      <c r="A1430" s="41" t="s">
        <v>1010</v>
      </c>
      <c r="B1430" s="41" t="s">
        <v>6797</v>
      </c>
      <c r="C1430" s="41" t="s">
        <v>3490</v>
      </c>
      <c r="D1430" s="42">
        <v>34738</v>
      </c>
      <c r="E1430" s="41">
        <v>2</v>
      </c>
      <c r="F1430" s="41">
        <v>1</v>
      </c>
      <c r="G1430" s="41" t="s">
        <v>6798</v>
      </c>
      <c r="H1430" s="41">
        <v>2</v>
      </c>
    </row>
    <row r="1431" spans="1:8" ht="16" x14ac:dyDescent="0.2">
      <c r="A1431" s="41" t="s">
        <v>1011</v>
      </c>
      <c r="B1431" s="41" t="s">
        <v>6799</v>
      </c>
      <c r="C1431" s="41" t="s">
        <v>3490</v>
      </c>
      <c r="D1431" s="42">
        <v>40274</v>
      </c>
      <c r="E1431" s="41">
        <v>5</v>
      </c>
      <c r="F1431" s="41">
        <v>1</v>
      </c>
      <c r="G1431" s="41" t="s">
        <v>6800</v>
      </c>
      <c r="H1431" s="41">
        <v>5</v>
      </c>
    </row>
    <row r="1432" spans="1:8" ht="16" x14ac:dyDescent="0.2">
      <c r="A1432" s="41" t="s">
        <v>1012</v>
      </c>
      <c r="B1432" s="41" t="s">
        <v>6801</v>
      </c>
      <c r="C1432" s="41" t="s">
        <v>3490</v>
      </c>
      <c r="D1432" s="42">
        <v>38072</v>
      </c>
      <c r="E1432" s="41">
        <v>10</v>
      </c>
      <c r="F1432" s="41">
        <v>1</v>
      </c>
      <c r="G1432" s="41" t="s">
        <v>6802</v>
      </c>
      <c r="H1432" s="41">
        <v>10</v>
      </c>
    </row>
    <row r="1433" spans="1:8" ht="16" x14ac:dyDescent="0.2">
      <c r="A1433" s="41" t="s">
        <v>1013</v>
      </c>
      <c r="B1433" s="41" t="s">
        <v>6803</v>
      </c>
      <c r="C1433" s="41" t="s">
        <v>3490</v>
      </c>
      <c r="D1433" s="42">
        <v>39136</v>
      </c>
      <c r="E1433" s="41">
        <v>10</v>
      </c>
      <c r="F1433" s="41">
        <v>1</v>
      </c>
      <c r="G1433" s="41" t="s">
        <v>6804</v>
      </c>
      <c r="H1433" s="41">
        <v>10</v>
      </c>
    </row>
    <row r="1434" spans="1:8" ht="16" x14ac:dyDescent="0.2">
      <c r="A1434" s="41" t="s">
        <v>1014</v>
      </c>
      <c r="B1434" s="41" t="s">
        <v>6805</v>
      </c>
      <c r="C1434" s="41" t="s">
        <v>3490</v>
      </c>
      <c r="D1434" s="42">
        <v>36278</v>
      </c>
      <c r="E1434" s="41">
        <v>10</v>
      </c>
      <c r="F1434" s="41">
        <v>1</v>
      </c>
      <c r="G1434" s="41" t="s">
        <v>6806</v>
      </c>
      <c r="H1434" s="41">
        <v>10</v>
      </c>
    </row>
    <row r="1435" spans="1:8" ht="16" x14ac:dyDescent="0.2">
      <c r="A1435" s="41" t="s">
        <v>1015</v>
      </c>
      <c r="B1435" s="41" t="s">
        <v>6807</v>
      </c>
      <c r="C1435" s="41" t="s">
        <v>3490</v>
      </c>
      <c r="D1435" s="42">
        <v>38888</v>
      </c>
      <c r="E1435" s="41">
        <v>1</v>
      </c>
      <c r="F1435" s="41">
        <v>1</v>
      </c>
      <c r="G1435" s="41" t="s">
        <v>6808</v>
      </c>
      <c r="H1435" s="41">
        <v>1</v>
      </c>
    </row>
    <row r="1436" spans="1:8" ht="16" x14ac:dyDescent="0.2">
      <c r="A1436" s="41" t="s">
        <v>1016</v>
      </c>
      <c r="B1436" s="41" t="s">
        <v>6809</v>
      </c>
      <c r="C1436" s="41" t="s">
        <v>3490</v>
      </c>
      <c r="D1436" s="42">
        <v>40632</v>
      </c>
      <c r="E1436" s="41">
        <v>10</v>
      </c>
      <c r="F1436" s="41">
        <v>1</v>
      </c>
      <c r="G1436" s="41" t="s">
        <v>6810</v>
      </c>
      <c r="H1436" s="41">
        <v>10</v>
      </c>
    </row>
    <row r="1437" spans="1:8" ht="16" x14ac:dyDescent="0.2">
      <c r="A1437" s="41" t="s">
        <v>1017</v>
      </c>
      <c r="B1437" s="41" t="s">
        <v>6811</v>
      </c>
      <c r="C1437" s="41" t="s">
        <v>3490</v>
      </c>
      <c r="D1437" s="42">
        <v>40812</v>
      </c>
      <c r="E1437" s="41">
        <v>1</v>
      </c>
      <c r="F1437" s="41">
        <v>1</v>
      </c>
      <c r="G1437" s="41" t="s">
        <v>6812</v>
      </c>
      <c r="H1437" s="41">
        <v>1</v>
      </c>
    </row>
    <row r="1438" spans="1:8" ht="16" x14ac:dyDescent="0.2">
      <c r="A1438" s="41" t="s">
        <v>1018</v>
      </c>
      <c r="B1438" s="41" t="s">
        <v>6813</v>
      </c>
      <c r="C1438" s="41" t="s">
        <v>3490</v>
      </c>
      <c r="D1438" s="42">
        <v>38175</v>
      </c>
      <c r="E1438" s="41">
        <v>10</v>
      </c>
      <c r="F1438" s="41">
        <v>1</v>
      </c>
      <c r="G1438" s="41" t="s">
        <v>6814</v>
      </c>
      <c r="H1438" s="41">
        <v>10</v>
      </c>
    </row>
    <row r="1439" spans="1:8" ht="16" x14ac:dyDescent="0.2">
      <c r="A1439" s="41" t="s">
        <v>1019</v>
      </c>
      <c r="B1439" s="41" t="s">
        <v>6815</v>
      </c>
      <c r="C1439" s="41" t="s">
        <v>3490</v>
      </c>
      <c r="D1439" s="42">
        <v>35179</v>
      </c>
      <c r="E1439" s="41">
        <v>10</v>
      </c>
      <c r="F1439" s="41">
        <v>1</v>
      </c>
      <c r="G1439" s="41" t="s">
        <v>6816</v>
      </c>
      <c r="H1439" s="41">
        <v>10</v>
      </c>
    </row>
    <row r="1440" spans="1:8" ht="16" x14ac:dyDescent="0.2">
      <c r="A1440" s="41" t="s">
        <v>1020</v>
      </c>
      <c r="B1440" s="41" t="s">
        <v>6817</v>
      </c>
      <c r="C1440" s="41" t="s">
        <v>3490</v>
      </c>
      <c r="D1440" s="42">
        <v>39128</v>
      </c>
      <c r="E1440" s="41">
        <v>5</v>
      </c>
      <c r="F1440" s="41">
        <v>1</v>
      </c>
      <c r="G1440" s="41" t="s">
        <v>6818</v>
      </c>
      <c r="H1440" s="41">
        <v>5</v>
      </c>
    </row>
    <row r="1441" spans="1:8" ht="16" x14ac:dyDescent="0.2">
      <c r="A1441" s="41" t="s">
        <v>1023</v>
      </c>
      <c r="B1441" s="41" t="s">
        <v>6819</v>
      </c>
      <c r="C1441" s="41" t="s">
        <v>3490</v>
      </c>
      <c r="D1441" s="42">
        <v>39195</v>
      </c>
      <c r="E1441" s="41">
        <v>2</v>
      </c>
      <c r="F1441" s="41">
        <v>1</v>
      </c>
      <c r="G1441" s="41" t="s">
        <v>6820</v>
      </c>
      <c r="H1441" s="41">
        <v>2</v>
      </c>
    </row>
    <row r="1442" spans="1:8" ht="16" x14ac:dyDescent="0.2">
      <c r="A1442" s="41" t="s">
        <v>1024</v>
      </c>
      <c r="B1442" s="41" t="s">
        <v>6821</v>
      </c>
      <c r="C1442" s="41" t="s">
        <v>3490</v>
      </c>
      <c r="D1442" s="42">
        <v>45840</v>
      </c>
      <c r="E1442" s="41">
        <v>10</v>
      </c>
      <c r="F1442" s="41">
        <v>1</v>
      </c>
      <c r="G1442" s="41" t="s">
        <v>6822</v>
      </c>
      <c r="H1442" s="41">
        <v>10</v>
      </c>
    </row>
    <row r="1443" spans="1:8" ht="16" x14ac:dyDescent="0.2">
      <c r="A1443" s="41" t="s">
        <v>1025</v>
      </c>
      <c r="B1443" s="41" t="s">
        <v>6823</v>
      </c>
      <c r="C1443" s="41" t="s">
        <v>3490</v>
      </c>
      <c r="D1443" s="42">
        <v>34787</v>
      </c>
      <c r="E1443" s="41">
        <v>1</v>
      </c>
      <c r="F1443" s="41">
        <v>1</v>
      </c>
      <c r="G1443" s="41" t="s">
        <v>6824</v>
      </c>
      <c r="H1443" s="41">
        <v>1</v>
      </c>
    </row>
    <row r="1444" spans="1:8" ht="16" x14ac:dyDescent="0.2">
      <c r="A1444" s="41" t="s">
        <v>6825</v>
      </c>
      <c r="B1444" s="41" t="s">
        <v>6826</v>
      </c>
      <c r="C1444" s="41" t="s">
        <v>3510</v>
      </c>
      <c r="D1444" s="42">
        <v>45063</v>
      </c>
      <c r="E1444" s="41">
        <v>10</v>
      </c>
      <c r="F1444" s="41">
        <v>1</v>
      </c>
      <c r="G1444" s="41" t="s">
        <v>6827</v>
      </c>
      <c r="H1444" s="41">
        <v>10</v>
      </c>
    </row>
    <row r="1445" spans="1:8" ht="16" x14ac:dyDescent="0.2">
      <c r="A1445" s="41" t="s">
        <v>1026</v>
      </c>
      <c r="B1445" s="41" t="s">
        <v>6828</v>
      </c>
      <c r="C1445" s="41" t="s">
        <v>3490</v>
      </c>
      <c r="D1445" s="42">
        <v>40709</v>
      </c>
      <c r="E1445" s="41">
        <v>1</v>
      </c>
      <c r="F1445" s="41">
        <v>1</v>
      </c>
      <c r="G1445" s="41" t="s">
        <v>6829</v>
      </c>
      <c r="H1445" s="41">
        <v>1</v>
      </c>
    </row>
    <row r="1446" spans="1:8" ht="16" x14ac:dyDescent="0.2">
      <c r="A1446" s="41" t="s">
        <v>1027</v>
      </c>
      <c r="B1446" s="41" t="s">
        <v>6830</v>
      </c>
      <c r="C1446" s="41" t="s">
        <v>3490</v>
      </c>
      <c r="D1446" s="42">
        <v>42346</v>
      </c>
      <c r="E1446" s="41">
        <v>10</v>
      </c>
      <c r="F1446" s="41">
        <v>1</v>
      </c>
      <c r="G1446" s="41" t="s">
        <v>6831</v>
      </c>
      <c r="H1446" s="41">
        <v>10</v>
      </c>
    </row>
    <row r="1447" spans="1:8" ht="16" x14ac:dyDescent="0.2">
      <c r="A1447" s="41" t="s">
        <v>6832</v>
      </c>
      <c r="B1447" s="41" t="s">
        <v>6833</v>
      </c>
      <c r="C1447" s="41" t="s">
        <v>3510</v>
      </c>
      <c r="D1447" s="42">
        <v>41554</v>
      </c>
      <c r="E1447" s="41">
        <v>1</v>
      </c>
      <c r="F1447" s="41">
        <v>1</v>
      </c>
      <c r="G1447" s="41" t="s">
        <v>6834</v>
      </c>
      <c r="H1447" s="41">
        <v>1</v>
      </c>
    </row>
    <row r="1448" spans="1:8" ht="16" x14ac:dyDescent="0.2">
      <c r="A1448" s="41" t="s">
        <v>6835</v>
      </c>
      <c r="B1448" s="41" t="s">
        <v>6836</v>
      </c>
      <c r="C1448" s="41" t="s">
        <v>3490</v>
      </c>
      <c r="D1448" s="42">
        <v>38853</v>
      </c>
      <c r="E1448" s="41">
        <v>10</v>
      </c>
      <c r="F1448" s="41">
        <v>1</v>
      </c>
      <c r="G1448" s="41" t="s">
        <v>6837</v>
      </c>
      <c r="H1448" s="41">
        <v>10</v>
      </c>
    </row>
    <row r="1449" spans="1:8" ht="16" x14ac:dyDescent="0.2">
      <c r="A1449" s="41" t="s">
        <v>1028</v>
      </c>
      <c r="B1449" s="41" t="s">
        <v>6838</v>
      </c>
      <c r="C1449" s="41" t="s">
        <v>3490</v>
      </c>
      <c r="D1449" s="42">
        <v>39115</v>
      </c>
      <c r="E1449" s="41">
        <v>5</v>
      </c>
      <c r="F1449" s="41">
        <v>1</v>
      </c>
      <c r="G1449" s="41" t="s">
        <v>6839</v>
      </c>
      <c r="H1449" s="41">
        <v>5</v>
      </c>
    </row>
    <row r="1450" spans="1:8" ht="16" x14ac:dyDescent="0.2">
      <c r="A1450" s="41" t="s">
        <v>1029</v>
      </c>
      <c r="B1450" s="41" t="s">
        <v>6840</v>
      </c>
      <c r="C1450" s="41" t="s">
        <v>3490</v>
      </c>
      <c r="D1450" s="42">
        <v>44679</v>
      </c>
      <c r="E1450" s="41">
        <v>10</v>
      </c>
      <c r="F1450" s="41">
        <v>1</v>
      </c>
      <c r="G1450" s="41" t="s">
        <v>6841</v>
      </c>
      <c r="H1450" s="41">
        <v>10</v>
      </c>
    </row>
    <row r="1451" spans="1:8" ht="16" x14ac:dyDescent="0.2">
      <c r="A1451" s="41" t="s">
        <v>6842</v>
      </c>
      <c r="B1451" s="41" t="s">
        <v>6843</v>
      </c>
      <c r="C1451" s="41" t="s">
        <v>3510</v>
      </c>
      <c r="D1451" s="42">
        <v>42235</v>
      </c>
      <c r="E1451" s="41">
        <v>10</v>
      </c>
      <c r="F1451" s="41">
        <v>1</v>
      </c>
      <c r="G1451" s="41" t="s">
        <v>6844</v>
      </c>
      <c r="H1451" s="41">
        <v>10</v>
      </c>
    </row>
    <row r="1452" spans="1:8" ht="16" x14ac:dyDescent="0.2">
      <c r="A1452" s="41" t="s">
        <v>1030</v>
      </c>
      <c r="B1452" s="41" t="s">
        <v>6845</v>
      </c>
      <c r="C1452" s="41" t="s">
        <v>3490</v>
      </c>
      <c r="D1452" s="42">
        <v>39079</v>
      </c>
      <c r="E1452" s="41">
        <v>5</v>
      </c>
      <c r="F1452" s="41">
        <v>1</v>
      </c>
      <c r="G1452" s="41" t="s">
        <v>6846</v>
      </c>
      <c r="H1452" s="41">
        <v>5</v>
      </c>
    </row>
    <row r="1453" spans="1:8" ht="16" x14ac:dyDescent="0.2">
      <c r="A1453" s="41" t="s">
        <v>1031</v>
      </c>
      <c r="B1453" s="41" t="s">
        <v>6847</v>
      </c>
      <c r="C1453" s="41" t="s">
        <v>3490</v>
      </c>
      <c r="D1453" s="42">
        <v>45356</v>
      </c>
      <c r="E1453" s="41">
        <v>10</v>
      </c>
      <c r="F1453" s="41">
        <v>1</v>
      </c>
      <c r="G1453" s="41" t="s">
        <v>6848</v>
      </c>
      <c r="H1453" s="41">
        <v>10</v>
      </c>
    </row>
    <row r="1454" spans="1:8" ht="16" x14ac:dyDescent="0.2">
      <c r="A1454" s="41" t="s">
        <v>6849</v>
      </c>
      <c r="B1454" s="41" t="s">
        <v>6850</v>
      </c>
      <c r="C1454" s="41" t="s">
        <v>3490</v>
      </c>
      <c r="D1454" s="42">
        <v>45211</v>
      </c>
      <c r="E1454" s="41">
        <v>10</v>
      </c>
      <c r="F1454" s="41">
        <v>1</v>
      </c>
      <c r="G1454" s="41" t="s">
        <v>6851</v>
      </c>
      <c r="H1454" s="41">
        <v>10</v>
      </c>
    </row>
    <row r="1455" spans="1:8" ht="16" x14ac:dyDescent="0.2">
      <c r="A1455" s="41" t="s">
        <v>1032</v>
      </c>
      <c r="B1455" s="41" t="s">
        <v>6852</v>
      </c>
      <c r="C1455" s="41" t="s">
        <v>3490</v>
      </c>
      <c r="D1455" s="42">
        <v>37370</v>
      </c>
      <c r="E1455" s="41">
        <v>2</v>
      </c>
      <c r="F1455" s="41">
        <v>1</v>
      </c>
      <c r="G1455" s="41" t="s">
        <v>6853</v>
      </c>
      <c r="H1455" s="41">
        <v>2</v>
      </c>
    </row>
    <row r="1456" spans="1:8" ht="16" x14ac:dyDescent="0.2">
      <c r="A1456" s="41" t="s">
        <v>1033</v>
      </c>
      <c r="B1456" s="41" t="s">
        <v>6854</v>
      </c>
      <c r="C1456" s="41" t="s">
        <v>3490</v>
      </c>
      <c r="D1456" s="42">
        <v>36787</v>
      </c>
      <c r="E1456" s="41">
        <v>10</v>
      </c>
      <c r="F1456" s="41">
        <v>1</v>
      </c>
      <c r="G1456" s="41" t="s">
        <v>6855</v>
      </c>
      <c r="H1456" s="41">
        <v>10</v>
      </c>
    </row>
    <row r="1457" spans="1:8" ht="16" x14ac:dyDescent="0.2">
      <c r="A1457" s="41" t="s">
        <v>1034</v>
      </c>
      <c r="B1457" s="41" t="s">
        <v>6856</v>
      </c>
      <c r="C1457" s="41" t="s">
        <v>3490</v>
      </c>
      <c r="D1457" s="42">
        <v>42681</v>
      </c>
      <c r="E1457" s="41">
        <v>10</v>
      </c>
      <c r="F1457" s="41">
        <v>1</v>
      </c>
      <c r="G1457" s="41" t="s">
        <v>6857</v>
      </c>
      <c r="H1457" s="41">
        <v>10</v>
      </c>
    </row>
    <row r="1458" spans="1:8" ht="16" x14ac:dyDescent="0.2">
      <c r="A1458" s="41" t="s">
        <v>6858</v>
      </c>
      <c r="B1458" s="41" t="s">
        <v>6859</v>
      </c>
      <c r="C1458" s="41" t="s">
        <v>3490</v>
      </c>
      <c r="D1458" s="42">
        <v>36871</v>
      </c>
      <c r="E1458" s="41">
        <v>10</v>
      </c>
      <c r="F1458" s="41">
        <v>1</v>
      </c>
      <c r="G1458" s="41" t="s">
        <v>6860</v>
      </c>
      <c r="H1458" s="41">
        <v>10</v>
      </c>
    </row>
    <row r="1459" spans="1:8" ht="16" x14ac:dyDescent="0.2">
      <c r="A1459" s="41" t="s">
        <v>1035</v>
      </c>
      <c r="B1459" s="41" t="s">
        <v>6861</v>
      </c>
      <c r="C1459" s="41" t="s">
        <v>3490</v>
      </c>
      <c r="D1459" s="42">
        <v>42150</v>
      </c>
      <c r="E1459" s="41">
        <v>2</v>
      </c>
      <c r="F1459" s="41">
        <v>1</v>
      </c>
      <c r="G1459" s="41" t="s">
        <v>6862</v>
      </c>
      <c r="H1459" s="41">
        <v>2</v>
      </c>
    </row>
    <row r="1460" spans="1:8" ht="16" x14ac:dyDescent="0.2">
      <c r="A1460" s="41" t="s">
        <v>6863</v>
      </c>
      <c r="B1460" s="41" t="s">
        <v>6864</v>
      </c>
      <c r="C1460" s="41" t="s">
        <v>3490</v>
      </c>
      <c r="D1460" s="42">
        <v>45552</v>
      </c>
      <c r="E1460" s="41">
        <v>10</v>
      </c>
      <c r="F1460" s="41">
        <v>1</v>
      </c>
      <c r="G1460" s="41" t="s">
        <v>6865</v>
      </c>
      <c r="H1460" s="41">
        <v>10</v>
      </c>
    </row>
    <row r="1461" spans="1:8" ht="16" x14ac:dyDescent="0.2">
      <c r="A1461" s="41" t="s">
        <v>1036</v>
      </c>
      <c r="B1461" s="41" t="s">
        <v>6866</v>
      </c>
      <c r="C1461" s="41" t="s">
        <v>3490</v>
      </c>
      <c r="D1461" s="42">
        <v>44991</v>
      </c>
      <c r="E1461" s="41">
        <v>5</v>
      </c>
      <c r="F1461" s="41">
        <v>1</v>
      </c>
      <c r="G1461" s="41" t="s">
        <v>6867</v>
      </c>
      <c r="H1461" s="41">
        <v>5</v>
      </c>
    </row>
    <row r="1462" spans="1:8" ht="16" x14ac:dyDescent="0.2">
      <c r="A1462" s="41" t="s">
        <v>6868</v>
      </c>
      <c r="B1462" s="41" t="s">
        <v>6869</v>
      </c>
      <c r="C1462" s="41" t="s">
        <v>3490</v>
      </c>
      <c r="D1462" s="42">
        <v>42696</v>
      </c>
      <c r="E1462" s="41">
        <v>10</v>
      </c>
      <c r="F1462" s="41">
        <v>1</v>
      </c>
      <c r="G1462" s="41" t="s">
        <v>6870</v>
      </c>
      <c r="H1462" s="41">
        <v>10</v>
      </c>
    </row>
    <row r="1463" spans="1:8" ht="16" x14ac:dyDescent="0.2">
      <c r="A1463" s="41" t="s">
        <v>1037</v>
      </c>
      <c r="B1463" s="41" t="s">
        <v>6871</v>
      </c>
      <c r="C1463" s="41" t="s">
        <v>3490</v>
      </c>
      <c r="D1463" s="42">
        <v>42558</v>
      </c>
      <c r="E1463" s="41">
        <v>2</v>
      </c>
      <c r="F1463" s="41">
        <v>1</v>
      </c>
      <c r="G1463" s="41" t="s">
        <v>6872</v>
      </c>
      <c r="H1463" s="41">
        <v>2</v>
      </c>
    </row>
    <row r="1464" spans="1:8" ht="16" x14ac:dyDescent="0.2">
      <c r="A1464" s="41" t="s">
        <v>1038</v>
      </c>
      <c r="B1464" s="41" t="s">
        <v>6873</v>
      </c>
      <c r="C1464" s="41" t="s">
        <v>3490</v>
      </c>
      <c r="D1464" s="42">
        <v>44515</v>
      </c>
      <c r="E1464" s="41">
        <v>2</v>
      </c>
      <c r="F1464" s="41">
        <v>1</v>
      </c>
      <c r="G1464" s="41" t="s">
        <v>6874</v>
      </c>
      <c r="H1464" s="41">
        <v>2</v>
      </c>
    </row>
    <row r="1465" spans="1:8" ht="16" x14ac:dyDescent="0.2">
      <c r="A1465" s="41" t="s">
        <v>1039</v>
      </c>
      <c r="B1465" s="41" t="s">
        <v>6875</v>
      </c>
      <c r="C1465" s="41" t="s">
        <v>3490</v>
      </c>
      <c r="D1465" s="42">
        <v>43571</v>
      </c>
      <c r="E1465" s="41">
        <v>10</v>
      </c>
      <c r="F1465" s="41">
        <v>1</v>
      </c>
      <c r="G1465" s="41" t="s">
        <v>6876</v>
      </c>
      <c r="H1465" s="41">
        <v>10</v>
      </c>
    </row>
    <row r="1466" spans="1:8" ht="16" x14ac:dyDescent="0.2">
      <c r="A1466" s="41" t="s">
        <v>1040</v>
      </c>
      <c r="B1466" s="41" t="s">
        <v>6877</v>
      </c>
      <c r="C1466" s="41" t="s">
        <v>3490</v>
      </c>
      <c r="D1466" s="42">
        <v>40884</v>
      </c>
      <c r="E1466" s="41">
        <v>5</v>
      </c>
      <c r="F1466" s="41">
        <v>1</v>
      </c>
      <c r="G1466" s="41" t="s">
        <v>6878</v>
      </c>
      <c r="H1466" s="41">
        <v>5</v>
      </c>
    </row>
    <row r="1467" spans="1:8" ht="16" x14ac:dyDescent="0.2">
      <c r="A1467" s="41" t="s">
        <v>1041</v>
      </c>
      <c r="B1467" s="41" t="s">
        <v>6879</v>
      </c>
      <c r="C1467" s="41" t="s">
        <v>3490</v>
      </c>
      <c r="D1467" s="42">
        <v>37722</v>
      </c>
      <c r="E1467" s="41">
        <v>10</v>
      </c>
      <c r="F1467" s="41">
        <v>1</v>
      </c>
      <c r="G1467" s="41" t="s">
        <v>6880</v>
      </c>
      <c r="H1467" s="41">
        <v>10</v>
      </c>
    </row>
    <row r="1468" spans="1:8" ht="16" x14ac:dyDescent="0.2">
      <c r="A1468" s="41" t="s">
        <v>6881</v>
      </c>
      <c r="B1468" s="41" t="s">
        <v>6882</v>
      </c>
      <c r="C1468" s="41" t="s">
        <v>3490</v>
      </c>
      <c r="D1468" s="42">
        <v>37362</v>
      </c>
      <c r="E1468" s="41">
        <v>10</v>
      </c>
      <c r="F1468" s="41">
        <v>1</v>
      </c>
      <c r="G1468" s="41" t="s">
        <v>6883</v>
      </c>
      <c r="H1468" s="41">
        <v>10</v>
      </c>
    </row>
    <row r="1469" spans="1:8" ht="16" x14ac:dyDescent="0.2">
      <c r="A1469" s="41" t="s">
        <v>1042</v>
      </c>
      <c r="B1469" s="41" t="s">
        <v>6884</v>
      </c>
      <c r="C1469" s="41" t="s">
        <v>3490</v>
      </c>
      <c r="D1469" s="42">
        <v>38104</v>
      </c>
      <c r="E1469" s="41">
        <v>2</v>
      </c>
      <c r="F1469" s="41">
        <v>1</v>
      </c>
      <c r="G1469" s="41" t="s">
        <v>6885</v>
      </c>
      <c r="H1469" s="41">
        <v>2</v>
      </c>
    </row>
    <row r="1470" spans="1:8" ht="16" x14ac:dyDescent="0.2">
      <c r="A1470" s="41" t="s">
        <v>1043</v>
      </c>
      <c r="B1470" s="41" t="s">
        <v>6886</v>
      </c>
      <c r="C1470" s="41" t="s">
        <v>3490</v>
      </c>
      <c r="D1470" s="42">
        <v>39360</v>
      </c>
      <c r="E1470" s="41">
        <v>10</v>
      </c>
      <c r="F1470" s="41">
        <v>1</v>
      </c>
      <c r="G1470" s="41" t="s">
        <v>6887</v>
      </c>
      <c r="H1470" s="41">
        <v>10</v>
      </c>
    </row>
    <row r="1471" spans="1:8" ht="16" x14ac:dyDescent="0.2">
      <c r="A1471" s="41" t="s">
        <v>1044</v>
      </c>
      <c r="B1471" s="41" t="s">
        <v>6888</v>
      </c>
      <c r="C1471" s="41" t="s">
        <v>3490</v>
      </c>
      <c r="D1471" s="42">
        <v>43920</v>
      </c>
      <c r="E1471" s="41">
        <v>2</v>
      </c>
      <c r="F1471" s="41">
        <v>1</v>
      </c>
      <c r="G1471" s="41" t="s">
        <v>6889</v>
      </c>
      <c r="H1471" s="41">
        <v>2</v>
      </c>
    </row>
    <row r="1472" spans="1:8" ht="16" x14ac:dyDescent="0.2">
      <c r="A1472" s="41" t="s">
        <v>1045</v>
      </c>
      <c r="B1472" s="41" t="s">
        <v>6890</v>
      </c>
      <c r="C1472" s="41" t="s">
        <v>3490</v>
      </c>
      <c r="D1472" s="42">
        <v>42242</v>
      </c>
      <c r="E1472" s="41">
        <v>10</v>
      </c>
      <c r="F1472" s="41">
        <v>1</v>
      </c>
      <c r="G1472" s="41" t="s">
        <v>6891</v>
      </c>
      <c r="H1472" s="41">
        <v>10</v>
      </c>
    </row>
    <row r="1473" spans="1:8" ht="16" x14ac:dyDescent="0.2">
      <c r="A1473" s="41" t="s">
        <v>6892</v>
      </c>
      <c r="B1473" s="41" t="s">
        <v>6893</v>
      </c>
      <c r="C1473" s="41" t="s">
        <v>3510</v>
      </c>
      <c r="D1473" s="42">
        <v>39458</v>
      </c>
      <c r="E1473" s="41">
        <v>10</v>
      </c>
      <c r="F1473" s="41">
        <v>1</v>
      </c>
      <c r="G1473" s="41" t="s">
        <v>6894</v>
      </c>
      <c r="H1473" s="41">
        <v>10</v>
      </c>
    </row>
    <row r="1474" spans="1:8" ht="16" x14ac:dyDescent="0.2">
      <c r="A1474" s="41" t="s">
        <v>1046</v>
      </c>
      <c r="B1474" s="41" t="s">
        <v>6895</v>
      </c>
      <c r="C1474" s="41" t="s">
        <v>3490</v>
      </c>
      <c r="D1474" s="42">
        <v>43630</v>
      </c>
      <c r="E1474" s="41">
        <v>10</v>
      </c>
      <c r="F1474" s="41">
        <v>1</v>
      </c>
      <c r="G1474" s="41" t="s">
        <v>6896</v>
      </c>
      <c r="H1474" s="41">
        <v>10</v>
      </c>
    </row>
    <row r="1475" spans="1:8" ht="16" x14ac:dyDescent="0.2">
      <c r="A1475" s="41" t="s">
        <v>1047</v>
      </c>
      <c r="B1475" s="41" t="s">
        <v>6897</v>
      </c>
      <c r="C1475" s="41" t="s">
        <v>3490</v>
      </c>
      <c r="D1475" s="42">
        <v>44853</v>
      </c>
      <c r="E1475" s="41">
        <v>10</v>
      </c>
      <c r="F1475" s="41">
        <v>1</v>
      </c>
      <c r="G1475" s="41" t="s">
        <v>6898</v>
      </c>
      <c r="H1475" s="41">
        <v>10</v>
      </c>
    </row>
    <row r="1476" spans="1:8" ht="16" x14ac:dyDescent="0.2">
      <c r="A1476" s="41" t="s">
        <v>6899</v>
      </c>
      <c r="B1476" s="41" t="s">
        <v>6900</v>
      </c>
      <c r="C1476" s="41" t="s">
        <v>3490</v>
      </c>
      <c r="D1476" s="42">
        <v>45735</v>
      </c>
      <c r="E1476" s="41">
        <v>1</v>
      </c>
      <c r="F1476" s="41">
        <v>1</v>
      </c>
      <c r="G1476" s="41" t="s">
        <v>6901</v>
      </c>
      <c r="H1476" s="41">
        <v>1</v>
      </c>
    </row>
    <row r="1477" spans="1:8" ht="16" x14ac:dyDescent="0.2">
      <c r="A1477" s="41" t="s">
        <v>6902</v>
      </c>
      <c r="B1477" s="41" t="s">
        <v>6903</v>
      </c>
      <c r="C1477" s="41" t="s">
        <v>3490</v>
      </c>
      <c r="D1477" s="42">
        <v>39084</v>
      </c>
      <c r="E1477" s="41">
        <v>10</v>
      </c>
      <c r="F1477" s="41">
        <v>1</v>
      </c>
      <c r="G1477" s="41" t="s">
        <v>6904</v>
      </c>
      <c r="H1477" s="41">
        <v>10</v>
      </c>
    </row>
    <row r="1478" spans="1:8" ht="16" x14ac:dyDescent="0.2">
      <c r="A1478" s="41" t="s">
        <v>1048</v>
      </c>
      <c r="B1478" s="41" t="s">
        <v>6905</v>
      </c>
      <c r="C1478" s="41" t="s">
        <v>3490</v>
      </c>
      <c r="D1478" s="42">
        <v>34983</v>
      </c>
      <c r="E1478" s="41">
        <v>2</v>
      </c>
      <c r="F1478" s="41">
        <v>1</v>
      </c>
      <c r="G1478" s="41" t="s">
        <v>6906</v>
      </c>
      <c r="H1478" s="41">
        <v>2</v>
      </c>
    </row>
    <row r="1479" spans="1:8" ht="16" x14ac:dyDescent="0.2">
      <c r="A1479" s="41" t="s">
        <v>1049</v>
      </c>
      <c r="B1479" s="41" t="s">
        <v>6907</v>
      </c>
      <c r="C1479" s="41" t="s">
        <v>3490</v>
      </c>
      <c r="D1479" s="42">
        <v>34829</v>
      </c>
      <c r="E1479" s="41">
        <v>10</v>
      </c>
      <c r="F1479" s="41">
        <v>1</v>
      </c>
      <c r="G1479" s="41" t="s">
        <v>6908</v>
      </c>
      <c r="H1479" s="41">
        <v>10</v>
      </c>
    </row>
    <row r="1480" spans="1:8" ht="16" x14ac:dyDescent="0.2">
      <c r="A1480" s="41" t="s">
        <v>6909</v>
      </c>
      <c r="B1480" s="41" t="s">
        <v>6910</v>
      </c>
      <c r="C1480" s="41" t="s">
        <v>3490</v>
      </c>
      <c r="D1480" s="42">
        <v>40415</v>
      </c>
      <c r="E1480" s="41">
        <v>1</v>
      </c>
      <c r="F1480" s="41">
        <v>1</v>
      </c>
      <c r="G1480" s="41" t="s">
        <v>6911</v>
      </c>
      <c r="H1480" s="41">
        <v>1</v>
      </c>
    </row>
    <row r="1481" spans="1:8" ht="16" x14ac:dyDescent="0.2">
      <c r="A1481" s="41" t="s">
        <v>6912</v>
      </c>
      <c r="B1481" s="41" t="s">
        <v>6913</v>
      </c>
      <c r="C1481" s="41" t="s">
        <v>3510</v>
      </c>
      <c r="D1481" s="42">
        <v>43131</v>
      </c>
      <c r="E1481" s="41">
        <v>5</v>
      </c>
      <c r="F1481" s="41">
        <v>1</v>
      </c>
      <c r="G1481" s="41" t="s">
        <v>6914</v>
      </c>
      <c r="H1481" s="41">
        <v>5</v>
      </c>
    </row>
    <row r="1482" spans="1:8" ht="16" x14ac:dyDescent="0.2">
      <c r="A1482" s="41" t="s">
        <v>1051</v>
      </c>
      <c r="B1482" s="41" t="s">
        <v>6915</v>
      </c>
      <c r="C1482" s="41" t="s">
        <v>3490</v>
      </c>
      <c r="D1482" s="42">
        <v>42408</v>
      </c>
      <c r="E1482" s="41">
        <v>10</v>
      </c>
      <c r="F1482" s="41">
        <v>1</v>
      </c>
      <c r="G1482" s="41" t="s">
        <v>6916</v>
      </c>
      <c r="H1482" s="41">
        <v>10</v>
      </c>
    </row>
    <row r="1483" spans="1:8" ht="16" x14ac:dyDescent="0.2">
      <c r="A1483" s="41" t="s">
        <v>1052</v>
      </c>
      <c r="B1483" s="41" t="s">
        <v>6917</v>
      </c>
      <c r="C1483" s="41" t="s">
        <v>3510</v>
      </c>
      <c r="D1483" s="42">
        <v>38583</v>
      </c>
      <c r="E1483" s="41">
        <v>10</v>
      </c>
      <c r="F1483" s="41">
        <v>1</v>
      </c>
      <c r="G1483" s="41" t="s">
        <v>6918</v>
      </c>
      <c r="H1483" s="41">
        <v>10</v>
      </c>
    </row>
    <row r="1484" spans="1:8" ht="16" x14ac:dyDescent="0.2">
      <c r="A1484" s="41" t="s">
        <v>1053</v>
      </c>
      <c r="B1484" s="41" t="s">
        <v>6919</v>
      </c>
      <c r="C1484" s="41" t="s">
        <v>3490</v>
      </c>
      <c r="D1484" s="42">
        <v>34948</v>
      </c>
      <c r="E1484" s="41">
        <v>1</v>
      </c>
      <c r="F1484" s="41">
        <v>1</v>
      </c>
      <c r="G1484" s="41" t="s">
        <v>6920</v>
      </c>
      <c r="H1484" s="41">
        <v>1</v>
      </c>
    </row>
    <row r="1485" spans="1:8" ht="16" x14ac:dyDescent="0.2">
      <c r="A1485" s="41" t="s">
        <v>1054</v>
      </c>
      <c r="B1485" s="41" t="s">
        <v>6921</v>
      </c>
      <c r="C1485" s="41" t="s">
        <v>3490</v>
      </c>
      <c r="D1485" s="42">
        <v>42538</v>
      </c>
      <c r="E1485" s="41">
        <v>2</v>
      </c>
      <c r="F1485" s="41">
        <v>1</v>
      </c>
      <c r="G1485" s="41" t="s">
        <v>6922</v>
      </c>
      <c r="H1485" s="41">
        <v>2</v>
      </c>
    </row>
    <row r="1486" spans="1:8" ht="16" x14ac:dyDescent="0.2">
      <c r="A1486" s="41" t="s">
        <v>6923</v>
      </c>
      <c r="B1486" s="41" t="s">
        <v>6924</v>
      </c>
      <c r="C1486" s="41" t="s">
        <v>3510</v>
      </c>
      <c r="D1486" s="42">
        <v>35158</v>
      </c>
      <c r="E1486" s="41">
        <v>10</v>
      </c>
      <c r="F1486" s="41">
        <v>1</v>
      </c>
      <c r="G1486" s="41" t="s">
        <v>6925</v>
      </c>
      <c r="H1486" s="41">
        <v>10</v>
      </c>
    </row>
    <row r="1487" spans="1:8" ht="16" x14ac:dyDescent="0.2">
      <c r="A1487" s="41" t="s">
        <v>6926</v>
      </c>
      <c r="B1487" s="41" t="s">
        <v>6927</v>
      </c>
      <c r="C1487" s="41" t="s">
        <v>3490</v>
      </c>
      <c r="D1487" s="42">
        <v>45538</v>
      </c>
      <c r="E1487" s="41">
        <v>1</v>
      </c>
      <c r="F1487" s="41">
        <v>1</v>
      </c>
      <c r="G1487" s="41" t="s">
        <v>6928</v>
      </c>
      <c r="H1487" s="41">
        <v>1</v>
      </c>
    </row>
    <row r="1488" spans="1:8" ht="16" x14ac:dyDescent="0.2">
      <c r="A1488" s="41" t="s">
        <v>6929</v>
      </c>
      <c r="B1488" s="41" t="s">
        <v>6930</v>
      </c>
      <c r="C1488" s="41" t="s">
        <v>3490</v>
      </c>
      <c r="D1488" s="42">
        <v>35046</v>
      </c>
      <c r="E1488" s="41">
        <v>1</v>
      </c>
      <c r="F1488" s="41">
        <v>1</v>
      </c>
      <c r="G1488" s="41" t="s">
        <v>6931</v>
      </c>
      <c r="H1488" s="41">
        <v>1</v>
      </c>
    </row>
    <row r="1489" spans="1:8" ht="16" x14ac:dyDescent="0.2">
      <c r="A1489" s="41" t="s">
        <v>1055</v>
      </c>
      <c r="B1489" s="41" t="s">
        <v>6932</v>
      </c>
      <c r="C1489" s="41" t="s">
        <v>3490</v>
      </c>
      <c r="D1489" s="42">
        <v>40478</v>
      </c>
      <c r="E1489" s="41">
        <v>10</v>
      </c>
      <c r="F1489" s="41">
        <v>1</v>
      </c>
      <c r="G1489" s="41" t="s">
        <v>6933</v>
      </c>
      <c r="H1489" s="41">
        <v>10</v>
      </c>
    </row>
    <row r="1490" spans="1:8" ht="16" x14ac:dyDescent="0.2">
      <c r="A1490" s="41" t="s">
        <v>1056</v>
      </c>
      <c r="B1490" s="41" t="s">
        <v>6934</v>
      </c>
      <c r="C1490" s="41" t="s">
        <v>3490</v>
      </c>
      <c r="D1490" s="42">
        <v>42776</v>
      </c>
      <c r="E1490" s="41">
        <v>1</v>
      </c>
      <c r="F1490" s="41">
        <v>1</v>
      </c>
      <c r="G1490" s="41" t="s">
        <v>6935</v>
      </c>
      <c r="H1490" s="41">
        <v>1</v>
      </c>
    </row>
    <row r="1491" spans="1:8" ht="16" x14ac:dyDescent="0.2">
      <c r="A1491" s="41" t="s">
        <v>1057</v>
      </c>
      <c r="B1491" s="41" t="s">
        <v>6936</v>
      </c>
      <c r="C1491" s="41" t="s">
        <v>3490</v>
      </c>
      <c r="D1491" s="42">
        <v>38520</v>
      </c>
      <c r="E1491" s="41">
        <v>5</v>
      </c>
      <c r="F1491" s="41">
        <v>1</v>
      </c>
      <c r="G1491" s="41" t="s">
        <v>6937</v>
      </c>
      <c r="H1491" s="41">
        <v>5</v>
      </c>
    </row>
    <row r="1492" spans="1:8" ht="16" x14ac:dyDescent="0.2">
      <c r="A1492" s="41" t="s">
        <v>6938</v>
      </c>
      <c r="B1492" s="41" t="s">
        <v>6939</v>
      </c>
      <c r="C1492" s="41" t="s">
        <v>3490</v>
      </c>
      <c r="D1492" s="42">
        <v>45769</v>
      </c>
      <c r="E1492" s="41">
        <v>2</v>
      </c>
      <c r="F1492" s="41">
        <v>1</v>
      </c>
      <c r="G1492" s="41" t="s">
        <v>6940</v>
      </c>
      <c r="H1492" s="41">
        <v>2</v>
      </c>
    </row>
    <row r="1493" spans="1:8" ht="16" x14ac:dyDescent="0.2">
      <c r="A1493" s="41" t="s">
        <v>1058</v>
      </c>
      <c r="B1493" s="41" t="s">
        <v>6941</v>
      </c>
      <c r="C1493" s="41" t="s">
        <v>3490</v>
      </c>
      <c r="D1493" s="42">
        <v>43829</v>
      </c>
      <c r="E1493" s="41">
        <v>10</v>
      </c>
      <c r="F1493" s="41">
        <v>1</v>
      </c>
      <c r="G1493" s="41" t="s">
        <v>6942</v>
      </c>
      <c r="H1493" s="41">
        <v>10</v>
      </c>
    </row>
    <row r="1494" spans="1:8" ht="16" x14ac:dyDescent="0.2">
      <c r="A1494" s="41" t="s">
        <v>6943</v>
      </c>
      <c r="B1494" s="41" t="s">
        <v>6944</v>
      </c>
      <c r="C1494" s="41" t="s">
        <v>3490</v>
      </c>
      <c r="D1494" s="42">
        <v>44622</v>
      </c>
      <c r="E1494" s="41">
        <v>10</v>
      </c>
      <c r="F1494" s="41">
        <v>1</v>
      </c>
      <c r="G1494" s="41" t="s">
        <v>6945</v>
      </c>
      <c r="H1494" s="41">
        <v>10</v>
      </c>
    </row>
    <row r="1495" spans="1:8" ht="16" x14ac:dyDescent="0.2">
      <c r="A1495" s="41" t="s">
        <v>6946</v>
      </c>
      <c r="B1495" s="41" t="s">
        <v>6947</v>
      </c>
      <c r="C1495" s="41" t="s">
        <v>3490</v>
      </c>
      <c r="D1495" s="42">
        <v>44418</v>
      </c>
      <c r="E1495" s="41">
        <v>2</v>
      </c>
      <c r="F1495" s="41">
        <v>1</v>
      </c>
      <c r="G1495" s="41" t="s">
        <v>6948</v>
      </c>
      <c r="H1495" s="41">
        <v>2</v>
      </c>
    </row>
    <row r="1496" spans="1:8" ht="16" x14ac:dyDescent="0.2">
      <c r="A1496" s="41" t="s">
        <v>1059</v>
      </c>
      <c r="B1496" s="41" t="s">
        <v>6949</v>
      </c>
      <c r="C1496" s="41" t="s">
        <v>3490</v>
      </c>
      <c r="D1496" s="42">
        <v>42132</v>
      </c>
      <c r="E1496" s="41">
        <v>10</v>
      </c>
      <c r="F1496" s="41">
        <v>1</v>
      </c>
      <c r="G1496" s="41" t="s">
        <v>6950</v>
      </c>
      <c r="H1496" s="41">
        <v>10</v>
      </c>
    </row>
    <row r="1497" spans="1:8" ht="16" x14ac:dyDescent="0.2">
      <c r="A1497" s="41" t="s">
        <v>6951</v>
      </c>
      <c r="B1497" s="41" t="s">
        <v>6952</v>
      </c>
      <c r="C1497" s="41" t="s">
        <v>3490</v>
      </c>
      <c r="D1497" s="42">
        <v>45811</v>
      </c>
      <c r="E1497" s="41">
        <v>10</v>
      </c>
      <c r="F1497" s="41">
        <v>1</v>
      </c>
      <c r="G1497" s="41" t="s">
        <v>6953</v>
      </c>
      <c r="H1497" s="41">
        <v>10</v>
      </c>
    </row>
    <row r="1498" spans="1:8" ht="16" x14ac:dyDescent="0.2">
      <c r="A1498" s="41" t="s">
        <v>1060</v>
      </c>
      <c r="B1498" s="41" t="s">
        <v>6954</v>
      </c>
      <c r="C1498" s="41" t="s">
        <v>3490</v>
      </c>
      <c r="D1498" s="42">
        <v>45694</v>
      </c>
      <c r="E1498" s="41">
        <v>10</v>
      </c>
      <c r="F1498" s="41">
        <v>1</v>
      </c>
      <c r="G1498" s="41" t="s">
        <v>6955</v>
      </c>
      <c r="H1498" s="41">
        <v>10</v>
      </c>
    </row>
    <row r="1499" spans="1:8" ht="16" x14ac:dyDescent="0.2">
      <c r="A1499" s="41" t="s">
        <v>6956</v>
      </c>
      <c r="B1499" s="41" t="s">
        <v>6957</v>
      </c>
      <c r="C1499" s="41" t="s">
        <v>3490</v>
      </c>
      <c r="D1499" s="42">
        <v>41164</v>
      </c>
      <c r="E1499" s="41">
        <v>2</v>
      </c>
      <c r="F1499" s="41">
        <v>1</v>
      </c>
      <c r="G1499" s="41" t="s">
        <v>6958</v>
      </c>
      <c r="H1499" s="41">
        <v>2</v>
      </c>
    </row>
    <row r="1500" spans="1:8" ht="16" x14ac:dyDescent="0.2">
      <c r="A1500" s="41" t="s">
        <v>1061</v>
      </c>
      <c r="B1500" s="41" t="s">
        <v>6959</v>
      </c>
      <c r="C1500" s="41" t="s">
        <v>3490</v>
      </c>
      <c r="D1500" s="42">
        <v>37853</v>
      </c>
      <c r="E1500" s="41">
        <v>10</v>
      </c>
      <c r="F1500" s="41">
        <v>1</v>
      </c>
      <c r="G1500" s="41" t="s">
        <v>6960</v>
      </c>
      <c r="H1500" s="41">
        <v>10</v>
      </c>
    </row>
    <row r="1501" spans="1:8" ht="16" x14ac:dyDescent="0.2">
      <c r="A1501" s="41" t="s">
        <v>1062</v>
      </c>
      <c r="B1501" s="41" t="s">
        <v>6961</v>
      </c>
      <c r="C1501" s="41" t="s">
        <v>3490</v>
      </c>
      <c r="D1501" s="42">
        <v>44701</v>
      </c>
      <c r="E1501" s="41">
        <v>5</v>
      </c>
      <c r="F1501" s="41">
        <v>1</v>
      </c>
      <c r="G1501" s="41" t="s">
        <v>6962</v>
      </c>
      <c r="H1501" s="41">
        <v>5</v>
      </c>
    </row>
    <row r="1502" spans="1:8" ht="16" x14ac:dyDescent="0.2">
      <c r="A1502" s="41" t="s">
        <v>6963</v>
      </c>
      <c r="B1502" s="41" t="s">
        <v>6964</v>
      </c>
      <c r="C1502" s="41" t="s">
        <v>3490</v>
      </c>
      <c r="D1502" s="42">
        <v>34829</v>
      </c>
      <c r="E1502" s="41">
        <v>10</v>
      </c>
      <c r="F1502" s="41">
        <v>100</v>
      </c>
      <c r="G1502" s="41" t="s">
        <v>6965</v>
      </c>
      <c r="H1502" s="41">
        <v>10</v>
      </c>
    </row>
    <row r="1503" spans="1:8" ht="16" x14ac:dyDescent="0.2">
      <c r="A1503" s="41" t="s">
        <v>1063</v>
      </c>
      <c r="B1503" s="41" t="s">
        <v>6966</v>
      </c>
      <c r="C1503" s="41" t="s">
        <v>3490</v>
      </c>
      <c r="D1503" s="42">
        <v>40542</v>
      </c>
      <c r="E1503" s="41">
        <v>10</v>
      </c>
      <c r="F1503" s="41">
        <v>1</v>
      </c>
      <c r="G1503" s="41" t="s">
        <v>6967</v>
      </c>
      <c r="H1503" s="41">
        <v>10</v>
      </c>
    </row>
    <row r="1504" spans="1:8" ht="16" x14ac:dyDescent="0.2">
      <c r="A1504" s="41" t="s">
        <v>1064</v>
      </c>
      <c r="B1504" s="41" t="s">
        <v>6968</v>
      </c>
      <c r="C1504" s="41" t="s">
        <v>3490</v>
      </c>
      <c r="D1504" s="42">
        <v>42884</v>
      </c>
      <c r="E1504" s="41">
        <v>10</v>
      </c>
      <c r="F1504" s="41">
        <v>1</v>
      </c>
      <c r="G1504" s="41" t="s">
        <v>6969</v>
      </c>
      <c r="H1504" s="41">
        <v>10</v>
      </c>
    </row>
    <row r="1505" spans="1:8" ht="16" x14ac:dyDescent="0.2">
      <c r="A1505" s="41" t="s">
        <v>1065</v>
      </c>
      <c r="B1505" s="41" t="s">
        <v>6970</v>
      </c>
      <c r="C1505" s="41" t="s">
        <v>3490</v>
      </c>
      <c r="D1505" s="42">
        <v>38084</v>
      </c>
      <c r="E1505" s="41">
        <v>10</v>
      </c>
      <c r="F1505" s="41">
        <v>1</v>
      </c>
      <c r="G1505" s="41" t="s">
        <v>6971</v>
      </c>
      <c r="H1505" s="41">
        <v>10</v>
      </c>
    </row>
    <row r="1506" spans="1:8" ht="16" x14ac:dyDescent="0.2">
      <c r="A1506" s="41" t="s">
        <v>1066</v>
      </c>
      <c r="B1506" s="41" t="s">
        <v>6972</v>
      </c>
      <c r="C1506" s="41" t="s">
        <v>3490</v>
      </c>
      <c r="D1506" s="42">
        <v>45086</v>
      </c>
      <c r="E1506" s="41">
        <v>10</v>
      </c>
      <c r="F1506" s="41">
        <v>1</v>
      </c>
      <c r="G1506" s="41" t="s">
        <v>6973</v>
      </c>
      <c r="H1506" s="41">
        <v>10</v>
      </c>
    </row>
    <row r="1507" spans="1:8" ht="16" x14ac:dyDescent="0.2">
      <c r="A1507" s="41" t="s">
        <v>1067</v>
      </c>
      <c r="B1507" s="41" t="s">
        <v>6974</v>
      </c>
      <c r="C1507" s="41" t="s">
        <v>3490</v>
      </c>
      <c r="D1507" s="42">
        <v>39111</v>
      </c>
      <c r="E1507" s="41">
        <v>1</v>
      </c>
      <c r="F1507" s="41">
        <v>1</v>
      </c>
      <c r="G1507" s="41" t="s">
        <v>6975</v>
      </c>
      <c r="H1507" s="41">
        <v>1</v>
      </c>
    </row>
    <row r="1508" spans="1:8" ht="16" x14ac:dyDescent="0.2">
      <c r="A1508" s="41" t="s">
        <v>1068</v>
      </c>
      <c r="B1508" s="41" t="s">
        <v>6976</v>
      </c>
      <c r="C1508" s="41" t="s">
        <v>3490</v>
      </c>
      <c r="D1508" s="42">
        <v>39149</v>
      </c>
      <c r="E1508" s="41">
        <v>10</v>
      </c>
      <c r="F1508" s="41">
        <v>1</v>
      </c>
      <c r="G1508" s="41" t="s">
        <v>6977</v>
      </c>
      <c r="H1508" s="41">
        <v>10</v>
      </c>
    </row>
    <row r="1509" spans="1:8" ht="16" x14ac:dyDescent="0.2">
      <c r="A1509" s="41" t="s">
        <v>1069</v>
      </c>
      <c r="B1509" s="41" t="s">
        <v>6978</v>
      </c>
      <c r="C1509" s="41" t="s">
        <v>3490</v>
      </c>
      <c r="D1509" s="42">
        <v>39324</v>
      </c>
      <c r="E1509" s="41">
        <v>5</v>
      </c>
      <c r="F1509" s="41">
        <v>1</v>
      </c>
      <c r="G1509" s="41" t="s">
        <v>6979</v>
      </c>
      <c r="H1509" s="41">
        <v>5</v>
      </c>
    </row>
    <row r="1510" spans="1:8" ht="16" x14ac:dyDescent="0.2">
      <c r="A1510" s="41" t="s">
        <v>1070</v>
      </c>
      <c r="B1510" s="41" t="s">
        <v>6980</v>
      </c>
      <c r="C1510" s="41" t="s">
        <v>3490</v>
      </c>
      <c r="D1510" s="42">
        <v>35158</v>
      </c>
      <c r="E1510" s="41">
        <v>10</v>
      </c>
      <c r="F1510" s="41">
        <v>1</v>
      </c>
      <c r="G1510" s="41" t="s">
        <v>6981</v>
      </c>
      <c r="H1510" s="41">
        <v>10</v>
      </c>
    </row>
    <row r="1511" spans="1:8" ht="16" x14ac:dyDescent="0.2">
      <c r="A1511" s="41" t="s">
        <v>1071</v>
      </c>
      <c r="B1511" s="41" t="s">
        <v>6982</v>
      </c>
      <c r="C1511" s="41" t="s">
        <v>3490</v>
      </c>
      <c r="D1511" s="42">
        <v>38721</v>
      </c>
      <c r="E1511" s="41">
        <v>10</v>
      </c>
      <c r="F1511" s="41">
        <v>1</v>
      </c>
      <c r="G1511" s="41" t="s">
        <v>6983</v>
      </c>
      <c r="H1511" s="41">
        <v>10</v>
      </c>
    </row>
    <row r="1512" spans="1:8" ht="16" x14ac:dyDescent="0.2">
      <c r="A1512" s="41" t="s">
        <v>1072</v>
      </c>
      <c r="B1512" s="41" t="s">
        <v>6984</v>
      </c>
      <c r="C1512" s="41" t="s">
        <v>3490</v>
      </c>
      <c r="D1512" s="42">
        <v>45370</v>
      </c>
      <c r="E1512" s="41">
        <v>2</v>
      </c>
      <c r="F1512" s="41">
        <v>1</v>
      </c>
      <c r="G1512" s="41" t="s">
        <v>6985</v>
      </c>
      <c r="H1512" s="41">
        <v>2</v>
      </c>
    </row>
    <row r="1513" spans="1:8" ht="16" x14ac:dyDescent="0.2">
      <c r="A1513" s="41" t="s">
        <v>1073</v>
      </c>
      <c r="B1513" s="41" t="s">
        <v>6986</v>
      </c>
      <c r="C1513" s="41" t="s">
        <v>3490</v>
      </c>
      <c r="D1513" s="42">
        <v>45167</v>
      </c>
      <c r="E1513" s="41">
        <v>10</v>
      </c>
      <c r="F1513" s="41">
        <v>1</v>
      </c>
      <c r="G1513" s="41" t="s">
        <v>6987</v>
      </c>
      <c r="H1513" s="41">
        <v>10</v>
      </c>
    </row>
    <row r="1514" spans="1:8" ht="16" x14ac:dyDescent="0.2">
      <c r="A1514" s="41" t="s">
        <v>3470</v>
      </c>
      <c r="B1514" s="41" t="s">
        <v>6988</v>
      </c>
      <c r="C1514" s="41" t="s">
        <v>3490</v>
      </c>
      <c r="D1514" s="42">
        <v>45712</v>
      </c>
      <c r="E1514" s="41">
        <v>10</v>
      </c>
      <c r="F1514" s="41">
        <v>1</v>
      </c>
      <c r="G1514" s="41" t="s">
        <v>6989</v>
      </c>
      <c r="H1514" s="41">
        <v>10</v>
      </c>
    </row>
    <row r="1515" spans="1:8" ht="16" x14ac:dyDescent="0.2">
      <c r="A1515" s="41" t="s">
        <v>6990</v>
      </c>
      <c r="B1515" s="41" t="s">
        <v>6991</v>
      </c>
      <c r="C1515" s="41" t="s">
        <v>3490</v>
      </c>
      <c r="D1515" s="42">
        <v>45671</v>
      </c>
      <c r="E1515" s="41">
        <v>10</v>
      </c>
      <c r="F1515" s="41">
        <v>1</v>
      </c>
      <c r="G1515" s="41" t="s">
        <v>6992</v>
      </c>
      <c r="H1515" s="41">
        <v>10</v>
      </c>
    </row>
    <row r="1516" spans="1:8" ht="16" x14ac:dyDescent="0.2">
      <c r="A1516" s="41" t="s">
        <v>1074</v>
      </c>
      <c r="B1516" s="41" t="s">
        <v>6993</v>
      </c>
      <c r="C1516" s="41" t="s">
        <v>3490</v>
      </c>
      <c r="D1516" s="42">
        <v>42563</v>
      </c>
      <c r="E1516" s="41">
        <v>10</v>
      </c>
      <c r="F1516" s="41">
        <v>1</v>
      </c>
      <c r="G1516" s="41" t="s">
        <v>6994</v>
      </c>
      <c r="H1516" s="41">
        <v>10</v>
      </c>
    </row>
    <row r="1517" spans="1:8" ht="16" x14ac:dyDescent="0.2">
      <c r="A1517" s="41" t="s">
        <v>1075</v>
      </c>
      <c r="B1517" s="41" t="s">
        <v>6995</v>
      </c>
      <c r="C1517" s="41" t="s">
        <v>3490</v>
      </c>
      <c r="D1517" s="42">
        <v>42418</v>
      </c>
      <c r="E1517" s="41">
        <v>10</v>
      </c>
      <c r="F1517" s="41">
        <v>1</v>
      </c>
      <c r="G1517" s="41" t="s">
        <v>6996</v>
      </c>
      <c r="H1517" s="41">
        <v>10</v>
      </c>
    </row>
    <row r="1518" spans="1:8" ht="16" x14ac:dyDescent="0.2">
      <c r="A1518" s="41" t="s">
        <v>1076</v>
      </c>
      <c r="B1518" s="41" t="s">
        <v>6997</v>
      </c>
      <c r="C1518" s="41" t="s">
        <v>3490</v>
      </c>
      <c r="D1518" s="42">
        <v>45055</v>
      </c>
      <c r="E1518" s="41">
        <v>10</v>
      </c>
      <c r="F1518" s="41">
        <v>1</v>
      </c>
      <c r="G1518" s="41" t="s">
        <v>6998</v>
      </c>
      <c r="H1518" s="41">
        <v>10</v>
      </c>
    </row>
    <row r="1519" spans="1:8" ht="16" x14ac:dyDescent="0.2">
      <c r="A1519" s="41" t="s">
        <v>1077</v>
      </c>
      <c r="B1519" s="41" t="s">
        <v>6999</v>
      </c>
      <c r="C1519" s="41" t="s">
        <v>3490</v>
      </c>
      <c r="D1519" s="42">
        <v>45623</v>
      </c>
      <c r="E1519" s="41">
        <v>10</v>
      </c>
      <c r="F1519" s="41">
        <v>1</v>
      </c>
      <c r="G1519" s="41" t="s">
        <v>7000</v>
      </c>
      <c r="H1519" s="41">
        <v>10</v>
      </c>
    </row>
    <row r="1520" spans="1:8" ht="16" x14ac:dyDescent="0.2">
      <c r="A1520" s="41" t="s">
        <v>7001</v>
      </c>
      <c r="B1520" s="41" t="s">
        <v>7002</v>
      </c>
      <c r="C1520" s="41" t="s">
        <v>3490</v>
      </c>
      <c r="D1520" s="42">
        <v>37679</v>
      </c>
      <c r="E1520" s="41">
        <v>2</v>
      </c>
      <c r="F1520" s="41">
        <v>1</v>
      </c>
      <c r="G1520" s="41" t="s">
        <v>7003</v>
      </c>
      <c r="H1520" s="41">
        <v>2</v>
      </c>
    </row>
    <row r="1521" spans="1:8" ht="16" x14ac:dyDescent="0.2">
      <c r="A1521" s="41" t="s">
        <v>1078</v>
      </c>
      <c r="B1521" s="41" t="s">
        <v>7004</v>
      </c>
      <c r="C1521" s="41" t="s">
        <v>3490</v>
      </c>
      <c r="D1521" s="42">
        <v>44760</v>
      </c>
      <c r="E1521" s="41">
        <v>2</v>
      </c>
      <c r="F1521" s="41">
        <v>1</v>
      </c>
      <c r="G1521" s="41" t="s">
        <v>7005</v>
      </c>
      <c r="H1521" s="41">
        <v>2</v>
      </c>
    </row>
    <row r="1522" spans="1:8" ht="16" x14ac:dyDescent="0.2">
      <c r="A1522" s="41" t="s">
        <v>1079</v>
      </c>
      <c r="B1522" s="41" t="s">
        <v>7006</v>
      </c>
      <c r="C1522" s="41" t="s">
        <v>3490</v>
      </c>
      <c r="D1522" s="42">
        <v>44930</v>
      </c>
      <c r="E1522" s="41">
        <v>1</v>
      </c>
      <c r="F1522" s="41">
        <v>1</v>
      </c>
      <c r="G1522" s="41" t="s">
        <v>7007</v>
      </c>
      <c r="H1522" s="41">
        <v>1</v>
      </c>
    </row>
    <row r="1523" spans="1:8" ht="16" x14ac:dyDescent="0.2">
      <c r="A1523" s="41" t="s">
        <v>1080</v>
      </c>
      <c r="B1523" s="41" t="s">
        <v>7008</v>
      </c>
      <c r="C1523" s="41" t="s">
        <v>3490</v>
      </c>
      <c r="D1523" s="42">
        <v>37790</v>
      </c>
      <c r="E1523" s="41">
        <v>2</v>
      </c>
      <c r="F1523" s="41">
        <v>1</v>
      </c>
      <c r="G1523" s="41" t="s">
        <v>7009</v>
      </c>
      <c r="H1523" s="41">
        <v>2</v>
      </c>
    </row>
    <row r="1524" spans="1:8" ht="16" x14ac:dyDescent="0.2">
      <c r="A1524" s="41" t="s">
        <v>1081</v>
      </c>
      <c r="B1524" s="41" t="s">
        <v>7010</v>
      </c>
      <c r="C1524" s="41" t="s">
        <v>3490</v>
      </c>
      <c r="D1524" s="42">
        <v>42811</v>
      </c>
      <c r="E1524" s="41">
        <v>2</v>
      </c>
      <c r="F1524" s="41">
        <v>1</v>
      </c>
      <c r="G1524" s="41" t="s">
        <v>7011</v>
      </c>
      <c r="H1524" s="41">
        <v>2</v>
      </c>
    </row>
    <row r="1525" spans="1:8" ht="16" x14ac:dyDescent="0.2">
      <c r="A1525" s="41" t="s">
        <v>1082</v>
      </c>
      <c r="B1525" s="41" t="s">
        <v>7012</v>
      </c>
      <c r="C1525" s="41" t="s">
        <v>3490</v>
      </c>
      <c r="D1525" s="42">
        <v>44253</v>
      </c>
      <c r="E1525" s="41">
        <v>10</v>
      </c>
      <c r="F1525" s="41">
        <v>1</v>
      </c>
      <c r="G1525" s="41" t="s">
        <v>7013</v>
      </c>
      <c r="H1525" s="41">
        <v>10</v>
      </c>
    </row>
    <row r="1526" spans="1:8" ht="16" x14ac:dyDescent="0.2">
      <c r="A1526" s="41" t="s">
        <v>1083</v>
      </c>
      <c r="B1526" s="41" t="s">
        <v>7014</v>
      </c>
      <c r="C1526" s="41" t="s">
        <v>3490</v>
      </c>
      <c r="D1526" s="42">
        <v>39510</v>
      </c>
      <c r="E1526" s="41">
        <v>2</v>
      </c>
      <c r="F1526" s="41">
        <v>1</v>
      </c>
      <c r="G1526" s="41" t="s">
        <v>7015</v>
      </c>
      <c r="H1526" s="41">
        <v>2</v>
      </c>
    </row>
    <row r="1527" spans="1:8" ht="16" x14ac:dyDescent="0.2">
      <c r="A1527" s="41" t="s">
        <v>1084</v>
      </c>
      <c r="B1527" s="41" t="s">
        <v>7016</v>
      </c>
      <c r="C1527" s="41" t="s">
        <v>3490</v>
      </c>
      <c r="D1527" s="42">
        <v>44691</v>
      </c>
      <c r="E1527" s="41">
        <v>10</v>
      </c>
      <c r="F1527" s="41">
        <v>1</v>
      </c>
      <c r="G1527" s="41" t="s">
        <v>7017</v>
      </c>
      <c r="H1527" s="41">
        <v>10</v>
      </c>
    </row>
    <row r="1528" spans="1:8" ht="16" x14ac:dyDescent="0.2">
      <c r="A1528" s="41" t="s">
        <v>1085</v>
      </c>
      <c r="B1528" s="41" t="s">
        <v>7018</v>
      </c>
      <c r="C1528" s="41" t="s">
        <v>3490</v>
      </c>
      <c r="D1528" s="42">
        <v>36565</v>
      </c>
      <c r="E1528" s="41">
        <v>1</v>
      </c>
      <c r="F1528" s="41">
        <v>1</v>
      </c>
      <c r="G1528" s="41" t="s">
        <v>7019</v>
      </c>
      <c r="H1528" s="41">
        <v>1</v>
      </c>
    </row>
    <row r="1529" spans="1:8" ht="16" x14ac:dyDescent="0.2">
      <c r="A1529" s="41" t="s">
        <v>7020</v>
      </c>
      <c r="B1529" s="41" t="s">
        <v>7021</v>
      </c>
      <c r="C1529" s="41" t="s">
        <v>3490</v>
      </c>
      <c r="D1529" s="42">
        <v>44243</v>
      </c>
      <c r="E1529" s="41">
        <v>1</v>
      </c>
      <c r="F1529" s="41">
        <v>1</v>
      </c>
      <c r="G1529" s="41" t="s">
        <v>7022</v>
      </c>
      <c r="H1529" s="41">
        <v>1</v>
      </c>
    </row>
    <row r="1530" spans="1:8" ht="16" x14ac:dyDescent="0.2">
      <c r="A1530" s="41" t="s">
        <v>1086</v>
      </c>
      <c r="B1530" s="41" t="s">
        <v>7023</v>
      </c>
      <c r="C1530" s="41" t="s">
        <v>3490</v>
      </c>
      <c r="D1530" s="42">
        <v>45806</v>
      </c>
      <c r="E1530" s="41">
        <v>1</v>
      </c>
      <c r="F1530" s="41">
        <v>1</v>
      </c>
      <c r="G1530" s="41" t="s">
        <v>7024</v>
      </c>
      <c r="H1530" s="41">
        <v>1</v>
      </c>
    </row>
    <row r="1531" spans="1:8" ht="16" x14ac:dyDescent="0.2">
      <c r="A1531" s="41" t="s">
        <v>1087</v>
      </c>
      <c r="B1531" s="41" t="s">
        <v>7025</v>
      </c>
      <c r="C1531" s="41" t="s">
        <v>3490</v>
      </c>
      <c r="D1531" s="42">
        <v>43973</v>
      </c>
      <c r="E1531" s="41">
        <v>2</v>
      </c>
      <c r="F1531" s="41">
        <v>1</v>
      </c>
      <c r="G1531" s="41" t="s">
        <v>7026</v>
      </c>
      <c r="H1531" s="41">
        <v>2</v>
      </c>
    </row>
    <row r="1532" spans="1:8" ht="16" x14ac:dyDescent="0.2">
      <c r="A1532" s="41" t="s">
        <v>1088</v>
      </c>
      <c r="B1532" s="41" t="s">
        <v>7027</v>
      </c>
      <c r="C1532" s="41" t="s">
        <v>3510</v>
      </c>
      <c r="D1532" s="42">
        <v>44636</v>
      </c>
      <c r="E1532" s="41">
        <v>1</v>
      </c>
      <c r="F1532" s="41">
        <v>1</v>
      </c>
      <c r="G1532" s="41" t="s">
        <v>7028</v>
      </c>
      <c r="H1532" s="41">
        <v>1</v>
      </c>
    </row>
    <row r="1533" spans="1:8" ht="16" x14ac:dyDescent="0.2">
      <c r="A1533" s="41" t="s">
        <v>7029</v>
      </c>
      <c r="B1533" s="41" t="s">
        <v>7030</v>
      </c>
      <c r="C1533" s="41" t="s">
        <v>3490</v>
      </c>
      <c r="D1533" s="42">
        <v>34787</v>
      </c>
      <c r="E1533" s="41">
        <v>10</v>
      </c>
      <c r="F1533" s="41">
        <v>1</v>
      </c>
      <c r="G1533" s="41" t="s">
        <v>7031</v>
      </c>
      <c r="H1533" s="41">
        <v>10</v>
      </c>
    </row>
    <row r="1534" spans="1:8" ht="16" x14ac:dyDescent="0.2">
      <c r="A1534" s="41" t="s">
        <v>1089</v>
      </c>
      <c r="B1534" s="41" t="s">
        <v>7032</v>
      </c>
      <c r="C1534" s="41" t="s">
        <v>3490</v>
      </c>
      <c r="D1534" s="42">
        <v>39157</v>
      </c>
      <c r="E1534" s="41">
        <v>5</v>
      </c>
      <c r="F1534" s="41">
        <v>1</v>
      </c>
      <c r="G1534" s="41" t="s">
        <v>7033</v>
      </c>
      <c r="H1534" s="41">
        <v>5</v>
      </c>
    </row>
    <row r="1535" spans="1:8" ht="16" x14ac:dyDescent="0.2">
      <c r="A1535" s="41" t="s">
        <v>1090</v>
      </c>
      <c r="B1535" s="41" t="s">
        <v>7034</v>
      </c>
      <c r="C1535" s="41" t="s">
        <v>3490</v>
      </c>
      <c r="D1535" s="42">
        <v>36251</v>
      </c>
      <c r="E1535" s="41">
        <v>1</v>
      </c>
      <c r="F1535" s="41">
        <v>1</v>
      </c>
      <c r="G1535" s="41" t="s">
        <v>7035</v>
      </c>
      <c r="H1535" s="41">
        <v>1</v>
      </c>
    </row>
    <row r="1536" spans="1:8" ht="16" x14ac:dyDescent="0.2">
      <c r="A1536" s="41" t="s">
        <v>7036</v>
      </c>
      <c r="B1536" s="41" t="s">
        <v>7037</v>
      </c>
      <c r="C1536" s="41" t="s">
        <v>3510</v>
      </c>
      <c r="D1536" s="42">
        <v>38980</v>
      </c>
      <c r="E1536" s="41">
        <v>10</v>
      </c>
      <c r="F1536" s="41">
        <v>1</v>
      </c>
      <c r="G1536" s="41" t="s">
        <v>7038</v>
      </c>
      <c r="H1536" s="41">
        <v>10</v>
      </c>
    </row>
    <row r="1537" spans="1:8" ht="16" x14ac:dyDescent="0.2">
      <c r="A1537" s="41" t="s">
        <v>7039</v>
      </c>
      <c r="B1537" s="41" t="s">
        <v>7040</v>
      </c>
      <c r="C1537" s="41" t="s">
        <v>3510</v>
      </c>
      <c r="D1537" s="42">
        <v>44778</v>
      </c>
      <c r="E1537" s="41">
        <v>5</v>
      </c>
      <c r="F1537" s="41">
        <v>1</v>
      </c>
      <c r="G1537" s="41" t="s">
        <v>7041</v>
      </c>
      <c r="H1537" s="41">
        <v>5</v>
      </c>
    </row>
    <row r="1538" spans="1:8" ht="16" x14ac:dyDescent="0.2">
      <c r="A1538" s="41" t="s">
        <v>1091</v>
      </c>
      <c r="B1538" s="41" t="s">
        <v>7042</v>
      </c>
      <c r="C1538" s="41" t="s">
        <v>3490</v>
      </c>
      <c r="D1538" s="42">
        <v>42235</v>
      </c>
      <c r="E1538" s="41">
        <v>1</v>
      </c>
      <c r="F1538" s="41">
        <v>1</v>
      </c>
      <c r="G1538" s="41" t="s">
        <v>7043</v>
      </c>
      <c r="H1538" s="41">
        <v>1</v>
      </c>
    </row>
    <row r="1539" spans="1:8" ht="16" x14ac:dyDescent="0.2">
      <c r="A1539" s="41" t="s">
        <v>1092</v>
      </c>
      <c r="B1539" s="41" t="s">
        <v>7044</v>
      </c>
      <c r="C1539" s="41" t="s">
        <v>3490</v>
      </c>
      <c r="D1539" s="42">
        <v>35529</v>
      </c>
      <c r="E1539" s="41">
        <v>1</v>
      </c>
      <c r="F1539" s="41">
        <v>1</v>
      </c>
      <c r="G1539" s="41" t="s">
        <v>7045</v>
      </c>
      <c r="H1539" s="41">
        <v>1</v>
      </c>
    </row>
    <row r="1540" spans="1:8" ht="16" x14ac:dyDescent="0.2">
      <c r="A1540" s="41" t="s">
        <v>1093</v>
      </c>
      <c r="B1540" s="41" t="s">
        <v>7046</v>
      </c>
      <c r="C1540" s="41" t="s">
        <v>3490</v>
      </c>
      <c r="D1540" s="42">
        <v>35375</v>
      </c>
      <c r="E1540" s="41">
        <v>1</v>
      </c>
      <c r="F1540" s="41">
        <v>1</v>
      </c>
      <c r="G1540" s="41" t="s">
        <v>7047</v>
      </c>
      <c r="H1540" s="41">
        <v>1</v>
      </c>
    </row>
    <row r="1541" spans="1:8" ht="16" x14ac:dyDescent="0.2">
      <c r="A1541" s="41" t="s">
        <v>1094</v>
      </c>
      <c r="B1541" s="41" t="s">
        <v>7048</v>
      </c>
      <c r="C1541" s="41" t="s">
        <v>3510</v>
      </c>
      <c r="D1541" s="42">
        <v>36628</v>
      </c>
      <c r="E1541" s="41">
        <v>10</v>
      </c>
      <c r="F1541" s="41">
        <v>1</v>
      </c>
      <c r="G1541" s="41" t="s">
        <v>7049</v>
      </c>
      <c r="H1541" s="41">
        <v>10</v>
      </c>
    </row>
    <row r="1542" spans="1:8" ht="16" x14ac:dyDescent="0.2">
      <c r="A1542" s="41" t="s">
        <v>1095</v>
      </c>
      <c r="B1542" s="41" t="s">
        <v>7050</v>
      </c>
      <c r="C1542" s="41" t="s">
        <v>3490</v>
      </c>
      <c r="D1542" s="42">
        <v>40459</v>
      </c>
      <c r="E1542" s="41">
        <v>10</v>
      </c>
      <c r="F1542" s="41">
        <v>1</v>
      </c>
      <c r="G1542" s="41" t="s">
        <v>7051</v>
      </c>
      <c r="H1542" s="41">
        <v>10</v>
      </c>
    </row>
    <row r="1543" spans="1:8" ht="16" x14ac:dyDescent="0.2">
      <c r="A1543" s="41" t="s">
        <v>1096</v>
      </c>
      <c r="B1543" s="41" t="s">
        <v>7052</v>
      </c>
      <c r="C1543" s="41" t="s">
        <v>3490</v>
      </c>
      <c r="D1543" s="42">
        <v>44771</v>
      </c>
      <c r="E1543" s="41">
        <v>5</v>
      </c>
      <c r="F1543" s="41">
        <v>1</v>
      </c>
      <c r="G1543" s="41" t="s">
        <v>7053</v>
      </c>
      <c r="H1543" s="41">
        <v>5</v>
      </c>
    </row>
    <row r="1544" spans="1:8" ht="16" x14ac:dyDescent="0.2">
      <c r="A1544" s="41" t="s">
        <v>7054</v>
      </c>
      <c r="B1544" s="41" t="s">
        <v>7055</v>
      </c>
      <c r="C1544" s="41" t="s">
        <v>3490</v>
      </c>
      <c r="D1544" s="42">
        <v>38407</v>
      </c>
      <c r="E1544" s="41">
        <v>10</v>
      </c>
      <c r="F1544" s="41">
        <v>1</v>
      </c>
      <c r="G1544" s="41" t="s">
        <v>7056</v>
      </c>
      <c r="H1544" s="41">
        <v>10</v>
      </c>
    </row>
    <row r="1545" spans="1:8" ht="16" x14ac:dyDescent="0.2">
      <c r="A1545" s="41" t="s">
        <v>1097</v>
      </c>
      <c r="B1545" s="41" t="s">
        <v>7057</v>
      </c>
      <c r="C1545" s="41" t="s">
        <v>3490</v>
      </c>
      <c r="D1545" s="42">
        <v>35697</v>
      </c>
      <c r="E1545" s="41">
        <v>10</v>
      </c>
      <c r="F1545" s="41">
        <v>1</v>
      </c>
      <c r="G1545" s="41" t="s">
        <v>7058</v>
      </c>
      <c r="H1545" s="41">
        <v>10</v>
      </c>
    </row>
    <row r="1546" spans="1:8" ht="16" x14ac:dyDescent="0.2">
      <c r="A1546" s="41" t="s">
        <v>1098</v>
      </c>
      <c r="B1546" s="41" t="s">
        <v>7059</v>
      </c>
      <c r="C1546" s="41" t="s">
        <v>3490</v>
      </c>
      <c r="D1546" s="42">
        <v>44547</v>
      </c>
      <c r="E1546" s="41">
        <v>1</v>
      </c>
      <c r="F1546" s="41">
        <v>1</v>
      </c>
      <c r="G1546" s="41" t="s">
        <v>7060</v>
      </c>
      <c r="H1546" s="41">
        <v>1</v>
      </c>
    </row>
    <row r="1547" spans="1:8" ht="16" x14ac:dyDescent="0.2">
      <c r="A1547" s="41" t="s">
        <v>1099</v>
      </c>
      <c r="B1547" s="41" t="s">
        <v>7061</v>
      </c>
      <c r="C1547" s="41" t="s">
        <v>3490</v>
      </c>
      <c r="D1547" s="42">
        <v>38846</v>
      </c>
      <c r="E1547" s="41">
        <v>2</v>
      </c>
      <c r="F1547" s="41">
        <v>1</v>
      </c>
      <c r="G1547" s="41" t="s">
        <v>7062</v>
      </c>
      <c r="H1547" s="41">
        <v>2</v>
      </c>
    </row>
    <row r="1548" spans="1:8" ht="16" x14ac:dyDescent="0.2">
      <c r="A1548" s="41" t="s">
        <v>1100</v>
      </c>
      <c r="B1548" s="41" t="s">
        <v>7063</v>
      </c>
      <c r="C1548" s="41" t="s">
        <v>3490</v>
      </c>
      <c r="D1548" s="42">
        <v>45180</v>
      </c>
      <c r="E1548" s="41">
        <v>10</v>
      </c>
      <c r="F1548" s="41">
        <v>1</v>
      </c>
      <c r="G1548" s="41" t="s">
        <v>7064</v>
      </c>
      <c r="H1548" s="41">
        <v>10</v>
      </c>
    </row>
    <row r="1549" spans="1:8" ht="16" x14ac:dyDescent="0.2">
      <c r="A1549" s="41" t="s">
        <v>1101</v>
      </c>
      <c r="B1549" s="41" t="s">
        <v>7065</v>
      </c>
      <c r="C1549" s="41" t="s">
        <v>3490</v>
      </c>
      <c r="D1549" s="42">
        <v>34990</v>
      </c>
      <c r="E1549" s="41">
        <v>10</v>
      </c>
      <c r="F1549" s="41">
        <v>1</v>
      </c>
      <c r="G1549" s="41" t="s">
        <v>7066</v>
      </c>
      <c r="H1549" s="41">
        <v>10</v>
      </c>
    </row>
    <row r="1550" spans="1:8" ht="16" x14ac:dyDescent="0.2">
      <c r="A1550" s="41" t="s">
        <v>7067</v>
      </c>
      <c r="B1550" s="41" t="s">
        <v>7068</v>
      </c>
      <c r="C1550" s="41" t="s">
        <v>3490</v>
      </c>
      <c r="D1550" s="42">
        <v>45540</v>
      </c>
      <c r="E1550" s="41">
        <v>2</v>
      </c>
      <c r="F1550" s="41">
        <v>1</v>
      </c>
      <c r="G1550" s="41" t="s">
        <v>7069</v>
      </c>
      <c r="H1550" s="41">
        <v>2</v>
      </c>
    </row>
    <row r="1551" spans="1:8" ht="16" x14ac:dyDescent="0.2">
      <c r="A1551" s="41" t="s">
        <v>7070</v>
      </c>
      <c r="B1551" s="41" t="s">
        <v>7071</v>
      </c>
      <c r="C1551" s="41" t="s">
        <v>3490</v>
      </c>
      <c r="D1551" s="42">
        <v>45839</v>
      </c>
      <c r="E1551" s="41">
        <v>10</v>
      </c>
      <c r="F1551" s="41">
        <v>1</v>
      </c>
      <c r="G1551" s="41" t="s">
        <v>7072</v>
      </c>
      <c r="H1551" s="41">
        <v>10</v>
      </c>
    </row>
    <row r="1552" spans="1:8" ht="16" x14ac:dyDescent="0.2">
      <c r="A1552" s="41" t="s">
        <v>1102</v>
      </c>
      <c r="B1552" s="41" t="s">
        <v>7073</v>
      </c>
      <c r="C1552" s="41" t="s">
        <v>3490</v>
      </c>
      <c r="D1552" s="42">
        <v>44179</v>
      </c>
      <c r="E1552" s="41">
        <v>10</v>
      </c>
      <c r="F1552" s="41">
        <v>1</v>
      </c>
      <c r="G1552" s="41" t="s">
        <v>7074</v>
      </c>
      <c r="H1552" s="41">
        <v>10</v>
      </c>
    </row>
    <row r="1553" spans="1:8" ht="16" x14ac:dyDescent="0.2">
      <c r="A1553" s="41" t="s">
        <v>1103</v>
      </c>
      <c r="B1553" s="41" t="s">
        <v>7075</v>
      </c>
      <c r="C1553" s="41" t="s">
        <v>3490</v>
      </c>
      <c r="D1553" s="42">
        <v>42613</v>
      </c>
      <c r="E1553" s="41">
        <v>10</v>
      </c>
      <c r="F1553" s="41">
        <v>1</v>
      </c>
      <c r="G1553" s="41" t="s">
        <v>7076</v>
      </c>
      <c r="H1553" s="41">
        <v>10</v>
      </c>
    </row>
    <row r="1554" spans="1:8" ht="16" x14ac:dyDescent="0.2">
      <c r="A1554" s="41" t="s">
        <v>1105</v>
      </c>
      <c r="B1554" s="41" t="s">
        <v>7077</v>
      </c>
      <c r="C1554" s="41" t="s">
        <v>3490</v>
      </c>
      <c r="D1554" s="42">
        <v>45287</v>
      </c>
      <c r="E1554" s="41">
        <v>10</v>
      </c>
      <c r="F1554" s="41">
        <v>1</v>
      </c>
      <c r="G1554" s="41" t="s">
        <v>7078</v>
      </c>
      <c r="H1554" s="41">
        <v>10</v>
      </c>
    </row>
    <row r="1555" spans="1:8" ht="16" x14ac:dyDescent="0.2">
      <c r="A1555" s="41" t="s">
        <v>1106</v>
      </c>
      <c r="B1555" s="41" t="s">
        <v>7079</v>
      </c>
      <c r="C1555" s="41" t="s">
        <v>3490</v>
      </c>
      <c r="D1555" s="42">
        <v>35802</v>
      </c>
      <c r="E1555" s="41">
        <v>10</v>
      </c>
      <c r="F1555" s="41">
        <v>1</v>
      </c>
      <c r="G1555" s="41" t="s">
        <v>7080</v>
      </c>
      <c r="H1555" s="41">
        <v>10</v>
      </c>
    </row>
    <row r="1556" spans="1:8" ht="16" x14ac:dyDescent="0.2">
      <c r="A1556" s="41" t="s">
        <v>1107</v>
      </c>
      <c r="B1556" s="41" t="s">
        <v>7081</v>
      </c>
      <c r="C1556" s="41" t="s">
        <v>3510</v>
      </c>
      <c r="D1556" s="42">
        <v>38782</v>
      </c>
      <c r="E1556" s="41">
        <v>5</v>
      </c>
      <c r="F1556" s="41">
        <v>1</v>
      </c>
      <c r="G1556" s="41" t="s">
        <v>7082</v>
      </c>
      <c r="H1556" s="41">
        <v>5</v>
      </c>
    </row>
    <row r="1557" spans="1:8" ht="16" x14ac:dyDescent="0.2">
      <c r="A1557" s="41" t="s">
        <v>1108</v>
      </c>
      <c r="B1557" s="41" t="s">
        <v>7083</v>
      </c>
      <c r="C1557" s="41" t="s">
        <v>3490</v>
      </c>
      <c r="D1557" s="42">
        <v>39519</v>
      </c>
      <c r="E1557" s="41">
        <v>10</v>
      </c>
      <c r="F1557" s="41">
        <v>1</v>
      </c>
      <c r="G1557" s="41" t="s">
        <v>7084</v>
      </c>
      <c r="H1557" s="41">
        <v>10</v>
      </c>
    </row>
    <row r="1558" spans="1:8" ht="16" x14ac:dyDescent="0.2">
      <c r="A1558" s="41" t="s">
        <v>1109</v>
      </c>
      <c r="B1558" s="41" t="s">
        <v>7085</v>
      </c>
      <c r="C1558" s="41" t="s">
        <v>3490</v>
      </c>
      <c r="D1558" s="42">
        <v>39128</v>
      </c>
      <c r="E1558" s="41">
        <v>2</v>
      </c>
      <c r="F1558" s="41">
        <v>1</v>
      </c>
      <c r="G1558" s="41" t="s">
        <v>7086</v>
      </c>
      <c r="H1558" s="41">
        <v>2</v>
      </c>
    </row>
    <row r="1559" spans="1:8" ht="16" x14ac:dyDescent="0.2">
      <c r="A1559" s="41" t="s">
        <v>1110</v>
      </c>
      <c r="B1559" s="41" t="s">
        <v>7087</v>
      </c>
      <c r="C1559" s="41" t="s">
        <v>3490</v>
      </c>
      <c r="D1559" s="42">
        <v>45149</v>
      </c>
      <c r="E1559" s="41">
        <v>2</v>
      </c>
      <c r="F1559" s="41">
        <v>1</v>
      </c>
      <c r="G1559" s="41" t="s">
        <v>7088</v>
      </c>
      <c r="H1559" s="41">
        <v>2</v>
      </c>
    </row>
    <row r="1560" spans="1:8" ht="16" x14ac:dyDescent="0.2">
      <c r="A1560" s="41" t="s">
        <v>1111</v>
      </c>
      <c r="B1560" s="41" t="s">
        <v>7089</v>
      </c>
      <c r="C1560" s="41" t="s">
        <v>3490</v>
      </c>
      <c r="D1560" s="42">
        <v>40150</v>
      </c>
      <c r="E1560" s="41">
        <v>2</v>
      </c>
      <c r="F1560" s="41">
        <v>1</v>
      </c>
      <c r="G1560" s="41" t="s">
        <v>7090</v>
      </c>
      <c r="H1560" s="41">
        <v>2</v>
      </c>
    </row>
    <row r="1561" spans="1:8" ht="16" x14ac:dyDescent="0.2">
      <c r="A1561" s="41" t="s">
        <v>7091</v>
      </c>
      <c r="B1561" s="41" t="s">
        <v>7092</v>
      </c>
      <c r="C1561" s="41" t="s">
        <v>3490</v>
      </c>
      <c r="D1561" s="42">
        <v>45889</v>
      </c>
      <c r="E1561" s="41">
        <v>5</v>
      </c>
      <c r="F1561" s="41">
        <v>1</v>
      </c>
      <c r="G1561" s="41" t="s">
        <v>7093</v>
      </c>
      <c r="H1561" s="41">
        <v>5</v>
      </c>
    </row>
    <row r="1562" spans="1:8" ht="16" x14ac:dyDescent="0.2">
      <c r="A1562" s="41" t="s">
        <v>7094</v>
      </c>
      <c r="B1562" s="41" t="s">
        <v>7095</v>
      </c>
      <c r="C1562" s="41" t="s">
        <v>3490</v>
      </c>
      <c r="D1562" s="42">
        <v>35221</v>
      </c>
      <c r="E1562" s="41">
        <v>10</v>
      </c>
      <c r="F1562" s="41">
        <v>1</v>
      </c>
      <c r="G1562" s="41" t="s">
        <v>7096</v>
      </c>
      <c r="H1562" s="41">
        <v>10</v>
      </c>
    </row>
    <row r="1563" spans="1:8" ht="16" x14ac:dyDescent="0.2">
      <c r="A1563" s="41" t="s">
        <v>1113</v>
      </c>
      <c r="B1563" s="41" t="s">
        <v>7097</v>
      </c>
      <c r="C1563" s="41" t="s">
        <v>3490</v>
      </c>
      <c r="D1563" s="42">
        <v>40711</v>
      </c>
      <c r="E1563" s="41">
        <v>1</v>
      </c>
      <c r="F1563" s="41">
        <v>1</v>
      </c>
      <c r="G1563" s="41" t="s">
        <v>7098</v>
      </c>
      <c r="H1563" s="41">
        <v>1</v>
      </c>
    </row>
    <row r="1564" spans="1:8" ht="16" x14ac:dyDescent="0.2">
      <c r="A1564" s="41" t="s">
        <v>7099</v>
      </c>
      <c r="B1564" s="41" t="s">
        <v>7100</v>
      </c>
      <c r="C1564" s="41" t="s">
        <v>3490</v>
      </c>
      <c r="D1564" s="42">
        <v>44706</v>
      </c>
      <c r="E1564" s="41">
        <v>10</v>
      </c>
      <c r="F1564" s="41">
        <v>1</v>
      </c>
      <c r="G1564" s="41" t="s">
        <v>7101</v>
      </c>
      <c r="H1564" s="41">
        <v>10</v>
      </c>
    </row>
    <row r="1565" spans="1:8" ht="16" x14ac:dyDescent="0.2">
      <c r="A1565" s="41" t="s">
        <v>7102</v>
      </c>
      <c r="B1565" s="41" t="s">
        <v>7103</v>
      </c>
      <c r="C1565" s="41" t="s">
        <v>3510</v>
      </c>
      <c r="D1565" s="42">
        <v>45483</v>
      </c>
      <c r="E1565" s="41">
        <v>10</v>
      </c>
      <c r="F1565" s="41">
        <v>1</v>
      </c>
      <c r="G1565" s="41" t="s">
        <v>7104</v>
      </c>
      <c r="H1565" s="41">
        <v>10</v>
      </c>
    </row>
    <row r="1566" spans="1:8" ht="16" x14ac:dyDescent="0.2">
      <c r="A1566" s="41" t="s">
        <v>1114</v>
      </c>
      <c r="B1566" s="41" t="s">
        <v>7105</v>
      </c>
      <c r="C1566" s="41" t="s">
        <v>3490</v>
      </c>
      <c r="D1566" s="42">
        <v>35032</v>
      </c>
      <c r="E1566" s="41">
        <v>10</v>
      </c>
      <c r="F1566" s="41">
        <v>1</v>
      </c>
      <c r="G1566" s="41" t="s">
        <v>7106</v>
      </c>
      <c r="H1566" s="41">
        <v>10</v>
      </c>
    </row>
    <row r="1567" spans="1:8" ht="16" x14ac:dyDescent="0.2">
      <c r="A1567" s="41" t="s">
        <v>1115</v>
      </c>
      <c r="B1567" s="41" t="s">
        <v>7107</v>
      </c>
      <c r="C1567" s="41" t="s">
        <v>3490</v>
      </c>
      <c r="D1567" s="42">
        <v>39407</v>
      </c>
      <c r="E1567" s="41">
        <v>10</v>
      </c>
      <c r="F1567" s="41">
        <v>1</v>
      </c>
      <c r="G1567" s="41" t="s">
        <v>7108</v>
      </c>
      <c r="H1567" s="41">
        <v>10</v>
      </c>
    </row>
    <row r="1568" spans="1:8" ht="16" x14ac:dyDescent="0.2">
      <c r="A1568" s="41" t="s">
        <v>1116</v>
      </c>
      <c r="B1568" s="41" t="s">
        <v>7109</v>
      </c>
      <c r="C1568" s="41" t="s">
        <v>3510</v>
      </c>
      <c r="D1568" s="42">
        <v>34738</v>
      </c>
      <c r="E1568" s="41">
        <v>10</v>
      </c>
      <c r="F1568" s="41">
        <v>1</v>
      </c>
      <c r="G1568" s="41" t="s">
        <v>7110</v>
      </c>
      <c r="H1568" s="41">
        <v>10</v>
      </c>
    </row>
    <row r="1569" spans="1:8" ht="16" x14ac:dyDescent="0.2">
      <c r="A1569" s="41" t="s">
        <v>7111</v>
      </c>
      <c r="B1569" s="41" t="s">
        <v>7112</v>
      </c>
      <c r="C1569" s="41" t="s">
        <v>3510</v>
      </c>
      <c r="D1569" s="42">
        <v>45503</v>
      </c>
      <c r="E1569" s="41">
        <v>10</v>
      </c>
      <c r="F1569" s="41">
        <v>1</v>
      </c>
      <c r="G1569" s="41" t="s">
        <v>7113</v>
      </c>
      <c r="H1569" s="41">
        <v>10</v>
      </c>
    </row>
    <row r="1570" spans="1:8" ht="16" x14ac:dyDescent="0.2">
      <c r="A1570" s="41" t="s">
        <v>7114</v>
      </c>
      <c r="B1570" s="41" t="s">
        <v>7115</v>
      </c>
      <c r="C1570" s="41" t="s">
        <v>3490</v>
      </c>
      <c r="D1570" s="42">
        <v>35095</v>
      </c>
      <c r="E1570" s="41">
        <v>2</v>
      </c>
      <c r="F1570" s="41">
        <v>1</v>
      </c>
      <c r="G1570" s="41" t="s">
        <v>7116</v>
      </c>
      <c r="H1570" s="41">
        <v>2</v>
      </c>
    </row>
    <row r="1571" spans="1:8" ht="16" x14ac:dyDescent="0.2">
      <c r="A1571" s="41" t="s">
        <v>1118</v>
      </c>
      <c r="B1571" s="41" t="s">
        <v>7117</v>
      </c>
      <c r="C1571" s="41" t="s">
        <v>3490</v>
      </c>
      <c r="D1571" s="42">
        <v>38656</v>
      </c>
      <c r="E1571" s="41">
        <v>1</v>
      </c>
      <c r="F1571" s="41">
        <v>1</v>
      </c>
      <c r="G1571" s="41" t="s">
        <v>7118</v>
      </c>
      <c r="H1571" s="41">
        <v>1</v>
      </c>
    </row>
    <row r="1572" spans="1:8" ht="16" x14ac:dyDescent="0.2">
      <c r="A1572" s="41" t="s">
        <v>1119</v>
      </c>
      <c r="B1572" s="41" t="s">
        <v>7119</v>
      </c>
      <c r="C1572" s="41" t="s">
        <v>3490</v>
      </c>
      <c r="D1572" s="42">
        <v>41365</v>
      </c>
      <c r="E1572" s="41">
        <v>10</v>
      </c>
      <c r="F1572" s="41">
        <v>1</v>
      </c>
      <c r="G1572" s="41" t="s">
        <v>7120</v>
      </c>
      <c r="H1572" s="41">
        <v>10</v>
      </c>
    </row>
    <row r="1573" spans="1:8" ht="16" x14ac:dyDescent="0.2">
      <c r="A1573" s="41" t="s">
        <v>7121</v>
      </c>
      <c r="B1573" s="41" t="s">
        <v>7122</v>
      </c>
      <c r="C1573" s="41" t="s">
        <v>3490</v>
      </c>
      <c r="D1573" s="42">
        <v>44179</v>
      </c>
      <c r="E1573" s="41">
        <v>10</v>
      </c>
      <c r="F1573" s="41">
        <v>1</v>
      </c>
      <c r="G1573" s="41" t="s">
        <v>7123</v>
      </c>
      <c r="H1573" s="41">
        <v>10</v>
      </c>
    </row>
    <row r="1574" spans="1:8" ht="16" x14ac:dyDescent="0.2">
      <c r="A1574" s="41" t="s">
        <v>1120</v>
      </c>
      <c r="B1574" s="41" t="s">
        <v>7124</v>
      </c>
      <c r="C1574" s="41" t="s">
        <v>3490</v>
      </c>
      <c r="D1574" s="42">
        <v>38708</v>
      </c>
      <c r="E1574" s="41">
        <v>10</v>
      </c>
      <c r="F1574" s="41">
        <v>1</v>
      </c>
      <c r="G1574" s="41" t="s">
        <v>7125</v>
      </c>
      <c r="H1574" s="41">
        <v>10</v>
      </c>
    </row>
    <row r="1575" spans="1:8" ht="16" x14ac:dyDescent="0.2">
      <c r="A1575" s="41" t="s">
        <v>1121</v>
      </c>
      <c r="B1575" s="41" t="s">
        <v>7126</v>
      </c>
      <c r="C1575" s="41" t="s">
        <v>3490</v>
      </c>
      <c r="D1575" s="42">
        <v>40480</v>
      </c>
      <c r="E1575" s="41">
        <v>1</v>
      </c>
      <c r="F1575" s="41">
        <v>1</v>
      </c>
      <c r="G1575" s="41" t="s">
        <v>7127</v>
      </c>
      <c r="H1575" s="41">
        <v>1</v>
      </c>
    </row>
    <row r="1576" spans="1:8" ht="16" x14ac:dyDescent="0.2">
      <c r="A1576" s="41" t="s">
        <v>7128</v>
      </c>
      <c r="B1576" s="41" t="s">
        <v>7129</v>
      </c>
      <c r="C1576" s="41" t="s">
        <v>3490</v>
      </c>
      <c r="D1576" s="42">
        <v>45469</v>
      </c>
      <c r="E1576" s="41">
        <v>10</v>
      </c>
      <c r="F1576" s="41">
        <v>1</v>
      </c>
      <c r="G1576" s="41" t="s">
        <v>7130</v>
      </c>
      <c r="H1576" s="41">
        <v>10</v>
      </c>
    </row>
    <row r="1577" spans="1:8" ht="16" x14ac:dyDescent="0.2">
      <c r="A1577" s="41" t="s">
        <v>1122</v>
      </c>
      <c r="B1577" s="41" t="s">
        <v>7131</v>
      </c>
      <c r="C1577" s="41" t="s">
        <v>3490</v>
      </c>
      <c r="D1577" s="42">
        <v>39428</v>
      </c>
      <c r="E1577" s="41">
        <v>2</v>
      </c>
      <c r="F1577" s="41">
        <v>1</v>
      </c>
      <c r="G1577" s="41" t="s">
        <v>7132</v>
      </c>
      <c r="H1577" s="41">
        <v>2</v>
      </c>
    </row>
    <row r="1578" spans="1:8" ht="16" x14ac:dyDescent="0.2">
      <c r="A1578" s="41" t="s">
        <v>7133</v>
      </c>
      <c r="B1578" s="41" t="s">
        <v>7134</v>
      </c>
      <c r="C1578" s="41" t="s">
        <v>3510</v>
      </c>
      <c r="D1578" s="42">
        <v>43000</v>
      </c>
      <c r="E1578" s="41">
        <v>10</v>
      </c>
      <c r="F1578" s="41">
        <v>1</v>
      </c>
      <c r="G1578" s="41" t="s">
        <v>7135</v>
      </c>
      <c r="H1578" s="41">
        <v>10</v>
      </c>
    </row>
    <row r="1579" spans="1:8" ht="16" x14ac:dyDescent="0.2">
      <c r="A1579" s="41" t="s">
        <v>1123</v>
      </c>
      <c r="B1579" s="41" t="s">
        <v>7136</v>
      </c>
      <c r="C1579" s="41" t="s">
        <v>3490</v>
      </c>
      <c r="D1579" s="42">
        <v>40980</v>
      </c>
      <c r="E1579" s="41">
        <v>1</v>
      </c>
      <c r="F1579" s="41">
        <v>1</v>
      </c>
      <c r="G1579" s="41" t="s">
        <v>7137</v>
      </c>
      <c r="H1579" s="41">
        <v>1</v>
      </c>
    </row>
    <row r="1580" spans="1:8" ht="16" x14ac:dyDescent="0.2">
      <c r="A1580" s="41" t="s">
        <v>7138</v>
      </c>
      <c r="B1580" s="41" t="s">
        <v>7139</v>
      </c>
      <c r="C1580" s="41" t="s">
        <v>3490</v>
      </c>
      <c r="D1580" s="42">
        <v>45041</v>
      </c>
      <c r="E1580" s="41">
        <v>10</v>
      </c>
      <c r="F1580" s="41">
        <v>1</v>
      </c>
      <c r="G1580" s="41" t="s">
        <v>7140</v>
      </c>
      <c r="H1580" s="41">
        <v>10</v>
      </c>
    </row>
    <row r="1581" spans="1:8" ht="16" x14ac:dyDescent="0.2">
      <c r="A1581" s="41" t="s">
        <v>1124</v>
      </c>
      <c r="B1581" s="41" t="s">
        <v>7141</v>
      </c>
      <c r="C1581" s="41" t="s">
        <v>3490</v>
      </c>
      <c r="D1581" s="42">
        <v>37753</v>
      </c>
      <c r="E1581" s="41">
        <v>1</v>
      </c>
      <c r="F1581" s="41">
        <v>1</v>
      </c>
      <c r="G1581" s="41" t="s">
        <v>7142</v>
      </c>
      <c r="H1581" s="41">
        <v>1</v>
      </c>
    </row>
    <row r="1582" spans="1:8" ht="16" x14ac:dyDescent="0.2">
      <c r="A1582" s="41" t="s">
        <v>1125</v>
      </c>
      <c r="B1582" s="41" t="s">
        <v>7143</v>
      </c>
      <c r="C1582" s="41" t="s">
        <v>3490</v>
      </c>
      <c r="D1582" s="42">
        <v>35032</v>
      </c>
      <c r="E1582" s="41">
        <v>10</v>
      </c>
      <c r="F1582" s="41">
        <v>1</v>
      </c>
      <c r="G1582" s="41" t="s">
        <v>7144</v>
      </c>
      <c r="H1582" s="41">
        <v>10</v>
      </c>
    </row>
    <row r="1583" spans="1:8" ht="16" x14ac:dyDescent="0.2">
      <c r="A1583" s="41" t="s">
        <v>1126</v>
      </c>
      <c r="B1583" s="41" t="s">
        <v>7145</v>
      </c>
      <c r="C1583" s="41" t="s">
        <v>3490</v>
      </c>
      <c r="D1583" s="42">
        <v>45180</v>
      </c>
      <c r="E1583" s="41">
        <v>10</v>
      </c>
      <c r="F1583" s="41">
        <v>1</v>
      </c>
      <c r="G1583" s="41" t="s">
        <v>7146</v>
      </c>
      <c r="H1583" s="41">
        <v>10</v>
      </c>
    </row>
    <row r="1584" spans="1:8" ht="16" x14ac:dyDescent="0.2">
      <c r="A1584" s="41" t="s">
        <v>1127</v>
      </c>
      <c r="B1584" s="41" t="s">
        <v>7147</v>
      </c>
      <c r="C1584" s="41" t="s">
        <v>3490</v>
      </c>
      <c r="D1584" s="42">
        <v>44663</v>
      </c>
      <c r="E1584" s="41">
        <v>10</v>
      </c>
      <c r="F1584" s="41">
        <v>1</v>
      </c>
      <c r="G1584" s="41" t="s">
        <v>7148</v>
      </c>
      <c r="H1584" s="41">
        <v>10</v>
      </c>
    </row>
    <row r="1585" spans="1:8" ht="16" x14ac:dyDescent="0.2">
      <c r="A1585" s="41" t="s">
        <v>1128</v>
      </c>
      <c r="B1585" s="41" t="s">
        <v>7149</v>
      </c>
      <c r="C1585" s="41" t="s">
        <v>3490</v>
      </c>
      <c r="D1585" s="42">
        <v>43283</v>
      </c>
      <c r="E1585" s="41">
        <v>10</v>
      </c>
      <c r="F1585" s="41">
        <v>1</v>
      </c>
      <c r="G1585" s="41" t="s">
        <v>7150</v>
      </c>
      <c r="H1585" s="41">
        <v>10</v>
      </c>
    </row>
    <row r="1586" spans="1:8" ht="16" x14ac:dyDescent="0.2">
      <c r="A1586" s="41" t="s">
        <v>7151</v>
      </c>
      <c r="B1586" s="41" t="s">
        <v>7152</v>
      </c>
      <c r="C1586" s="41" t="s">
        <v>3490</v>
      </c>
      <c r="D1586" s="42">
        <v>40539</v>
      </c>
      <c r="E1586" s="41">
        <v>10</v>
      </c>
      <c r="F1586" s="41">
        <v>1</v>
      </c>
      <c r="G1586" s="41" t="s">
        <v>7153</v>
      </c>
      <c r="H1586" s="41">
        <v>10</v>
      </c>
    </row>
    <row r="1587" spans="1:8" ht="16" x14ac:dyDescent="0.2">
      <c r="A1587" s="41" t="s">
        <v>7154</v>
      </c>
      <c r="B1587" s="41" t="s">
        <v>7155</v>
      </c>
      <c r="C1587" s="41" t="s">
        <v>3490</v>
      </c>
      <c r="D1587" s="42">
        <v>44183</v>
      </c>
      <c r="E1587" s="41">
        <v>10</v>
      </c>
      <c r="F1587" s="41">
        <v>1</v>
      </c>
      <c r="G1587" s="41" t="s">
        <v>7156</v>
      </c>
      <c r="H1587" s="41">
        <v>10</v>
      </c>
    </row>
    <row r="1588" spans="1:8" ht="16" x14ac:dyDescent="0.2">
      <c r="A1588" s="41" t="s">
        <v>1129</v>
      </c>
      <c r="B1588" s="41" t="s">
        <v>7157</v>
      </c>
      <c r="C1588" s="41" t="s">
        <v>3490</v>
      </c>
      <c r="D1588" s="42">
        <v>38112</v>
      </c>
      <c r="E1588" s="41">
        <v>2</v>
      </c>
      <c r="F1588" s="41">
        <v>1</v>
      </c>
      <c r="G1588" s="41" t="s">
        <v>7158</v>
      </c>
      <c r="H1588" s="41">
        <v>2</v>
      </c>
    </row>
    <row r="1589" spans="1:8" ht="16" x14ac:dyDescent="0.2">
      <c r="A1589" s="41" t="s">
        <v>1130</v>
      </c>
      <c r="B1589" s="41" t="s">
        <v>7159</v>
      </c>
      <c r="C1589" s="41" t="s">
        <v>3490</v>
      </c>
      <c r="D1589" s="42">
        <v>45363</v>
      </c>
      <c r="E1589" s="41">
        <v>5</v>
      </c>
      <c r="F1589" s="41">
        <v>1</v>
      </c>
      <c r="G1589" s="41" t="s">
        <v>7160</v>
      </c>
      <c r="H1589" s="41">
        <v>5</v>
      </c>
    </row>
    <row r="1590" spans="1:8" ht="16" x14ac:dyDescent="0.2">
      <c r="A1590" s="41" t="s">
        <v>7161</v>
      </c>
      <c r="B1590" s="41" t="s">
        <v>7162</v>
      </c>
      <c r="C1590" s="41" t="s">
        <v>3490</v>
      </c>
      <c r="D1590" s="42">
        <v>45868</v>
      </c>
      <c r="E1590" s="41">
        <v>10</v>
      </c>
      <c r="F1590" s="41">
        <v>1</v>
      </c>
      <c r="G1590" s="41" t="s">
        <v>7163</v>
      </c>
      <c r="H1590" s="41">
        <v>10</v>
      </c>
    </row>
    <row r="1591" spans="1:8" ht="16" x14ac:dyDescent="0.2">
      <c r="A1591" s="41" t="s">
        <v>1131</v>
      </c>
      <c r="B1591" s="41" t="s">
        <v>7164</v>
      </c>
      <c r="C1591" s="41" t="s">
        <v>3490</v>
      </c>
      <c r="D1591" s="42">
        <v>38594</v>
      </c>
      <c r="E1591" s="41">
        <v>10</v>
      </c>
      <c r="F1591" s="41">
        <v>1</v>
      </c>
      <c r="G1591" s="41" t="s">
        <v>7165</v>
      </c>
      <c r="H1591" s="41">
        <v>10</v>
      </c>
    </row>
    <row r="1592" spans="1:8" ht="16" x14ac:dyDescent="0.2">
      <c r="A1592" s="41" t="s">
        <v>1656</v>
      </c>
      <c r="B1592" s="41" t="s">
        <v>7166</v>
      </c>
      <c r="C1592" s="41" t="s">
        <v>3490</v>
      </c>
      <c r="D1592" s="42">
        <v>45904</v>
      </c>
      <c r="E1592" s="41">
        <v>2</v>
      </c>
      <c r="F1592" s="41">
        <v>1</v>
      </c>
      <c r="G1592" s="41" t="s">
        <v>7167</v>
      </c>
      <c r="H1592" s="41">
        <v>2</v>
      </c>
    </row>
    <row r="1593" spans="1:8" ht="16" x14ac:dyDescent="0.2">
      <c r="A1593" s="41" t="s">
        <v>1132</v>
      </c>
      <c r="B1593" s="41" t="s">
        <v>7168</v>
      </c>
      <c r="C1593" s="41" t="s">
        <v>3490</v>
      </c>
      <c r="D1593" s="42">
        <v>38754</v>
      </c>
      <c r="E1593" s="41">
        <v>10</v>
      </c>
      <c r="F1593" s="41">
        <v>1</v>
      </c>
      <c r="G1593" s="41" t="s">
        <v>7169</v>
      </c>
      <c r="H1593" s="41">
        <v>10</v>
      </c>
    </row>
    <row r="1594" spans="1:8" ht="16" x14ac:dyDescent="0.2">
      <c r="A1594" s="41" t="s">
        <v>1133</v>
      </c>
      <c r="B1594" s="41" t="s">
        <v>7170</v>
      </c>
      <c r="C1594" s="41" t="s">
        <v>3490</v>
      </c>
      <c r="D1594" s="42">
        <v>44417</v>
      </c>
      <c r="E1594" s="41">
        <v>10</v>
      </c>
      <c r="F1594" s="41">
        <v>1</v>
      </c>
      <c r="G1594" s="41" t="s">
        <v>7171</v>
      </c>
      <c r="H1594" s="41">
        <v>10</v>
      </c>
    </row>
    <row r="1595" spans="1:8" ht="16" x14ac:dyDescent="0.2">
      <c r="A1595" s="41" t="s">
        <v>7172</v>
      </c>
      <c r="B1595" s="41" t="s">
        <v>7173</v>
      </c>
      <c r="C1595" s="41" t="s">
        <v>3510</v>
      </c>
      <c r="D1595" s="42">
        <v>42696</v>
      </c>
      <c r="E1595" s="41">
        <v>1</v>
      </c>
      <c r="F1595" s="41">
        <v>1</v>
      </c>
      <c r="G1595" s="41" t="s">
        <v>7174</v>
      </c>
      <c r="H1595" s="41">
        <v>1</v>
      </c>
    </row>
    <row r="1596" spans="1:8" ht="16" x14ac:dyDescent="0.2">
      <c r="A1596" s="41" t="s">
        <v>7175</v>
      </c>
      <c r="B1596" s="41" t="s">
        <v>7176</v>
      </c>
      <c r="C1596" s="41" t="s">
        <v>3797</v>
      </c>
      <c r="D1596" s="42">
        <v>34759</v>
      </c>
      <c r="E1596" s="41">
        <v>10</v>
      </c>
      <c r="F1596" s="41">
        <v>1</v>
      </c>
      <c r="G1596" s="41" t="s">
        <v>7177</v>
      </c>
      <c r="H1596" s="41">
        <v>10</v>
      </c>
    </row>
    <row r="1597" spans="1:8" ht="16" x14ac:dyDescent="0.2">
      <c r="A1597" s="41" t="s">
        <v>7178</v>
      </c>
      <c r="B1597" s="41" t="s">
        <v>7179</v>
      </c>
      <c r="C1597" s="41" t="s">
        <v>3510</v>
      </c>
      <c r="D1597" s="42">
        <v>44110</v>
      </c>
      <c r="E1597" s="41">
        <v>10</v>
      </c>
      <c r="F1597" s="41">
        <v>1</v>
      </c>
      <c r="G1597" s="41" t="s">
        <v>7180</v>
      </c>
      <c r="H1597" s="41">
        <v>10</v>
      </c>
    </row>
    <row r="1598" spans="1:8" ht="16" x14ac:dyDescent="0.2">
      <c r="A1598" s="41" t="s">
        <v>1134</v>
      </c>
      <c r="B1598" s="41" t="s">
        <v>7181</v>
      </c>
      <c r="C1598" s="41" t="s">
        <v>3490</v>
      </c>
      <c r="D1598" s="42">
        <v>44035</v>
      </c>
      <c r="E1598" s="41">
        <v>2</v>
      </c>
      <c r="F1598" s="41">
        <v>1</v>
      </c>
      <c r="G1598" s="41" t="s">
        <v>7182</v>
      </c>
      <c r="H1598" s="41">
        <v>2</v>
      </c>
    </row>
    <row r="1599" spans="1:8" ht="16" x14ac:dyDescent="0.2">
      <c r="A1599" s="41" t="s">
        <v>1135</v>
      </c>
      <c r="B1599" s="41" t="s">
        <v>7183</v>
      </c>
      <c r="C1599" s="41" t="s">
        <v>3490</v>
      </c>
      <c r="D1599" s="42">
        <v>41177</v>
      </c>
      <c r="E1599" s="41">
        <v>2</v>
      </c>
      <c r="F1599" s="41">
        <v>1</v>
      </c>
      <c r="G1599" s="41" t="s">
        <v>7184</v>
      </c>
      <c r="H1599" s="41">
        <v>2</v>
      </c>
    </row>
    <row r="1600" spans="1:8" ht="16" x14ac:dyDescent="0.2">
      <c r="A1600" s="41" t="s">
        <v>7185</v>
      </c>
      <c r="B1600" s="41" t="s">
        <v>7186</v>
      </c>
      <c r="C1600" s="41" t="s">
        <v>3490</v>
      </c>
      <c r="D1600" s="42">
        <v>45635</v>
      </c>
      <c r="E1600" s="41">
        <v>2</v>
      </c>
      <c r="F1600" s="41">
        <v>1</v>
      </c>
      <c r="G1600" s="41" t="s">
        <v>7187</v>
      </c>
      <c r="H1600" s="41">
        <v>2</v>
      </c>
    </row>
    <row r="1601" spans="1:8" ht="16" x14ac:dyDescent="0.2">
      <c r="A1601" s="41" t="s">
        <v>1136</v>
      </c>
      <c r="B1601" s="41" t="s">
        <v>7188</v>
      </c>
      <c r="C1601" s="41" t="s">
        <v>3490</v>
      </c>
      <c r="D1601" s="42">
        <v>44672</v>
      </c>
      <c r="E1601" s="41">
        <v>1</v>
      </c>
      <c r="F1601" s="41">
        <v>1</v>
      </c>
      <c r="G1601" s="41" t="s">
        <v>7189</v>
      </c>
      <c r="H1601" s="41">
        <v>1</v>
      </c>
    </row>
    <row r="1602" spans="1:8" ht="16" x14ac:dyDescent="0.2">
      <c r="A1602" s="41" t="s">
        <v>1137</v>
      </c>
      <c r="B1602" s="41" t="s">
        <v>7190</v>
      </c>
      <c r="C1602" s="41" t="s">
        <v>3490</v>
      </c>
      <c r="D1602" s="42">
        <v>44095</v>
      </c>
      <c r="E1602" s="41">
        <v>10</v>
      </c>
      <c r="F1602" s="41">
        <v>1</v>
      </c>
      <c r="G1602" s="41" t="s">
        <v>7191</v>
      </c>
      <c r="H1602" s="41">
        <v>10</v>
      </c>
    </row>
    <row r="1603" spans="1:8" ht="16" x14ac:dyDescent="0.2">
      <c r="A1603" s="41" t="s">
        <v>7192</v>
      </c>
      <c r="B1603" s="41" t="s">
        <v>7193</v>
      </c>
      <c r="C1603" s="41" t="s">
        <v>3490</v>
      </c>
      <c r="D1603" s="42">
        <v>45512</v>
      </c>
      <c r="E1603" s="41">
        <v>10</v>
      </c>
      <c r="F1603" s="41">
        <v>1</v>
      </c>
      <c r="G1603" s="41" t="s">
        <v>7194</v>
      </c>
      <c r="H1603" s="41">
        <v>10</v>
      </c>
    </row>
    <row r="1604" spans="1:8" ht="16" x14ac:dyDescent="0.2">
      <c r="A1604" s="41" t="s">
        <v>1138</v>
      </c>
      <c r="B1604" s="41" t="s">
        <v>7195</v>
      </c>
      <c r="C1604" s="41" t="s">
        <v>3490</v>
      </c>
      <c r="D1604" s="42">
        <v>39609</v>
      </c>
      <c r="E1604" s="41">
        <v>8</v>
      </c>
      <c r="F1604" s="41">
        <v>1</v>
      </c>
      <c r="G1604" s="41" t="s">
        <v>7196</v>
      </c>
      <c r="H1604" s="41">
        <v>8</v>
      </c>
    </row>
    <row r="1605" spans="1:8" ht="16" x14ac:dyDescent="0.2">
      <c r="A1605" s="41" t="s">
        <v>1139</v>
      </c>
      <c r="B1605" s="41" t="s">
        <v>7197</v>
      </c>
      <c r="C1605" s="41" t="s">
        <v>3510</v>
      </c>
      <c r="D1605" s="42">
        <v>39489</v>
      </c>
      <c r="E1605" s="41">
        <v>10</v>
      </c>
      <c r="F1605" s="41">
        <v>1</v>
      </c>
      <c r="G1605" s="41" t="s">
        <v>7198</v>
      </c>
      <c r="H1605" s="41">
        <v>10</v>
      </c>
    </row>
    <row r="1606" spans="1:8" ht="16" x14ac:dyDescent="0.2">
      <c r="A1606" s="41" t="s">
        <v>1140</v>
      </c>
      <c r="B1606" s="41" t="s">
        <v>7199</v>
      </c>
      <c r="C1606" s="41" t="s">
        <v>3490</v>
      </c>
      <c r="D1606" s="42">
        <v>40518</v>
      </c>
      <c r="E1606" s="41">
        <v>10</v>
      </c>
      <c r="F1606" s="41">
        <v>1</v>
      </c>
      <c r="G1606" s="41" t="s">
        <v>7200</v>
      </c>
      <c r="H1606" s="41">
        <v>10</v>
      </c>
    </row>
    <row r="1607" spans="1:8" ht="16" x14ac:dyDescent="0.2">
      <c r="A1607" s="41" t="s">
        <v>7201</v>
      </c>
      <c r="B1607" s="41" t="s">
        <v>7202</v>
      </c>
      <c r="C1607" s="41" t="s">
        <v>3490</v>
      </c>
      <c r="D1607" s="42">
        <v>44526</v>
      </c>
      <c r="E1607" s="41">
        <v>5</v>
      </c>
      <c r="F1607" s="41">
        <v>1</v>
      </c>
      <c r="G1607" s="41" t="s">
        <v>7203</v>
      </c>
      <c r="H1607" s="41">
        <v>5</v>
      </c>
    </row>
    <row r="1608" spans="1:8" ht="16" x14ac:dyDescent="0.2">
      <c r="A1608" s="41" t="s">
        <v>1141</v>
      </c>
      <c r="B1608" s="41" t="s">
        <v>7204</v>
      </c>
      <c r="C1608" s="41" t="s">
        <v>3490</v>
      </c>
      <c r="D1608" s="42">
        <v>43490</v>
      </c>
      <c r="E1608" s="41">
        <v>10</v>
      </c>
      <c r="F1608" s="41">
        <v>1</v>
      </c>
      <c r="G1608" s="41" t="s">
        <v>7205</v>
      </c>
      <c r="H1608" s="41">
        <v>10</v>
      </c>
    </row>
    <row r="1609" spans="1:8" ht="16" x14ac:dyDescent="0.2">
      <c r="A1609" s="41" t="s">
        <v>1142</v>
      </c>
      <c r="B1609" s="41" t="s">
        <v>7206</v>
      </c>
      <c r="C1609" s="41" t="s">
        <v>3490</v>
      </c>
      <c r="D1609" s="42">
        <v>45336</v>
      </c>
      <c r="E1609" s="41">
        <v>5</v>
      </c>
      <c r="F1609" s="41">
        <v>1</v>
      </c>
      <c r="G1609" s="41" t="s">
        <v>7207</v>
      </c>
      <c r="H1609" s="41">
        <v>5</v>
      </c>
    </row>
    <row r="1610" spans="1:8" ht="16" x14ac:dyDescent="0.2">
      <c r="A1610" s="41" t="s">
        <v>1143</v>
      </c>
      <c r="B1610" s="41" t="s">
        <v>7208</v>
      </c>
      <c r="C1610" s="41" t="s">
        <v>3490</v>
      </c>
      <c r="D1610" s="42">
        <v>45189</v>
      </c>
      <c r="E1610" s="41">
        <v>5</v>
      </c>
      <c r="F1610" s="41">
        <v>1</v>
      </c>
      <c r="G1610" s="41" t="s">
        <v>7209</v>
      </c>
      <c r="H1610" s="41">
        <v>5</v>
      </c>
    </row>
    <row r="1611" spans="1:8" ht="16" x14ac:dyDescent="0.2">
      <c r="A1611" s="41" t="s">
        <v>1144</v>
      </c>
      <c r="B1611" s="41" t="s">
        <v>7210</v>
      </c>
      <c r="C1611" s="41" t="s">
        <v>3510</v>
      </c>
      <c r="D1611" s="42">
        <v>36299</v>
      </c>
      <c r="E1611" s="41">
        <v>5</v>
      </c>
      <c r="F1611" s="41">
        <v>1</v>
      </c>
      <c r="G1611" s="41" t="s">
        <v>7211</v>
      </c>
      <c r="H1611" s="41">
        <v>5</v>
      </c>
    </row>
    <row r="1612" spans="1:8" ht="16" x14ac:dyDescent="0.2">
      <c r="A1612" s="41" t="s">
        <v>1145</v>
      </c>
      <c r="B1612" s="41" t="s">
        <v>7212</v>
      </c>
      <c r="C1612" s="41" t="s">
        <v>3490</v>
      </c>
      <c r="D1612" s="42">
        <v>34745</v>
      </c>
      <c r="E1612" s="41">
        <v>10</v>
      </c>
      <c r="F1612" s="41">
        <v>1</v>
      </c>
      <c r="G1612" s="41" t="s">
        <v>7213</v>
      </c>
      <c r="H1612" s="41">
        <v>10</v>
      </c>
    </row>
    <row r="1613" spans="1:8" ht="16" x14ac:dyDescent="0.2">
      <c r="A1613" s="41" t="s">
        <v>1146</v>
      </c>
      <c r="B1613" s="41" t="s">
        <v>7214</v>
      </c>
      <c r="C1613" s="41" t="s">
        <v>3490</v>
      </c>
      <c r="D1613" s="42">
        <v>38833</v>
      </c>
      <c r="E1613" s="41">
        <v>1</v>
      </c>
      <c r="F1613" s="41">
        <v>1</v>
      </c>
      <c r="G1613" s="41" t="s">
        <v>7215</v>
      </c>
      <c r="H1613" s="41">
        <v>1</v>
      </c>
    </row>
    <row r="1614" spans="1:8" ht="16" x14ac:dyDescent="0.2">
      <c r="A1614" s="41" t="s">
        <v>1147</v>
      </c>
      <c r="B1614" s="41" t="s">
        <v>7216</v>
      </c>
      <c r="C1614" s="41" t="s">
        <v>3490</v>
      </c>
      <c r="D1614" s="42">
        <v>41120</v>
      </c>
      <c r="E1614" s="41">
        <v>2</v>
      </c>
      <c r="F1614" s="41">
        <v>1</v>
      </c>
      <c r="G1614" s="41" t="s">
        <v>7217</v>
      </c>
      <c r="H1614" s="41">
        <v>2</v>
      </c>
    </row>
    <row r="1615" spans="1:8" ht="16" x14ac:dyDescent="0.2">
      <c r="A1615" s="41" t="s">
        <v>1148</v>
      </c>
      <c r="B1615" s="41" t="s">
        <v>7218</v>
      </c>
      <c r="C1615" s="41" t="s">
        <v>3490</v>
      </c>
      <c r="D1615" s="42">
        <v>40116</v>
      </c>
      <c r="E1615" s="41">
        <v>10</v>
      </c>
      <c r="F1615" s="41">
        <v>1</v>
      </c>
      <c r="G1615" s="41" t="s">
        <v>7219</v>
      </c>
      <c r="H1615" s="41">
        <v>10</v>
      </c>
    </row>
    <row r="1616" spans="1:8" ht="16" x14ac:dyDescent="0.2">
      <c r="A1616" s="41" t="s">
        <v>7220</v>
      </c>
      <c r="B1616" s="41" t="s">
        <v>7221</v>
      </c>
      <c r="C1616" s="41" t="s">
        <v>3490</v>
      </c>
      <c r="D1616" s="42">
        <v>45512</v>
      </c>
      <c r="E1616" s="41">
        <v>5</v>
      </c>
      <c r="F1616" s="41">
        <v>1</v>
      </c>
      <c r="G1616" s="41" t="s">
        <v>7222</v>
      </c>
      <c r="H1616" s="41">
        <v>5</v>
      </c>
    </row>
    <row r="1617" spans="1:8" ht="16" x14ac:dyDescent="0.2">
      <c r="A1617" s="41" t="s">
        <v>1149</v>
      </c>
      <c r="B1617" s="41" t="s">
        <v>7223</v>
      </c>
      <c r="C1617" s="41" t="s">
        <v>3490</v>
      </c>
      <c r="D1617" s="42">
        <v>34787</v>
      </c>
      <c r="E1617" s="41">
        <v>5</v>
      </c>
      <c r="F1617" s="41">
        <v>1</v>
      </c>
      <c r="G1617" s="41" t="s">
        <v>7224</v>
      </c>
      <c r="H1617" s="41">
        <v>5</v>
      </c>
    </row>
    <row r="1618" spans="1:8" ht="16" x14ac:dyDescent="0.2">
      <c r="A1618" s="41" t="s">
        <v>7225</v>
      </c>
      <c r="B1618" s="41" t="s">
        <v>7226</v>
      </c>
      <c r="C1618" s="41" t="s">
        <v>3510</v>
      </c>
      <c r="D1618" s="42">
        <v>35354</v>
      </c>
      <c r="E1618" s="41">
        <v>1</v>
      </c>
      <c r="F1618" s="41">
        <v>1</v>
      </c>
      <c r="G1618" s="41" t="s">
        <v>7227</v>
      </c>
      <c r="H1618" s="41">
        <v>1</v>
      </c>
    </row>
    <row r="1619" spans="1:8" ht="16" x14ac:dyDescent="0.2">
      <c r="A1619" s="41" t="s">
        <v>7228</v>
      </c>
      <c r="B1619" s="41" t="s">
        <v>7229</v>
      </c>
      <c r="C1619" s="41" t="s">
        <v>3490</v>
      </c>
      <c r="D1619" s="42">
        <v>39071</v>
      </c>
      <c r="E1619" s="41">
        <v>10</v>
      </c>
      <c r="F1619" s="41">
        <v>1</v>
      </c>
      <c r="G1619" s="41" t="s">
        <v>7230</v>
      </c>
      <c r="H1619" s="41">
        <v>10</v>
      </c>
    </row>
    <row r="1620" spans="1:8" ht="16" x14ac:dyDescent="0.2">
      <c r="A1620" s="41" t="s">
        <v>1150</v>
      </c>
      <c r="B1620" s="41" t="s">
        <v>7231</v>
      </c>
      <c r="C1620" s="41" t="s">
        <v>3490</v>
      </c>
      <c r="D1620" s="42">
        <v>40884</v>
      </c>
      <c r="E1620" s="41">
        <v>1</v>
      </c>
      <c r="F1620" s="41">
        <v>1</v>
      </c>
      <c r="G1620" s="41" t="s">
        <v>7232</v>
      </c>
      <c r="H1620" s="41">
        <v>1</v>
      </c>
    </row>
    <row r="1621" spans="1:8" ht="16" x14ac:dyDescent="0.2">
      <c r="A1621" s="41" t="s">
        <v>1151</v>
      </c>
      <c r="B1621" s="41" t="s">
        <v>7233</v>
      </c>
      <c r="C1621" s="41" t="s">
        <v>3490</v>
      </c>
      <c r="D1621" s="42">
        <v>40731</v>
      </c>
      <c r="E1621" s="41">
        <v>1</v>
      </c>
      <c r="F1621" s="41">
        <v>1</v>
      </c>
      <c r="G1621" s="41" t="s">
        <v>7234</v>
      </c>
      <c r="H1621" s="41">
        <v>1</v>
      </c>
    </row>
    <row r="1622" spans="1:8" ht="16" x14ac:dyDescent="0.2">
      <c r="A1622" s="41" t="s">
        <v>1152</v>
      </c>
      <c r="B1622" s="41" t="s">
        <v>7235</v>
      </c>
      <c r="C1622" s="41" t="s">
        <v>3490</v>
      </c>
      <c r="D1622" s="42">
        <v>44889</v>
      </c>
      <c r="E1622" s="41">
        <v>10</v>
      </c>
      <c r="F1622" s="41">
        <v>1</v>
      </c>
      <c r="G1622" s="41" t="s">
        <v>7236</v>
      </c>
      <c r="H1622" s="41">
        <v>10</v>
      </c>
    </row>
    <row r="1623" spans="1:8" ht="16" x14ac:dyDescent="0.2">
      <c r="A1623" s="41" t="s">
        <v>7237</v>
      </c>
      <c r="B1623" s="41" t="s">
        <v>7238</v>
      </c>
      <c r="C1623" s="41" t="s">
        <v>3490</v>
      </c>
      <c r="D1623" s="42">
        <v>44183</v>
      </c>
      <c r="E1623" s="41">
        <v>1</v>
      </c>
      <c r="F1623" s="41">
        <v>1</v>
      </c>
      <c r="G1623" s="41" t="s">
        <v>7239</v>
      </c>
      <c r="H1623" s="41">
        <v>1</v>
      </c>
    </row>
    <row r="1624" spans="1:8" ht="16" x14ac:dyDescent="0.2">
      <c r="A1624" s="41" t="s">
        <v>1153</v>
      </c>
      <c r="B1624" s="41" t="s">
        <v>7240</v>
      </c>
      <c r="C1624" s="41" t="s">
        <v>3490</v>
      </c>
      <c r="D1624" s="42">
        <v>43566</v>
      </c>
      <c r="E1624" s="41">
        <v>10</v>
      </c>
      <c r="F1624" s="41">
        <v>1</v>
      </c>
      <c r="G1624" s="41" t="s">
        <v>7241</v>
      </c>
      <c r="H1624" s="41">
        <v>10</v>
      </c>
    </row>
    <row r="1625" spans="1:8" ht="16" x14ac:dyDescent="0.2">
      <c r="A1625" s="41" t="s">
        <v>7242</v>
      </c>
      <c r="B1625" s="41" t="s">
        <v>7243</v>
      </c>
      <c r="C1625" s="41" t="s">
        <v>3490</v>
      </c>
      <c r="D1625" s="42">
        <v>45546</v>
      </c>
      <c r="E1625" s="41">
        <v>10</v>
      </c>
      <c r="F1625" s="41">
        <v>1</v>
      </c>
      <c r="G1625" s="41" t="s">
        <v>7244</v>
      </c>
      <c r="H1625" s="41">
        <v>10</v>
      </c>
    </row>
    <row r="1626" spans="1:8" ht="16" x14ac:dyDescent="0.2">
      <c r="A1626" s="41" t="s">
        <v>7245</v>
      </c>
      <c r="B1626" s="41" t="s">
        <v>7246</v>
      </c>
      <c r="C1626" s="41" t="s">
        <v>3510</v>
      </c>
      <c r="D1626" s="42">
        <v>34969</v>
      </c>
      <c r="E1626" s="41">
        <v>10</v>
      </c>
      <c r="F1626" s="41">
        <v>1</v>
      </c>
      <c r="G1626" s="41" t="s">
        <v>7247</v>
      </c>
      <c r="H1626" s="41">
        <v>10</v>
      </c>
    </row>
    <row r="1627" spans="1:8" ht="16" x14ac:dyDescent="0.2">
      <c r="A1627" s="41" t="s">
        <v>7248</v>
      </c>
      <c r="B1627" s="41" t="s">
        <v>7249</v>
      </c>
      <c r="C1627" s="41" t="s">
        <v>3510</v>
      </c>
      <c r="D1627" s="42">
        <v>42628</v>
      </c>
      <c r="E1627" s="41">
        <v>10</v>
      </c>
      <c r="F1627" s="41">
        <v>1</v>
      </c>
      <c r="G1627" s="41" t="s">
        <v>7250</v>
      </c>
      <c r="H1627" s="41">
        <v>10</v>
      </c>
    </row>
    <row r="1628" spans="1:8" ht="16" x14ac:dyDescent="0.2">
      <c r="A1628" s="41" t="s">
        <v>7251</v>
      </c>
      <c r="B1628" s="41" t="s">
        <v>7252</v>
      </c>
      <c r="C1628" s="41" t="s">
        <v>3510</v>
      </c>
      <c r="D1628" s="42">
        <v>45383</v>
      </c>
      <c r="E1628" s="41">
        <v>10</v>
      </c>
      <c r="F1628" s="41">
        <v>1</v>
      </c>
      <c r="G1628" s="41" t="s">
        <v>7253</v>
      </c>
      <c r="H1628" s="41">
        <v>10</v>
      </c>
    </row>
    <row r="1629" spans="1:8" ht="16" x14ac:dyDescent="0.2">
      <c r="A1629" s="41" t="s">
        <v>1155</v>
      </c>
      <c r="B1629" s="41" t="s">
        <v>7254</v>
      </c>
      <c r="C1629" s="41" t="s">
        <v>3490</v>
      </c>
      <c r="D1629" s="42">
        <v>38777</v>
      </c>
      <c r="E1629" s="41">
        <v>1</v>
      </c>
      <c r="F1629" s="41">
        <v>1</v>
      </c>
      <c r="G1629" s="41" t="s">
        <v>7255</v>
      </c>
      <c r="H1629" s="41">
        <v>1</v>
      </c>
    </row>
    <row r="1630" spans="1:8" ht="16" x14ac:dyDescent="0.2">
      <c r="A1630" s="41" t="s">
        <v>7256</v>
      </c>
      <c r="B1630" s="41" t="s">
        <v>7257</v>
      </c>
      <c r="C1630" s="41" t="s">
        <v>3510</v>
      </c>
      <c r="D1630" s="42">
        <v>42263</v>
      </c>
      <c r="E1630" s="41">
        <v>10</v>
      </c>
      <c r="F1630" s="41">
        <v>1</v>
      </c>
      <c r="G1630" s="41" t="s">
        <v>7258</v>
      </c>
      <c r="H1630" s="41">
        <v>10</v>
      </c>
    </row>
    <row r="1631" spans="1:8" ht="16" x14ac:dyDescent="0.2">
      <c r="A1631" s="41" t="s">
        <v>1156</v>
      </c>
      <c r="B1631" s="41" t="s">
        <v>7259</v>
      </c>
      <c r="C1631" s="41" t="s">
        <v>3510</v>
      </c>
      <c r="D1631" s="42">
        <v>45051</v>
      </c>
      <c r="E1631" s="41">
        <v>1</v>
      </c>
      <c r="F1631" s="41">
        <v>1</v>
      </c>
      <c r="G1631" s="41" t="s">
        <v>7260</v>
      </c>
      <c r="H1631" s="41">
        <v>1</v>
      </c>
    </row>
    <row r="1632" spans="1:8" ht="16" x14ac:dyDescent="0.2">
      <c r="A1632" s="41" t="s">
        <v>1157</v>
      </c>
      <c r="B1632" s="41" t="s">
        <v>7261</v>
      </c>
      <c r="C1632" s="41" t="s">
        <v>3490</v>
      </c>
      <c r="D1632" s="42">
        <v>43720</v>
      </c>
      <c r="E1632" s="41">
        <v>2</v>
      </c>
      <c r="F1632" s="41">
        <v>1</v>
      </c>
      <c r="G1632" s="41" t="s">
        <v>7262</v>
      </c>
      <c r="H1632" s="41">
        <v>2</v>
      </c>
    </row>
    <row r="1633" spans="1:8" ht="16" x14ac:dyDescent="0.2">
      <c r="A1633" s="41" t="s">
        <v>7263</v>
      </c>
      <c r="B1633" s="41" t="s">
        <v>7264</v>
      </c>
      <c r="C1633" s="41" t="s">
        <v>3490</v>
      </c>
      <c r="D1633" s="42">
        <v>43490</v>
      </c>
      <c r="E1633" s="41">
        <v>10</v>
      </c>
      <c r="F1633" s="41">
        <v>1</v>
      </c>
      <c r="G1633" s="41" t="s">
        <v>7265</v>
      </c>
      <c r="H1633" s="41">
        <v>10</v>
      </c>
    </row>
    <row r="1634" spans="1:8" ht="16" x14ac:dyDescent="0.2">
      <c r="A1634" s="41" t="s">
        <v>1158</v>
      </c>
      <c r="B1634" s="41" t="s">
        <v>7266</v>
      </c>
      <c r="C1634" s="41" t="s">
        <v>3490</v>
      </c>
      <c r="D1634" s="42">
        <v>39111</v>
      </c>
      <c r="E1634" s="41">
        <v>2</v>
      </c>
      <c r="F1634" s="41">
        <v>1</v>
      </c>
      <c r="G1634" s="41" t="s">
        <v>7267</v>
      </c>
      <c r="H1634" s="41">
        <v>2</v>
      </c>
    </row>
    <row r="1635" spans="1:8" ht="16" x14ac:dyDescent="0.2">
      <c r="A1635" s="41" t="s">
        <v>7268</v>
      </c>
      <c r="B1635" s="41" t="s">
        <v>7269</v>
      </c>
      <c r="C1635" s="41" t="s">
        <v>3490</v>
      </c>
      <c r="D1635" s="42">
        <v>45608</v>
      </c>
      <c r="E1635" s="41">
        <v>10</v>
      </c>
      <c r="F1635" s="41">
        <v>1</v>
      </c>
      <c r="G1635" s="41" t="s">
        <v>7270</v>
      </c>
      <c r="H1635" s="41">
        <v>10</v>
      </c>
    </row>
    <row r="1636" spans="1:8" ht="16" x14ac:dyDescent="0.2">
      <c r="A1636" s="41" t="s">
        <v>7271</v>
      </c>
      <c r="B1636" s="41" t="s">
        <v>7272</v>
      </c>
      <c r="C1636" s="41" t="s">
        <v>3490</v>
      </c>
      <c r="D1636" s="42">
        <v>45022</v>
      </c>
      <c r="E1636" s="41">
        <v>10</v>
      </c>
      <c r="F1636" s="41">
        <v>1</v>
      </c>
      <c r="G1636" s="41" t="s">
        <v>7273</v>
      </c>
      <c r="H1636" s="41">
        <v>10</v>
      </c>
    </row>
    <row r="1637" spans="1:8" ht="16" x14ac:dyDescent="0.2">
      <c r="A1637" s="41" t="s">
        <v>1160</v>
      </c>
      <c r="B1637" s="41" t="s">
        <v>7274</v>
      </c>
      <c r="C1637" s="41" t="s">
        <v>3490</v>
      </c>
      <c r="D1637" s="42">
        <v>34886</v>
      </c>
      <c r="E1637" s="41">
        <v>10</v>
      </c>
      <c r="F1637" s="41">
        <v>1</v>
      </c>
      <c r="G1637" s="41" t="s">
        <v>7275</v>
      </c>
      <c r="H1637" s="41">
        <v>10</v>
      </c>
    </row>
    <row r="1638" spans="1:8" ht="16" x14ac:dyDescent="0.2">
      <c r="A1638" s="41" t="s">
        <v>7276</v>
      </c>
      <c r="B1638" s="41" t="s">
        <v>7277</v>
      </c>
      <c r="C1638" s="41" t="s">
        <v>3490</v>
      </c>
      <c r="D1638" s="42">
        <v>45644</v>
      </c>
      <c r="E1638" s="41">
        <v>1</v>
      </c>
      <c r="F1638" s="41">
        <v>1</v>
      </c>
      <c r="G1638" s="41" t="s">
        <v>7278</v>
      </c>
      <c r="H1638" s="41">
        <v>1</v>
      </c>
    </row>
    <row r="1639" spans="1:8" ht="16" x14ac:dyDescent="0.2">
      <c r="A1639" s="41" t="s">
        <v>1161</v>
      </c>
      <c r="B1639" s="41" t="s">
        <v>7279</v>
      </c>
      <c r="C1639" s="41" t="s">
        <v>3510</v>
      </c>
      <c r="D1639" s="42">
        <v>43566</v>
      </c>
      <c r="E1639" s="41">
        <v>10</v>
      </c>
      <c r="F1639" s="41">
        <v>1</v>
      </c>
      <c r="G1639" s="41" t="s">
        <v>7280</v>
      </c>
      <c r="H1639" s="41">
        <v>10</v>
      </c>
    </row>
    <row r="1640" spans="1:8" ht="16" x14ac:dyDescent="0.2">
      <c r="A1640" s="41" t="s">
        <v>7281</v>
      </c>
      <c r="B1640" s="41" t="s">
        <v>7282</v>
      </c>
      <c r="C1640" s="41" t="s">
        <v>3490</v>
      </c>
      <c r="D1640" s="42">
        <v>34948</v>
      </c>
      <c r="E1640" s="41">
        <v>10</v>
      </c>
      <c r="F1640" s="41">
        <v>1</v>
      </c>
      <c r="G1640" s="41" t="s">
        <v>7283</v>
      </c>
      <c r="H1640" s="41">
        <v>10</v>
      </c>
    </row>
    <row r="1641" spans="1:8" ht="16" x14ac:dyDescent="0.2">
      <c r="A1641" s="41" t="s">
        <v>1162</v>
      </c>
      <c r="B1641" s="41" t="s">
        <v>7284</v>
      </c>
      <c r="C1641" s="41" t="s">
        <v>3490</v>
      </c>
      <c r="D1641" s="42">
        <v>38481</v>
      </c>
      <c r="E1641" s="41">
        <v>1</v>
      </c>
      <c r="F1641" s="41">
        <v>1</v>
      </c>
      <c r="G1641" s="41" t="s">
        <v>7285</v>
      </c>
      <c r="H1641" s="41">
        <v>1</v>
      </c>
    </row>
    <row r="1642" spans="1:8" ht="16" x14ac:dyDescent="0.2">
      <c r="A1642" s="41" t="s">
        <v>1163</v>
      </c>
      <c r="B1642" s="41" t="s">
        <v>7286</v>
      </c>
      <c r="C1642" s="41" t="s">
        <v>3490</v>
      </c>
      <c r="D1642" s="42">
        <v>38784</v>
      </c>
      <c r="E1642" s="41">
        <v>1</v>
      </c>
      <c r="F1642" s="41">
        <v>1</v>
      </c>
      <c r="G1642" s="41" t="s">
        <v>7287</v>
      </c>
      <c r="H1642" s="41">
        <v>1</v>
      </c>
    </row>
    <row r="1643" spans="1:8" ht="16" x14ac:dyDescent="0.2">
      <c r="A1643" s="41" t="s">
        <v>1164</v>
      </c>
      <c r="B1643" s="41" t="s">
        <v>7288</v>
      </c>
      <c r="C1643" s="41" t="s">
        <v>3490</v>
      </c>
      <c r="D1643" s="42">
        <v>42941</v>
      </c>
      <c r="E1643" s="41">
        <v>1</v>
      </c>
      <c r="F1643" s="41">
        <v>1</v>
      </c>
      <c r="G1643" s="41" t="s">
        <v>7289</v>
      </c>
      <c r="H1643" s="41">
        <v>1</v>
      </c>
    </row>
    <row r="1644" spans="1:8" ht="16" x14ac:dyDescent="0.2">
      <c r="A1644" s="41" t="s">
        <v>7290</v>
      </c>
      <c r="B1644" s="41" t="s">
        <v>7291</v>
      </c>
      <c r="C1644" s="41" t="s">
        <v>3490</v>
      </c>
      <c r="D1644" s="42">
        <v>42537</v>
      </c>
      <c r="E1644" s="41">
        <v>10</v>
      </c>
      <c r="F1644" s="41">
        <v>1</v>
      </c>
      <c r="G1644" s="41" t="s">
        <v>7292</v>
      </c>
      <c r="H1644" s="41">
        <v>10</v>
      </c>
    </row>
    <row r="1645" spans="1:8" ht="16" x14ac:dyDescent="0.2">
      <c r="A1645" s="41" t="s">
        <v>7293</v>
      </c>
      <c r="B1645" s="41" t="s">
        <v>7294</v>
      </c>
      <c r="C1645" s="41" t="s">
        <v>3490</v>
      </c>
      <c r="D1645" s="42">
        <v>38315</v>
      </c>
      <c r="E1645" s="41">
        <v>10</v>
      </c>
      <c r="F1645" s="41">
        <v>1</v>
      </c>
      <c r="G1645" s="41" t="s">
        <v>7295</v>
      </c>
      <c r="H1645" s="41">
        <v>10</v>
      </c>
    </row>
    <row r="1646" spans="1:8" ht="16" x14ac:dyDescent="0.2">
      <c r="A1646" s="41" t="s">
        <v>1165</v>
      </c>
      <c r="B1646" s="41" t="s">
        <v>7296</v>
      </c>
      <c r="C1646" s="41" t="s">
        <v>3490</v>
      </c>
      <c r="D1646" s="42">
        <v>42340</v>
      </c>
      <c r="E1646" s="41">
        <v>10</v>
      </c>
      <c r="F1646" s="41">
        <v>1</v>
      </c>
      <c r="G1646" s="41" t="s">
        <v>7297</v>
      </c>
      <c r="H1646" s="41">
        <v>10</v>
      </c>
    </row>
    <row r="1647" spans="1:8" ht="16" x14ac:dyDescent="0.2">
      <c r="A1647" s="41" t="s">
        <v>7298</v>
      </c>
      <c r="B1647" s="41" t="s">
        <v>7299</v>
      </c>
      <c r="C1647" s="41" t="s">
        <v>3490</v>
      </c>
      <c r="D1647" s="42">
        <v>35221</v>
      </c>
      <c r="E1647" s="41">
        <v>1</v>
      </c>
      <c r="F1647" s="41">
        <v>1</v>
      </c>
      <c r="G1647" s="41" t="s">
        <v>7300</v>
      </c>
      <c r="H1647" s="41">
        <v>1</v>
      </c>
    </row>
    <row r="1648" spans="1:8" ht="16" x14ac:dyDescent="0.2">
      <c r="A1648" s="41" t="s">
        <v>7301</v>
      </c>
      <c r="B1648" s="41" t="s">
        <v>7302</v>
      </c>
      <c r="C1648" s="41" t="s">
        <v>3490</v>
      </c>
      <c r="D1648" s="42">
        <v>45840</v>
      </c>
      <c r="E1648" s="41">
        <v>10</v>
      </c>
      <c r="F1648" s="41">
        <v>1</v>
      </c>
      <c r="G1648" s="41" t="s">
        <v>7303</v>
      </c>
      <c r="H1648" s="41">
        <v>10</v>
      </c>
    </row>
    <row r="1649" spans="1:8" ht="16" x14ac:dyDescent="0.2">
      <c r="A1649" s="41" t="s">
        <v>1166</v>
      </c>
      <c r="B1649" s="41" t="s">
        <v>7304</v>
      </c>
      <c r="C1649" s="41" t="s">
        <v>3490</v>
      </c>
      <c r="D1649" s="42">
        <v>45191</v>
      </c>
      <c r="E1649" s="41">
        <v>1</v>
      </c>
      <c r="F1649" s="41">
        <v>1</v>
      </c>
      <c r="G1649" s="41" t="s">
        <v>7305</v>
      </c>
      <c r="H1649" s="41">
        <v>1</v>
      </c>
    </row>
    <row r="1650" spans="1:8" ht="16" x14ac:dyDescent="0.2">
      <c r="A1650" s="41" t="s">
        <v>7306</v>
      </c>
      <c r="B1650" s="41" t="s">
        <v>7307</v>
      </c>
      <c r="C1650" s="41" t="s">
        <v>3490</v>
      </c>
      <c r="D1650" s="42">
        <v>41478</v>
      </c>
      <c r="E1650" s="41">
        <v>2</v>
      </c>
      <c r="F1650" s="41">
        <v>1</v>
      </c>
      <c r="G1650" s="41" t="s">
        <v>7308</v>
      </c>
      <c r="H1650" s="41">
        <v>2</v>
      </c>
    </row>
    <row r="1651" spans="1:8" ht="16" x14ac:dyDescent="0.2">
      <c r="A1651" s="41" t="s">
        <v>7309</v>
      </c>
      <c r="B1651" s="41" t="s">
        <v>7310</v>
      </c>
      <c r="C1651" s="41" t="s">
        <v>3490</v>
      </c>
      <c r="D1651" s="42">
        <v>41117</v>
      </c>
      <c r="E1651" s="41">
        <v>10</v>
      </c>
      <c r="F1651" s="41">
        <v>1</v>
      </c>
      <c r="G1651" s="41" t="s">
        <v>7311</v>
      </c>
      <c r="H1651" s="41">
        <v>10</v>
      </c>
    </row>
    <row r="1652" spans="1:8" ht="16" x14ac:dyDescent="0.2">
      <c r="A1652" s="41" t="s">
        <v>7312</v>
      </c>
      <c r="B1652" s="41" t="s">
        <v>7313</v>
      </c>
      <c r="C1652" s="41" t="s">
        <v>3490</v>
      </c>
      <c r="D1652" s="42">
        <v>45653</v>
      </c>
      <c r="E1652" s="41">
        <v>10</v>
      </c>
      <c r="F1652" s="41">
        <v>1</v>
      </c>
      <c r="G1652" s="41" t="s">
        <v>7314</v>
      </c>
      <c r="H1652" s="41">
        <v>10</v>
      </c>
    </row>
    <row r="1653" spans="1:8" ht="16" x14ac:dyDescent="0.2">
      <c r="A1653" s="41" t="s">
        <v>7315</v>
      </c>
      <c r="B1653" s="41" t="s">
        <v>7316</v>
      </c>
      <c r="C1653" s="41" t="s">
        <v>3797</v>
      </c>
      <c r="D1653" s="42">
        <v>42696</v>
      </c>
      <c r="E1653" s="41">
        <v>10</v>
      </c>
      <c r="F1653" s="41">
        <v>1</v>
      </c>
      <c r="G1653" s="41" t="s">
        <v>7317</v>
      </c>
      <c r="H1653" s="41">
        <v>10</v>
      </c>
    </row>
    <row r="1654" spans="1:8" ht="16" x14ac:dyDescent="0.2">
      <c r="A1654" s="41" t="s">
        <v>1167</v>
      </c>
      <c r="B1654" s="41" t="s">
        <v>7318</v>
      </c>
      <c r="C1654" s="41" t="s">
        <v>3490</v>
      </c>
      <c r="D1654" s="42">
        <v>37586</v>
      </c>
      <c r="E1654" s="41">
        <v>10</v>
      </c>
      <c r="F1654" s="41">
        <v>1</v>
      </c>
      <c r="G1654" s="41" t="s">
        <v>7319</v>
      </c>
      <c r="H1654" s="41">
        <v>10</v>
      </c>
    </row>
    <row r="1655" spans="1:8" ht="16" x14ac:dyDescent="0.2">
      <c r="A1655" s="41" t="s">
        <v>1168</v>
      </c>
      <c r="B1655" s="41" t="s">
        <v>7320</v>
      </c>
      <c r="C1655" s="41" t="s">
        <v>3490</v>
      </c>
      <c r="D1655" s="42">
        <v>43192</v>
      </c>
      <c r="E1655" s="41">
        <v>10</v>
      </c>
      <c r="F1655" s="41">
        <v>1</v>
      </c>
      <c r="G1655" s="41" t="s">
        <v>7321</v>
      </c>
      <c r="H1655" s="41">
        <v>10</v>
      </c>
    </row>
    <row r="1656" spans="1:8" ht="16" x14ac:dyDescent="0.2">
      <c r="A1656" s="41" t="s">
        <v>1169</v>
      </c>
      <c r="B1656" s="41" t="s">
        <v>7322</v>
      </c>
      <c r="C1656" s="41" t="s">
        <v>3490</v>
      </c>
      <c r="D1656" s="42">
        <v>45176</v>
      </c>
      <c r="E1656" s="41">
        <v>10</v>
      </c>
      <c r="F1656" s="41">
        <v>1</v>
      </c>
      <c r="G1656" s="41" t="s">
        <v>7323</v>
      </c>
      <c r="H1656" s="41">
        <v>10</v>
      </c>
    </row>
    <row r="1657" spans="1:8" ht="16" x14ac:dyDescent="0.2">
      <c r="A1657" s="41" t="s">
        <v>1170</v>
      </c>
      <c r="B1657" s="41" t="s">
        <v>7324</v>
      </c>
      <c r="C1657" s="41" t="s">
        <v>3490</v>
      </c>
      <c r="D1657" s="42">
        <v>35263</v>
      </c>
      <c r="E1657" s="41">
        <v>10</v>
      </c>
      <c r="F1657" s="41">
        <v>1</v>
      </c>
      <c r="G1657" s="41" t="s">
        <v>7325</v>
      </c>
      <c r="H1657" s="41">
        <v>10</v>
      </c>
    </row>
    <row r="1658" spans="1:8" ht="16" x14ac:dyDescent="0.2">
      <c r="A1658" s="41" t="s">
        <v>1171</v>
      </c>
      <c r="B1658" s="41" t="s">
        <v>7326</v>
      </c>
      <c r="C1658" s="41" t="s">
        <v>3490</v>
      </c>
      <c r="D1658" s="42">
        <v>34829</v>
      </c>
      <c r="E1658" s="41">
        <v>10</v>
      </c>
      <c r="F1658" s="41">
        <v>1</v>
      </c>
      <c r="G1658" s="41" t="s">
        <v>7327</v>
      </c>
      <c r="H1658" s="41">
        <v>10</v>
      </c>
    </row>
    <row r="1659" spans="1:8" ht="16" x14ac:dyDescent="0.2">
      <c r="A1659" s="41" t="s">
        <v>1172</v>
      </c>
      <c r="B1659" s="41" t="s">
        <v>7328</v>
      </c>
      <c r="C1659" s="41" t="s">
        <v>3490</v>
      </c>
      <c r="D1659" s="42">
        <v>39106</v>
      </c>
      <c r="E1659" s="41">
        <v>1</v>
      </c>
      <c r="F1659" s="41">
        <v>1</v>
      </c>
      <c r="G1659" s="41" t="s">
        <v>7329</v>
      </c>
      <c r="H1659" s="41">
        <v>1</v>
      </c>
    </row>
    <row r="1660" spans="1:8" ht="16" x14ac:dyDescent="0.2">
      <c r="A1660" s="41" t="s">
        <v>7330</v>
      </c>
      <c r="B1660" s="41" t="s">
        <v>7331</v>
      </c>
      <c r="C1660" s="41" t="s">
        <v>3490</v>
      </c>
      <c r="D1660" s="42">
        <v>43661</v>
      </c>
      <c r="E1660" s="41">
        <v>10</v>
      </c>
      <c r="F1660" s="41">
        <v>1</v>
      </c>
      <c r="G1660" s="41" t="s">
        <v>7332</v>
      </c>
      <c r="H1660" s="41">
        <v>10</v>
      </c>
    </row>
    <row r="1661" spans="1:8" ht="16" x14ac:dyDescent="0.2">
      <c r="A1661" s="41" t="s">
        <v>1173</v>
      </c>
      <c r="B1661" s="41" t="s">
        <v>7333</v>
      </c>
      <c r="C1661" s="41" t="s">
        <v>3490</v>
      </c>
      <c r="D1661" s="42">
        <v>37760</v>
      </c>
      <c r="E1661" s="41">
        <v>10</v>
      </c>
      <c r="F1661" s="41">
        <v>1</v>
      </c>
      <c r="G1661" s="41" t="s">
        <v>7334</v>
      </c>
      <c r="H1661" s="41">
        <v>10</v>
      </c>
    </row>
    <row r="1662" spans="1:8" ht="16" x14ac:dyDescent="0.2">
      <c r="A1662" s="41" t="s">
        <v>7335</v>
      </c>
      <c r="B1662" s="41" t="s">
        <v>7336</v>
      </c>
      <c r="C1662" s="41" t="s">
        <v>3490</v>
      </c>
      <c r="D1662" s="42">
        <v>45548</v>
      </c>
      <c r="E1662" s="41">
        <v>10</v>
      </c>
      <c r="F1662" s="41">
        <v>1</v>
      </c>
      <c r="G1662" s="41" t="s">
        <v>7337</v>
      </c>
      <c r="H1662" s="41">
        <v>10</v>
      </c>
    </row>
    <row r="1663" spans="1:8" ht="16" x14ac:dyDescent="0.2">
      <c r="A1663" s="41" t="s">
        <v>1174</v>
      </c>
      <c r="B1663" s="41" t="s">
        <v>7338</v>
      </c>
      <c r="C1663" s="41" t="s">
        <v>3490</v>
      </c>
      <c r="D1663" s="42">
        <v>44463</v>
      </c>
      <c r="E1663" s="41">
        <v>2</v>
      </c>
      <c r="F1663" s="41">
        <v>1</v>
      </c>
      <c r="G1663" s="41" t="s">
        <v>7339</v>
      </c>
      <c r="H1663" s="41">
        <v>2</v>
      </c>
    </row>
    <row r="1664" spans="1:8" ht="16" x14ac:dyDescent="0.2">
      <c r="A1664" s="41" t="s">
        <v>7340</v>
      </c>
      <c r="B1664" s="41" t="s">
        <v>7341</v>
      </c>
      <c r="C1664" s="41" t="s">
        <v>3490</v>
      </c>
      <c r="D1664" s="42">
        <v>45499</v>
      </c>
      <c r="E1664" s="41">
        <v>2</v>
      </c>
      <c r="F1664" s="41">
        <v>1</v>
      </c>
      <c r="G1664" s="41" t="s">
        <v>7342</v>
      </c>
      <c r="H1664" s="41">
        <v>2</v>
      </c>
    </row>
    <row r="1665" spans="1:8" ht="16" x14ac:dyDescent="0.2">
      <c r="A1665" s="41" t="s">
        <v>7343</v>
      </c>
      <c r="B1665" s="41" t="s">
        <v>7344</v>
      </c>
      <c r="C1665" s="41" t="s">
        <v>3797</v>
      </c>
      <c r="D1665" s="42">
        <v>38803</v>
      </c>
      <c r="E1665" s="41">
        <v>1</v>
      </c>
      <c r="F1665" s="41">
        <v>1</v>
      </c>
      <c r="G1665" s="41" t="s">
        <v>7345</v>
      </c>
      <c r="H1665" s="41">
        <v>1</v>
      </c>
    </row>
    <row r="1666" spans="1:8" ht="16" x14ac:dyDescent="0.2">
      <c r="A1666" s="41" t="s">
        <v>1175</v>
      </c>
      <c r="B1666" s="41" t="s">
        <v>7346</v>
      </c>
      <c r="C1666" s="41" t="s">
        <v>3490</v>
      </c>
      <c r="D1666" s="42">
        <v>44518</v>
      </c>
      <c r="E1666" s="41">
        <v>2</v>
      </c>
      <c r="F1666" s="41">
        <v>1</v>
      </c>
      <c r="G1666" s="41" t="s">
        <v>7347</v>
      </c>
      <c r="H1666" s="41">
        <v>2</v>
      </c>
    </row>
    <row r="1667" spans="1:8" ht="16" x14ac:dyDescent="0.2">
      <c r="A1667" s="41" t="s">
        <v>1176</v>
      </c>
      <c r="B1667" s="41" t="s">
        <v>7348</v>
      </c>
      <c r="C1667" s="41" t="s">
        <v>3490</v>
      </c>
      <c r="D1667" s="42">
        <v>40150</v>
      </c>
      <c r="E1667" s="41">
        <v>1</v>
      </c>
      <c r="F1667" s="41">
        <v>1</v>
      </c>
      <c r="G1667" s="41" t="s">
        <v>7349</v>
      </c>
      <c r="H1667" s="41">
        <v>1</v>
      </c>
    </row>
    <row r="1668" spans="1:8" ht="16" x14ac:dyDescent="0.2">
      <c r="A1668" s="41" t="s">
        <v>1177</v>
      </c>
      <c r="B1668" s="41" t="s">
        <v>7350</v>
      </c>
      <c r="C1668" s="41" t="s">
        <v>3490</v>
      </c>
      <c r="D1668" s="42">
        <v>35641</v>
      </c>
      <c r="E1668" s="41">
        <v>1</v>
      </c>
      <c r="F1668" s="41">
        <v>1</v>
      </c>
      <c r="G1668" s="41" t="s">
        <v>7351</v>
      </c>
      <c r="H1668" s="41">
        <v>1</v>
      </c>
    </row>
    <row r="1669" spans="1:8" ht="16" x14ac:dyDescent="0.2">
      <c r="A1669" s="41" t="s">
        <v>1178</v>
      </c>
      <c r="B1669" s="41" t="s">
        <v>7352</v>
      </c>
      <c r="C1669" s="41" t="s">
        <v>3490</v>
      </c>
      <c r="D1669" s="42">
        <v>39101</v>
      </c>
      <c r="E1669" s="41">
        <v>1</v>
      </c>
      <c r="F1669" s="41">
        <v>1</v>
      </c>
      <c r="G1669" s="41" t="s">
        <v>7353</v>
      </c>
      <c r="H1669" s="41">
        <v>1</v>
      </c>
    </row>
    <row r="1670" spans="1:8" ht="16" x14ac:dyDescent="0.2">
      <c r="A1670" s="41" t="s">
        <v>7354</v>
      </c>
      <c r="B1670" s="41" t="s">
        <v>7355</v>
      </c>
      <c r="C1670" s="41" t="s">
        <v>3510</v>
      </c>
      <c r="D1670" s="42">
        <v>45902</v>
      </c>
      <c r="E1670" s="41">
        <v>1</v>
      </c>
      <c r="F1670" s="41">
        <v>1</v>
      </c>
      <c r="G1670" s="41" t="s">
        <v>7356</v>
      </c>
      <c r="H1670" s="41">
        <v>1</v>
      </c>
    </row>
    <row r="1671" spans="1:8" ht="16" x14ac:dyDescent="0.2">
      <c r="A1671" s="41" t="s">
        <v>1179</v>
      </c>
      <c r="B1671" s="41" t="s">
        <v>7357</v>
      </c>
      <c r="C1671" s="41" t="s">
        <v>3490</v>
      </c>
      <c r="D1671" s="42">
        <v>44903</v>
      </c>
      <c r="E1671" s="41">
        <v>1</v>
      </c>
      <c r="F1671" s="41">
        <v>1</v>
      </c>
      <c r="G1671" s="41" t="s">
        <v>7358</v>
      </c>
      <c r="H1671" s="41">
        <v>1</v>
      </c>
    </row>
    <row r="1672" spans="1:8" ht="16" x14ac:dyDescent="0.2">
      <c r="A1672" s="41" t="s">
        <v>1180</v>
      </c>
      <c r="B1672" s="41" t="s">
        <v>7359</v>
      </c>
      <c r="C1672" s="41" t="s">
        <v>3490</v>
      </c>
      <c r="D1672" s="42">
        <v>38604</v>
      </c>
      <c r="E1672" s="41">
        <v>10</v>
      </c>
      <c r="F1672" s="41">
        <v>1</v>
      </c>
      <c r="G1672" s="41" t="s">
        <v>7360</v>
      </c>
      <c r="H1672" s="41">
        <v>10</v>
      </c>
    </row>
    <row r="1673" spans="1:8" ht="16" x14ac:dyDescent="0.2">
      <c r="A1673" s="41" t="s">
        <v>1181</v>
      </c>
      <c r="B1673" s="41" t="s">
        <v>7361</v>
      </c>
      <c r="C1673" s="41" t="s">
        <v>3490</v>
      </c>
      <c r="D1673" s="42">
        <v>40456</v>
      </c>
      <c r="E1673" s="41">
        <v>10</v>
      </c>
      <c r="F1673" s="41">
        <v>1</v>
      </c>
      <c r="G1673" s="41" t="s">
        <v>7362</v>
      </c>
      <c r="H1673" s="41">
        <v>10</v>
      </c>
    </row>
    <row r="1674" spans="1:8" ht="16" x14ac:dyDescent="0.2">
      <c r="A1674" s="41" t="s">
        <v>1182</v>
      </c>
      <c r="B1674" s="41" t="s">
        <v>7363</v>
      </c>
      <c r="C1674" s="41" t="s">
        <v>3490</v>
      </c>
      <c r="D1674" s="42">
        <v>43663</v>
      </c>
      <c r="E1674" s="41">
        <v>1</v>
      </c>
      <c r="F1674" s="41">
        <v>1</v>
      </c>
      <c r="G1674" s="41" t="s">
        <v>7364</v>
      </c>
      <c r="H1674" s="41">
        <v>1</v>
      </c>
    </row>
    <row r="1675" spans="1:8" ht="16" x14ac:dyDescent="0.2">
      <c r="A1675" s="41" t="s">
        <v>1183</v>
      </c>
      <c r="B1675" s="41" t="s">
        <v>7365</v>
      </c>
      <c r="C1675" s="41" t="s">
        <v>3490</v>
      </c>
      <c r="D1675" s="42">
        <v>42242</v>
      </c>
      <c r="E1675" s="41">
        <v>10</v>
      </c>
      <c r="F1675" s="41">
        <v>1</v>
      </c>
      <c r="G1675" s="41" t="s">
        <v>7366</v>
      </c>
      <c r="H1675" s="41">
        <v>10</v>
      </c>
    </row>
    <row r="1676" spans="1:8" ht="16" x14ac:dyDescent="0.2">
      <c r="A1676" s="41" t="s">
        <v>1184</v>
      </c>
      <c r="B1676" s="41" t="s">
        <v>7367</v>
      </c>
      <c r="C1676" s="41" t="s">
        <v>3490</v>
      </c>
      <c r="D1676" s="42">
        <v>45349</v>
      </c>
      <c r="E1676" s="41">
        <v>10</v>
      </c>
      <c r="F1676" s="41">
        <v>1</v>
      </c>
      <c r="G1676" s="41" t="s">
        <v>7368</v>
      </c>
      <c r="H1676" s="41">
        <v>10</v>
      </c>
    </row>
    <row r="1677" spans="1:8" ht="16" x14ac:dyDescent="0.2">
      <c r="A1677" s="41" t="s">
        <v>1185</v>
      </c>
      <c r="B1677" s="41" t="s">
        <v>7369</v>
      </c>
      <c r="C1677" s="41" t="s">
        <v>3490</v>
      </c>
      <c r="D1677" s="42">
        <v>44523</v>
      </c>
      <c r="E1677" s="41">
        <v>1</v>
      </c>
      <c r="F1677" s="41">
        <v>1</v>
      </c>
      <c r="G1677" s="41" t="s">
        <v>7370</v>
      </c>
      <c r="H1677" s="41">
        <v>1</v>
      </c>
    </row>
    <row r="1678" spans="1:8" ht="16" x14ac:dyDescent="0.2">
      <c r="A1678" s="41" t="s">
        <v>1186</v>
      </c>
      <c r="B1678" s="41" t="s">
        <v>7371</v>
      </c>
      <c r="C1678" s="41" t="s">
        <v>3490</v>
      </c>
      <c r="D1678" s="42">
        <v>44371</v>
      </c>
      <c r="E1678" s="41">
        <v>2</v>
      </c>
      <c r="F1678" s="41">
        <v>1</v>
      </c>
      <c r="G1678" s="41" t="s">
        <v>7372</v>
      </c>
      <c r="H1678" s="41">
        <v>2</v>
      </c>
    </row>
    <row r="1679" spans="1:8" ht="16" x14ac:dyDescent="0.2">
      <c r="A1679" s="41" t="s">
        <v>1187</v>
      </c>
      <c r="B1679" s="41" t="s">
        <v>7373</v>
      </c>
      <c r="C1679" s="41" t="s">
        <v>3490</v>
      </c>
      <c r="D1679" s="42">
        <v>45154</v>
      </c>
      <c r="E1679" s="41">
        <v>10</v>
      </c>
      <c r="F1679" s="41">
        <v>1</v>
      </c>
      <c r="G1679" s="41" t="s">
        <v>7374</v>
      </c>
      <c r="H1679" s="41">
        <v>10</v>
      </c>
    </row>
    <row r="1680" spans="1:8" ht="16" x14ac:dyDescent="0.2">
      <c r="A1680" s="41" t="s">
        <v>1188</v>
      </c>
      <c r="B1680" s="41" t="s">
        <v>7375</v>
      </c>
      <c r="C1680" s="41" t="s">
        <v>3490</v>
      </c>
      <c r="D1680" s="42">
        <v>44967</v>
      </c>
      <c r="E1680" s="41">
        <v>1</v>
      </c>
      <c r="F1680" s="41">
        <v>1</v>
      </c>
      <c r="G1680" s="41" t="s">
        <v>7376</v>
      </c>
      <c r="H1680" s="41">
        <v>1</v>
      </c>
    </row>
    <row r="1681" spans="1:8" ht="16" x14ac:dyDescent="0.2">
      <c r="A1681" s="41" t="s">
        <v>1189</v>
      </c>
      <c r="B1681" s="41" t="s">
        <v>7377</v>
      </c>
      <c r="C1681" s="41" t="s">
        <v>3490</v>
      </c>
      <c r="D1681" s="42">
        <v>43906</v>
      </c>
      <c r="E1681" s="41">
        <v>10</v>
      </c>
      <c r="F1681" s="41">
        <v>1</v>
      </c>
      <c r="G1681" s="41" t="s">
        <v>7378</v>
      </c>
      <c r="H1681" s="41">
        <v>10</v>
      </c>
    </row>
    <row r="1682" spans="1:8" ht="16" x14ac:dyDescent="0.2">
      <c r="A1682" s="41" t="s">
        <v>1190</v>
      </c>
      <c r="B1682" s="41" t="s">
        <v>7379</v>
      </c>
      <c r="C1682" s="41" t="s">
        <v>3490</v>
      </c>
      <c r="D1682" s="42">
        <v>43011</v>
      </c>
      <c r="E1682" s="41">
        <v>10</v>
      </c>
      <c r="F1682" s="41">
        <v>1</v>
      </c>
      <c r="G1682" s="41" t="s">
        <v>7380</v>
      </c>
      <c r="H1682" s="41">
        <v>10</v>
      </c>
    </row>
    <row r="1683" spans="1:8" ht="16" x14ac:dyDescent="0.2">
      <c r="A1683" s="41" t="s">
        <v>1191</v>
      </c>
      <c r="B1683" s="41" t="s">
        <v>7381</v>
      </c>
      <c r="C1683" s="41" t="s">
        <v>3490</v>
      </c>
      <c r="D1683" s="42">
        <v>34759</v>
      </c>
      <c r="E1683" s="41">
        <v>1</v>
      </c>
      <c r="F1683" s="41">
        <v>1</v>
      </c>
      <c r="G1683" s="41" t="s">
        <v>7382</v>
      </c>
      <c r="H1683" s="41">
        <v>1</v>
      </c>
    </row>
    <row r="1684" spans="1:8" ht="16" x14ac:dyDescent="0.2">
      <c r="A1684" s="41" t="s">
        <v>1192</v>
      </c>
      <c r="B1684" s="41" t="s">
        <v>7383</v>
      </c>
      <c r="C1684" s="41" t="s">
        <v>3490</v>
      </c>
      <c r="D1684" s="42">
        <v>36859</v>
      </c>
      <c r="E1684" s="41">
        <v>2</v>
      </c>
      <c r="F1684" s="41">
        <v>1</v>
      </c>
      <c r="G1684" s="41" t="s">
        <v>7384</v>
      </c>
      <c r="H1684" s="41">
        <v>2</v>
      </c>
    </row>
    <row r="1685" spans="1:8" ht="16" x14ac:dyDescent="0.2">
      <c r="A1685" s="41" t="s">
        <v>1193</v>
      </c>
      <c r="B1685" s="41" t="s">
        <v>7385</v>
      </c>
      <c r="C1685" s="41" t="s">
        <v>3490</v>
      </c>
      <c r="D1685" s="42">
        <v>42864</v>
      </c>
      <c r="E1685" s="41">
        <v>5</v>
      </c>
      <c r="F1685" s="41">
        <v>1</v>
      </c>
      <c r="G1685" s="41" t="s">
        <v>7386</v>
      </c>
      <c r="H1685" s="41">
        <v>5</v>
      </c>
    </row>
    <row r="1686" spans="1:8" ht="16" x14ac:dyDescent="0.2">
      <c r="A1686" s="41" t="s">
        <v>1194</v>
      </c>
      <c r="B1686" s="41" t="s">
        <v>7387</v>
      </c>
      <c r="C1686" s="41" t="s">
        <v>3510</v>
      </c>
      <c r="D1686" s="42">
        <v>40988</v>
      </c>
      <c r="E1686" s="41">
        <v>2</v>
      </c>
      <c r="F1686" s="41">
        <v>1</v>
      </c>
      <c r="G1686" s="41" t="s">
        <v>7388</v>
      </c>
      <c r="H1686" s="41">
        <v>2</v>
      </c>
    </row>
    <row r="1687" spans="1:8" ht="16" x14ac:dyDescent="0.2">
      <c r="A1687" s="41" t="s">
        <v>1195</v>
      </c>
      <c r="B1687" s="41" t="s">
        <v>7389</v>
      </c>
      <c r="C1687" s="41" t="s">
        <v>3490</v>
      </c>
      <c r="D1687" s="42">
        <v>35655</v>
      </c>
      <c r="E1687" s="41">
        <v>10</v>
      </c>
      <c r="F1687" s="41">
        <v>1</v>
      </c>
      <c r="G1687" s="41" t="s">
        <v>7390</v>
      </c>
      <c r="H1687" s="41">
        <v>10</v>
      </c>
    </row>
    <row r="1688" spans="1:8" ht="16" x14ac:dyDescent="0.2">
      <c r="A1688" s="41" t="s">
        <v>1196</v>
      </c>
      <c r="B1688" s="41" t="s">
        <v>7391</v>
      </c>
      <c r="C1688" s="41" t="s">
        <v>3490</v>
      </c>
      <c r="D1688" s="42">
        <v>45370</v>
      </c>
      <c r="E1688" s="41">
        <v>10</v>
      </c>
      <c r="F1688" s="41">
        <v>1</v>
      </c>
      <c r="G1688" s="41" t="s">
        <v>7392</v>
      </c>
      <c r="H1688" s="41">
        <v>10</v>
      </c>
    </row>
    <row r="1689" spans="1:8" ht="16" x14ac:dyDescent="0.2">
      <c r="A1689" s="41" t="s">
        <v>7393</v>
      </c>
      <c r="B1689" s="41" t="s">
        <v>7394</v>
      </c>
      <c r="C1689" s="41" t="s">
        <v>3490</v>
      </c>
      <c r="D1689" s="42">
        <v>45812</v>
      </c>
      <c r="E1689" s="41">
        <v>10</v>
      </c>
      <c r="F1689" s="41">
        <v>1</v>
      </c>
      <c r="G1689" s="41" t="s">
        <v>7395</v>
      </c>
      <c r="H1689" s="41">
        <v>10</v>
      </c>
    </row>
    <row r="1690" spans="1:8" ht="16" x14ac:dyDescent="0.2">
      <c r="A1690" s="41" t="s">
        <v>1197</v>
      </c>
      <c r="B1690" s="41" t="s">
        <v>7396</v>
      </c>
      <c r="C1690" s="41" t="s">
        <v>3490</v>
      </c>
      <c r="D1690" s="42">
        <v>44887</v>
      </c>
      <c r="E1690" s="41">
        <v>10</v>
      </c>
      <c r="F1690" s="41">
        <v>1</v>
      </c>
      <c r="G1690" s="41" t="s">
        <v>7397</v>
      </c>
      <c r="H1690" s="41">
        <v>10</v>
      </c>
    </row>
    <row r="1691" spans="1:8" ht="16" x14ac:dyDescent="0.2">
      <c r="A1691" s="41" t="s">
        <v>1198</v>
      </c>
      <c r="B1691" s="41" t="s">
        <v>7398</v>
      </c>
      <c r="C1691" s="41" t="s">
        <v>3490</v>
      </c>
      <c r="D1691" s="42">
        <v>41716</v>
      </c>
      <c r="E1691" s="41">
        <v>2</v>
      </c>
      <c r="F1691" s="41">
        <v>1</v>
      </c>
      <c r="G1691" s="41" t="s">
        <v>7399</v>
      </c>
      <c r="H1691" s="41">
        <v>2</v>
      </c>
    </row>
    <row r="1692" spans="1:8" ht="16" x14ac:dyDescent="0.2">
      <c r="A1692" s="41" t="s">
        <v>1199</v>
      </c>
      <c r="B1692" s="41" t="s">
        <v>7400</v>
      </c>
      <c r="C1692" s="41" t="s">
        <v>3490</v>
      </c>
      <c r="D1692" s="42">
        <v>34878</v>
      </c>
      <c r="E1692" s="41">
        <v>10</v>
      </c>
      <c r="F1692" s="41">
        <v>1</v>
      </c>
      <c r="G1692" s="41" t="s">
        <v>7401</v>
      </c>
      <c r="H1692" s="41">
        <v>10</v>
      </c>
    </row>
    <row r="1693" spans="1:8" ht="16" x14ac:dyDescent="0.2">
      <c r="A1693" s="41" t="s">
        <v>7402</v>
      </c>
      <c r="B1693" s="41" t="s">
        <v>7403</v>
      </c>
      <c r="C1693" s="41" t="s">
        <v>3510</v>
      </c>
      <c r="D1693" s="42">
        <v>45215</v>
      </c>
      <c r="E1693" s="41">
        <v>10</v>
      </c>
      <c r="F1693" s="41">
        <v>1</v>
      </c>
      <c r="G1693" s="41" t="s">
        <v>7404</v>
      </c>
      <c r="H1693" s="41">
        <v>10</v>
      </c>
    </row>
    <row r="1694" spans="1:8" ht="16" x14ac:dyDescent="0.2">
      <c r="A1694" s="41" t="s">
        <v>7405</v>
      </c>
      <c r="B1694" s="41" t="s">
        <v>7406</v>
      </c>
      <c r="C1694" s="41" t="s">
        <v>3490</v>
      </c>
      <c r="D1694" s="42">
        <v>41668</v>
      </c>
      <c r="E1694" s="41">
        <v>5</v>
      </c>
      <c r="F1694" s="41">
        <v>1</v>
      </c>
      <c r="G1694" s="41" t="s">
        <v>7407</v>
      </c>
      <c r="H1694" s="41">
        <v>5</v>
      </c>
    </row>
    <row r="1695" spans="1:8" ht="16" x14ac:dyDescent="0.2">
      <c r="A1695" s="41" t="s">
        <v>7408</v>
      </c>
      <c r="B1695" s="41" t="s">
        <v>7409</v>
      </c>
      <c r="C1695" s="41" t="s">
        <v>3510</v>
      </c>
      <c r="D1695" s="42">
        <v>44543</v>
      </c>
      <c r="E1695" s="41">
        <v>10</v>
      </c>
      <c r="F1695" s="41">
        <v>1</v>
      </c>
      <c r="G1695" s="41" t="s">
        <v>7410</v>
      </c>
      <c r="H1695" s="41">
        <v>10</v>
      </c>
    </row>
    <row r="1696" spans="1:8" ht="16" x14ac:dyDescent="0.2">
      <c r="A1696" s="41" t="s">
        <v>1200</v>
      </c>
      <c r="B1696" s="41" t="s">
        <v>7411</v>
      </c>
      <c r="C1696" s="41" t="s">
        <v>3490</v>
      </c>
      <c r="D1696" s="42">
        <v>38986</v>
      </c>
      <c r="E1696" s="41">
        <v>10</v>
      </c>
      <c r="F1696" s="41">
        <v>1</v>
      </c>
      <c r="G1696" s="41" t="s">
        <v>7412</v>
      </c>
      <c r="H1696" s="41">
        <v>10</v>
      </c>
    </row>
    <row r="1697" spans="1:8" ht="16" x14ac:dyDescent="0.2">
      <c r="A1697" s="41" t="s">
        <v>7413</v>
      </c>
      <c r="B1697" s="41" t="s">
        <v>7414</v>
      </c>
      <c r="C1697" s="41" t="s">
        <v>3490</v>
      </c>
      <c r="D1697" s="42">
        <v>44495</v>
      </c>
      <c r="E1697" s="41">
        <v>10</v>
      </c>
      <c r="F1697" s="41">
        <v>1</v>
      </c>
      <c r="G1697" s="41" t="s">
        <v>7415</v>
      </c>
      <c r="H1697" s="41">
        <v>10</v>
      </c>
    </row>
    <row r="1698" spans="1:8" ht="16" x14ac:dyDescent="0.2">
      <c r="A1698" s="41" t="s">
        <v>7416</v>
      </c>
      <c r="B1698" s="41" t="s">
        <v>7417</v>
      </c>
      <c r="C1698" s="41" t="s">
        <v>3510</v>
      </c>
      <c r="D1698" s="42">
        <v>38575</v>
      </c>
      <c r="E1698" s="41">
        <v>10</v>
      </c>
      <c r="F1698" s="41">
        <v>1</v>
      </c>
      <c r="G1698" s="41" t="s">
        <v>7418</v>
      </c>
      <c r="H1698" s="41">
        <v>10</v>
      </c>
    </row>
    <row r="1699" spans="1:8" ht="16" x14ac:dyDescent="0.2">
      <c r="A1699" s="41" t="s">
        <v>1201</v>
      </c>
      <c r="B1699" s="41" t="s">
        <v>7419</v>
      </c>
      <c r="C1699" s="41" t="s">
        <v>3490</v>
      </c>
      <c r="D1699" s="42">
        <v>45121</v>
      </c>
      <c r="E1699" s="41">
        <v>5</v>
      </c>
      <c r="F1699" s="41">
        <v>1</v>
      </c>
      <c r="G1699" s="41" t="s">
        <v>7420</v>
      </c>
      <c r="H1699" s="41">
        <v>5</v>
      </c>
    </row>
    <row r="1700" spans="1:8" ht="16" x14ac:dyDescent="0.2">
      <c r="A1700" s="41" t="s">
        <v>7421</v>
      </c>
      <c r="B1700" s="41" t="s">
        <v>7422</v>
      </c>
      <c r="C1700" s="41" t="s">
        <v>3490</v>
      </c>
      <c r="D1700" s="42">
        <v>45656</v>
      </c>
      <c r="E1700" s="41">
        <v>10</v>
      </c>
      <c r="F1700" s="41">
        <v>1</v>
      </c>
      <c r="G1700" s="41" t="s">
        <v>7423</v>
      </c>
      <c r="H1700" s="41">
        <v>10</v>
      </c>
    </row>
    <row r="1701" spans="1:8" ht="16" x14ac:dyDescent="0.2">
      <c r="A1701" s="41" t="s">
        <v>1202</v>
      </c>
      <c r="B1701" s="41" t="s">
        <v>7424</v>
      </c>
      <c r="C1701" s="41" t="s">
        <v>3490</v>
      </c>
      <c r="D1701" s="42">
        <v>39498</v>
      </c>
      <c r="E1701" s="41">
        <v>10</v>
      </c>
      <c r="F1701" s="41">
        <v>1</v>
      </c>
      <c r="G1701" s="41" t="s">
        <v>7425</v>
      </c>
      <c r="H1701" s="41">
        <v>10</v>
      </c>
    </row>
    <row r="1702" spans="1:8" ht="16" x14ac:dyDescent="0.2">
      <c r="A1702" s="41" t="s">
        <v>1203</v>
      </c>
      <c r="B1702" s="41" t="s">
        <v>7426</v>
      </c>
      <c r="C1702" s="41" t="s">
        <v>3490</v>
      </c>
      <c r="D1702" s="42">
        <v>42439</v>
      </c>
      <c r="E1702" s="41">
        <v>2</v>
      </c>
      <c r="F1702" s="41">
        <v>1</v>
      </c>
      <c r="G1702" s="41" t="s">
        <v>7427</v>
      </c>
      <c r="H1702" s="41">
        <v>2</v>
      </c>
    </row>
    <row r="1703" spans="1:8" ht="16" x14ac:dyDescent="0.2">
      <c r="A1703" s="41" t="s">
        <v>1204</v>
      </c>
      <c r="B1703" s="41" t="s">
        <v>7428</v>
      </c>
      <c r="C1703" s="41" t="s">
        <v>3490</v>
      </c>
      <c r="D1703" s="42">
        <v>44441</v>
      </c>
      <c r="E1703" s="41">
        <v>1</v>
      </c>
      <c r="F1703" s="41">
        <v>1</v>
      </c>
      <c r="G1703" s="41" t="s">
        <v>7429</v>
      </c>
      <c r="H1703" s="41">
        <v>1</v>
      </c>
    </row>
    <row r="1704" spans="1:8" ht="16" x14ac:dyDescent="0.2">
      <c r="A1704" s="41" t="s">
        <v>1205</v>
      </c>
      <c r="B1704" s="41" t="s">
        <v>7430</v>
      </c>
      <c r="C1704" s="41" t="s">
        <v>3490</v>
      </c>
      <c r="D1704" s="42">
        <v>34787</v>
      </c>
      <c r="E1704" s="41">
        <v>2</v>
      </c>
      <c r="F1704" s="41">
        <v>1</v>
      </c>
      <c r="G1704" s="41" t="s">
        <v>7431</v>
      </c>
      <c r="H1704" s="41">
        <v>2</v>
      </c>
    </row>
    <row r="1705" spans="1:8" ht="16" x14ac:dyDescent="0.2">
      <c r="A1705" s="41" t="s">
        <v>7432</v>
      </c>
      <c r="B1705" s="41" t="s">
        <v>7433</v>
      </c>
      <c r="C1705" s="41" t="s">
        <v>3490</v>
      </c>
      <c r="D1705" s="42">
        <v>42552</v>
      </c>
      <c r="E1705" s="41">
        <v>2</v>
      </c>
      <c r="F1705" s="41">
        <v>1</v>
      </c>
      <c r="G1705" s="41" t="s">
        <v>7434</v>
      </c>
      <c r="H1705" s="41">
        <v>2</v>
      </c>
    </row>
    <row r="1706" spans="1:8" ht="16" x14ac:dyDescent="0.2">
      <c r="A1706" s="41" t="s">
        <v>7435</v>
      </c>
      <c r="B1706" s="41" t="s">
        <v>7436</v>
      </c>
      <c r="C1706" s="41" t="s">
        <v>3510</v>
      </c>
      <c r="D1706" s="42">
        <v>43657</v>
      </c>
      <c r="E1706" s="41">
        <v>10</v>
      </c>
      <c r="F1706" s="41">
        <v>1</v>
      </c>
      <c r="G1706" s="41" t="s">
        <v>7437</v>
      </c>
      <c r="H1706" s="41">
        <v>10</v>
      </c>
    </row>
    <row r="1707" spans="1:8" ht="16" x14ac:dyDescent="0.2">
      <c r="A1707" s="41" t="s">
        <v>1206</v>
      </c>
      <c r="B1707" s="41" t="s">
        <v>7438</v>
      </c>
      <c r="C1707" s="41" t="s">
        <v>3490</v>
      </c>
      <c r="D1707" s="42">
        <v>42713</v>
      </c>
      <c r="E1707" s="41">
        <v>5</v>
      </c>
      <c r="F1707" s="41">
        <v>1</v>
      </c>
      <c r="G1707" s="41" t="s">
        <v>7439</v>
      </c>
      <c r="H1707" s="41">
        <v>5</v>
      </c>
    </row>
    <row r="1708" spans="1:8" ht="16" x14ac:dyDescent="0.2">
      <c r="A1708" s="41" t="s">
        <v>7440</v>
      </c>
      <c r="B1708" s="41" t="s">
        <v>7441</v>
      </c>
      <c r="C1708" s="41" t="s">
        <v>3490</v>
      </c>
      <c r="D1708" s="42">
        <v>45874</v>
      </c>
      <c r="E1708" s="41">
        <v>10</v>
      </c>
      <c r="F1708" s="41">
        <v>1</v>
      </c>
      <c r="G1708" s="41" t="s">
        <v>7442</v>
      </c>
      <c r="H1708" s="41">
        <v>10</v>
      </c>
    </row>
    <row r="1709" spans="1:8" ht="16" x14ac:dyDescent="0.2">
      <c r="A1709" s="41" t="s">
        <v>1207</v>
      </c>
      <c r="B1709" s="41" t="s">
        <v>7443</v>
      </c>
      <c r="C1709" s="41" t="s">
        <v>3490</v>
      </c>
      <c r="D1709" s="42">
        <v>44405</v>
      </c>
      <c r="E1709" s="41">
        <v>10</v>
      </c>
      <c r="F1709" s="41">
        <v>1</v>
      </c>
      <c r="G1709" s="41" t="s">
        <v>7444</v>
      </c>
      <c r="H1709" s="41">
        <v>10</v>
      </c>
    </row>
    <row r="1710" spans="1:8" ht="16" x14ac:dyDescent="0.2">
      <c r="A1710" s="41" t="s">
        <v>7445</v>
      </c>
      <c r="B1710" s="41" t="s">
        <v>7446</v>
      </c>
      <c r="C1710" s="41" t="s">
        <v>3510</v>
      </c>
      <c r="D1710" s="42">
        <v>38817</v>
      </c>
      <c r="E1710" s="41">
        <v>10</v>
      </c>
      <c r="F1710" s="41">
        <v>1</v>
      </c>
      <c r="G1710" s="41" t="s">
        <v>7447</v>
      </c>
      <c r="H1710" s="41">
        <v>10</v>
      </c>
    </row>
    <row r="1711" spans="1:8" ht="16" x14ac:dyDescent="0.2">
      <c r="A1711" s="41" t="s">
        <v>7448</v>
      </c>
      <c r="B1711" s="41" t="s">
        <v>7449</v>
      </c>
      <c r="C1711" s="41" t="s">
        <v>3510</v>
      </c>
      <c r="D1711" s="42">
        <v>45670</v>
      </c>
      <c r="E1711" s="41">
        <v>10</v>
      </c>
      <c r="F1711" s="41">
        <v>1</v>
      </c>
      <c r="G1711" s="41" t="s">
        <v>7450</v>
      </c>
      <c r="H1711" s="41">
        <v>10</v>
      </c>
    </row>
    <row r="1712" spans="1:8" ht="16" x14ac:dyDescent="0.2">
      <c r="A1712" s="41" t="s">
        <v>7451</v>
      </c>
      <c r="B1712" s="41" t="s">
        <v>7452</v>
      </c>
      <c r="C1712" s="41" t="s">
        <v>3510</v>
      </c>
      <c r="D1712" s="42">
        <v>40478</v>
      </c>
      <c r="E1712" s="41">
        <v>1</v>
      </c>
      <c r="F1712" s="41">
        <v>1</v>
      </c>
      <c r="G1712" s="41" t="s">
        <v>7453</v>
      </c>
      <c r="H1712" s="41">
        <v>1</v>
      </c>
    </row>
    <row r="1713" spans="1:8" ht="16" x14ac:dyDescent="0.2">
      <c r="A1713" s="41" t="s">
        <v>7454</v>
      </c>
      <c r="B1713" s="41" t="s">
        <v>7455</v>
      </c>
      <c r="C1713" s="41" t="s">
        <v>3490</v>
      </c>
      <c r="D1713" s="42">
        <v>38519</v>
      </c>
      <c r="E1713" s="41">
        <v>10</v>
      </c>
      <c r="F1713" s="41">
        <v>1</v>
      </c>
      <c r="G1713" s="41" t="s">
        <v>7456</v>
      </c>
      <c r="H1713" s="41">
        <v>10</v>
      </c>
    </row>
    <row r="1714" spans="1:8" ht="16" x14ac:dyDescent="0.2">
      <c r="A1714" s="41" t="s">
        <v>1208</v>
      </c>
      <c r="B1714" s="41" t="s">
        <v>7457</v>
      </c>
      <c r="C1714" s="41" t="s">
        <v>3490</v>
      </c>
      <c r="D1714" s="42">
        <v>44655</v>
      </c>
      <c r="E1714" s="41">
        <v>2</v>
      </c>
      <c r="F1714" s="41">
        <v>1</v>
      </c>
      <c r="G1714" s="41" t="s">
        <v>7458</v>
      </c>
      <c r="H1714" s="41">
        <v>2</v>
      </c>
    </row>
    <row r="1715" spans="1:8" ht="16" x14ac:dyDescent="0.2">
      <c r="A1715" s="41" t="s">
        <v>1209</v>
      </c>
      <c r="B1715" s="41" t="s">
        <v>7459</v>
      </c>
      <c r="C1715" s="41" t="s">
        <v>3490</v>
      </c>
      <c r="D1715" s="42">
        <v>42033</v>
      </c>
      <c r="E1715" s="41">
        <v>10</v>
      </c>
      <c r="F1715" s="41">
        <v>1</v>
      </c>
      <c r="G1715" s="41" t="s">
        <v>7460</v>
      </c>
      <c r="H1715" s="41">
        <v>10</v>
      </c>
    </row>
    <row r="1716" spans="1:8" ht="16" x14ac:dyDescent="0.2">
      <c r="A1716" s="41" t="s">
        <v>1210</v>
      </c>
      <c r="B1716" s="41" t="s">
        <v>7461</v>
      </c>
      <c r="C1716" s="41" t="s">
        <v>3490</v>
      </c>
      <c r="D1716" s="42">
        <v>43084</v>
      </c>
      <c r="E1716" s="41">
        <v>10</v>
      </c>
      <c r="F1716" s="41">
        <v>1</v>
      </c>
      <c r="G1716" s="41" t="s">
        <v>7462</v>
      </c>
      <c r="H1716" s="41">
        <v>10</v>
      </c>
    </row>
    <row r="1717" spans="1:8" ht="16" x14ac:dyDescent="0.2">
      <c r="A1717" s="41" t="s">
        <v>1211</v>
      </c>
      <c r="B1717" s="41" t="s">
        <v>7463</v>
      </c>
      <c r="C1717" s="41" t="s">
        <v>3490</v>
      </c>
      <c r="D1717" s="42">
        <v>39510</v>
      </c>
      <c r="E1717" s="41">
        <v>2</v>
      </c>
      <c r="F1717" s="41">
        <v>1</v>
      </c>
      <c r="G1717" s="41" t="s">
        <v>7464</v>
      </c>
      <c r="H1717" s="41">
        <v>2</v>
      </c>
    </row>
    <row r="1718" spans="1:8" ht="16" x14ac:dyDescent="0.2">
      <c r="A1718" s="41" t="s">
        <v>1212</v>
      </c>
      <c r="B1718" s="41" t="s">
        <v>7465</v>
      </c>
      <c r="C1718" s="41" t="s">
        <v>3490</v>
      </c>
      <c r="D1718" s="42">
        <v>42830</v>
      </c>
      <c r="E1718" s="41">
        <v>10</v>
      </c>
      <c r="F1718" s="41">
        <v>1</v>
      </c>
      <c r="G1718" s="41" t="s">
        <v>7466</v>
      </c>
      <c r="H1718" s="41">
        <v>10</v>
      </c>
    </row>
    <row r="1719" spans="1:8" ht="16" x14ac:dyDescent="0.2">
      <c r="A1719" s="41" t="s">
        <v>7467</v>
      </c>
      <c r="B1719" s="41" t="s">
        <v>7468</v>
      </c>
      <c r="C1719" s="41" t="s">
        <v>3510</v>
      </c>
      <c r="D1719" s="42">
        <v>44455</v>
      </c>
      <c r="E1719" s="41">
        <v>10</v>
      </c>
      <c r="F1719" s="41">
        <v>1</v>
      </c>
      <c r="G1719" s="41" t="s">
        <v>7469</v>
      </c>
      <c r="H1719" s="41">
        <v>10</v>
      </c>
    </row>
    <row r="1720" spans="1:8" ht="16" x14ac:dyDescent="0.2">
      <c r="A1720" s="41" t="s">
        <v>1213</v>
      </c>
      <c r="B1720" s="41" t="s">
        <v>7470</v>
      </c>
      <c r="C1720" s="41" t="s">
        <v>3490</v>
      </c>
      <c r="D1720" s="42">
        <v>35081</v>
      </c>
      <c r="E1720" s="41">
        <v>1</v>
      </c>
      <c r="F1720" s="41">
        <v>1</v>
      </c>
      <c r="G1720" s="41" t="s">
        <v>7471</v>
      </c>
      <c r="H1720" s="41">
        <v>1</v>
      </c>
    </row>
    <row r="1721" spans="1:8" ht="16" x14ac:dyDescent="0.2">
      <c r="A1721" s="41" t="s">
        <v>7472</v>
      </c>
      <c r="B1721" s="41" t="s">
        <v>7473</v>
      </c>
      <c r="C1721" s="41" t="s">
        <v>3490</v>
      </c>
      <c r="D1721" s="42">
        <v>45870</v>
      </c>
      <c r="E1721" s="41">
        <v>10</v>
      </c>
      <c r="F1721" s="41">
        <v>1</v>
      </c>
      <c r="G1721" s="41" t="s">
        <v>7474</v>
      </c>
      <c r="H1721" s="41">
        <v>10</v>
      </c>
    </row>
    <row r="1722" spans="1:8" ht="16" x14ac:dyDescent="0.2">
      <c r="A1722" s="41" t="s">
        <v>1214</v>
      </c>
      <c r="B1722" s="41" t="s">
        <v>7475</v>
      </c>
      <c r="C1722" s="41" t="s">
        <v>3490</v>
      </c>
      <c r="D1722" s="42">
        <v>41905</v>
      </c>
      <c r="E1722" s="41">
        <v>10</v>
      </c>
      <c r="F1722" s="41">
        <v>1</v>
      </c>
      <c r="G1722" s="41" t="s">
        <v>7476</v>
      </c>
      <c r="H1722" s="41">
        <v>10</v>
      </c>
    </row>
    <row r="1723" spans="1:8" ht="16" x14ac:dyDescent="0.2">
      <c r="A1723" s="41" t="s">
        <v>1215</v>
      </c>
      <c r="B1723" s="41" t="s">
        <v>7477</v>
      </c>
      <c r="C1723" s="41" t="s">
        <v>3490</v>
      </c>
      <c r="D1723" s="42">
        <v>42250</v>
      </c>
      <c r="E1723" s="41">
        <v>2</v>
      </c>
      <c r="F1723" s="41">
        <v>1</v>
      </c>
      <c r="G1723" s="41" t="s">
        <v>7478</v>
      </c>
      <c r="H1723" s="41">
        <v>2</v>
      </c>
    </row>
    <row r="1724" spans="1:8" ht="16" x14ac:dyDescent="0.2">
      <c r="A1724" s="41" t="s">
        <v>1216</v>
      </c>
      <c r="B1724" s="41" t="s">
        <v>7479</v>
      </c>
      <c r="C1724" s="41" t="s">
        <v>3490</v>
      </c>
      <c r="D1724" s="42">
        <v>44095</v>
      </c>
      <c r="E1724" s="41">
        <v>2</v>
      </c>
      <c r="F1724" s="41">
        <v>1</v>
      </c>
      <c r="G1724" s="41" t="s">
        <v>7480</v>
      </c>
      <c r="H1724" s="41">
        <v>2</v>
      </c>
    </row>
    <row r="1725" spans="1:8" ht="16" x14ac:dyDescent="0.2">
      <c r="A1725" s="41" t="s">
        <v>7481</v>
      </c>
      <c r="B1725" s="41" t="s">
        <v>7482</v>
      </c>
      <c r="C1725" s="41" t="s">
        <v>3490</v>
      </c>
      <c r="D1725" s="42">
        <v>40555</v>
      </c>
      <c r="E1725" s="41">
        <v>10</v>
      </c>
      <c r="F1725" s="41">
        <v>1</v>
      </c>
      <c r="G1725" s="41" t="s">
        <v>7483</v>
      </c>
      <c r="H1725" s="41">
        <v>10</v>
      </c>
    </row>
    <row r="1726" spans="1:8" ht="16" x14ac:dyDescent="0.2">
      <c r="A1726" s="41" t="s">
        <v>7484</v>
      </c>
      <c r="B1726" s="41" t="s">
        <v>7485</v>
      </c>
      <c r="C1726" s="41" t="s">
        <v>3510</v>
      </c>
      <c r="D1726" s="42">
        <v>41913</v>
      </c>
      <c r="E1726" s="41">
        <v>10</v>
      </c>
      <c r="F1726" s="41">
        <v>1</v>
      </c>
      <c r="G1726" s="41" t="s">
        <v>7486</v>
      </c>
      <c r="H1726" s="41">
        <v>10</v>
      </c>
    </row>
    <row r="1727" spans="1:8" ht="16" x14ac:dyDescent="0.2">
      <c r="A1727" s="41" t="s">
        <v>1217</v>
      </c>
      <c r="B1727" s="41" t="s">
        <v>7487</v>
      </c>
      <c r="C1727" s="41" t="s">
        <v>3510</v>
      </c>
      <c r="D1727" s="42">
        <v>40150</v>
      </c>
      <c r="E1727" s="41">
        <v>1</v>
      </c>
      <c r="F1727" s="41">
        <v>1</v>
      </c>
      <c r="G1727" s="41" t="s">
        <v>7488</v>
      </c>
      <c r="H1727" s="41">
        <v>1</v>
      </c>
    </row>
    <row r="1728" spans="1:8" ht="16" x14ac:dyDescent="0.2">
      <c r="A1728" s="41" t="s">
        <v>1218</v>
      </c>
      <c r="B1728" s="41" t="s">
        <v>7489</v>
      </c>
      <c r="C1728" s="41" t="s">
        <v>3490</v>
      </c>
      <c r="D1728" s="42">
        <v>44539</v>
      </c>
      <c r="E1728" s="41">
        <v>5</v>
      </c>
      <c r="F1728" s="41">
        <v>1</v>
      </c>
      <c r="G1728" s="41" t="s">
        <v>7490</v>
      </c>
      <c r="H1728" s="41">
        <v>5</v>
      </c>
    </row>
    <row r="1729" spans="1:8" ht="16" x14ac:dyDescent="0.2">
      <c r="A1729" s="41" t="s">
        <v>1219</v>
      </c>
      <c r="B1729" s="41" t="s">
        <v>7491</v>
      </c>
      <c r="C1729" s="41" t="s">
        <v>3490</v>
      </c>
      <c r="D1729" s="42">
        <v>39042</v>
      </c>
      <c r="E1729" s="41">
        <v>2</v>
      </c>
      <c r="F1729" s="41">
        <v>1</v>
      </c>
      <c r="G1729" s="41" t="s">
        <v>7492</v>
      </c>
      <c r="H1729" s="41">
        <v>2</v>
      </c>
    </row>
    <row r="1730" spans="1:8" ht="16" x14ac:dyDescent="0.2">
      <c r="A1730" s="41" t="s">
        <v>7493</v>
      </c>
      <c r="B1730" s="41" t="s">
        <v>7494</v>
      </c>
      <c r="C1730" s="41" t="s">
        <v>3490</v>
      </c>
      <c r="D1730" s="42">
        <v>43157</v>
      </c>
      <c r="E1730" s="41">
        <v>10</v>
      </c>
      <c r="F1730" s="41">
        <v>1</v>
      </c>
      <c r="G1730" s="41" t="s">
        <v>7495</v>
      </c>
      <c r="H1730" s="41">
        <v>10</v>
      </c>
    </row>
    <row r="1731" spans="1:8" ht="16" x14ac:dyDescent="0.2">
      <c r="A1731" s="41" t="s">
        <v>7496</v>
      </c>
      <c r="B1731" s="41" t="s">
        <v>7497</v>
      </c>
      <c r="C1731" s="41" t="s">
        <v>3490</v>
      </c>
      <c r="D1731" s="42">
        <v>43095</v>
      </c>
      <c r="E1731" s="41">
        <v>10</v>
      </c>
      <c r="F1731" s="41">
        <v>1</v>
      </c>
      <c r="G1731" s="41" t="s">
        <v>7498</v>
      </c>
      <c r="H1731" s="41">
        <v>10</v>
      </c>
    </row>
    <row r="1732" spans="1:8" ht="16" x14ac:dyDescent="0.2">
      <c r="A1732" s="41" t="s">
        <v>1220</v>
      </c>
      <c r="B1732" s="41" t="s">
        <v>7499</v>
      </c>
      <c r="C1732" s="41" t="s">
        <v>3490</v>
      </c>
      <c r="D1732" s="42">
        <v>42324</v>
      </c>
      <c r="E1732" s="41">
        <v>10</v>
      </c>
      <c r="F1732" s="41">
        <v>1</v>
      </c>
      <c r="G1732" s="41" t="s">
        <v>7500</v>
      </c>
      <c r="H1732" s="41">
        <v>10</v>
      </c>
    </row>
    <row r="1733" spans="1:8" ht="16" x14ac:dyDescent="0.2">
      <c r="A1733" s="41" t="s">
        <v>1221</v>
      </c>
      <c r="B1733" s="41" t="s">
        <v>7501</v>
      </c>
      <c r="C1733" s="41" t="s">
        <v>3490</v>
      </c>
      <c r="D1733" s="42">
        <v>38495</v>
      </c>
      <c r="E1733" s="41">
        <v>5</v>
      </c>
      <c r="F1733" s="41">
        <v>1</v>
      </c>
      <c r="G1733" s="41" t="s">
        <v>7502</v>
      </c>
      <c r="H1733" s="41">
        <v>5</v>
      </c>
    </row>
    <row r="1734" spans="1:8" ht="16" x14ac:dyDescent="0.2">
      <c r="A1734" s="41" t="s">
        <v>7503</v>
      </c>
      <c r="B1734" s="41" t="s">
        <v>7504</v>
      </c>
      <c r="C1734" s="41" t="s">
        <v>3490</v>
      </c>
      <c r="D1734" s="42">
        <v>44126</v>
      </c>
      <c r="E1734" s="41">
        <v>2</v>
      </c>
      <c r="F1734" s="41">
        <v>1</v>
      </c>
      <c r="G1734" s="41" t="s">
        <v>7505</v>
      </c>
      <c r="H1734" s="41">
        <v>2</v>
      </c>
    </row>
    <row r="1735" spans="1:8" ht="16" x14ac:dyDescent="0.2">
      <c r="A1735" s="41" t="s">
        <v>1222</v>
      </c>
      <c r="B1735" s="41" t="s">
        <v>7506</v>
      </c>
      <c r="C1735" s="41" t="s">
        <v>3490</v>
      </c>
      <c r="D1735" s="42">
        <v>43858</v>
      </c>
      <c r="E1735" s="41">
        <v>10</v>
      </c>
      <c r="F1735" s="41">
        <v>1</v>
      </c>
      <c r="G1735" s="41" t="s">
        <v>7507</v>
      </c>
      <c r="H1735" s="41">
        <v>10</v>
      </c>
    </row>
    <row r="1736" spans="1:8" ht="16" x14ac:dyDescent="0.2">
      <c r="A1736" s="41" t="s">
        <v>1223</v>
      </c>
      <c r="B1736" s="41" t="s">
        <v>7508</v>
      </c>
      <c r="C1736" s="41" t="s">
        <v>3490</v>
      </c>
      <c r="D1736" s="42">
        <v>34815</v>
      </c>
      <c r="E1736" s="41">
        <v>10</v>
      </c>
      <c r="F1736" s="41">
        <v>1</v>
      </c>
      <c r="G1736" s="41" t="s">
        <v>7509</v>
      </c>
      <c r="H1736" s="41">
        <v>10</v>
      </c>
    </row>
    <row r="1737" spans="1:8" ht="16" x14ac:dyDescent="0.2">
      <c r="A1737" s="41" t="s">
        <v>7510</v>
      </c>
      <c r="B1737" s="41" t="s">
        <v>7511</v>
      </c>
      <c r="C1737" s="41" t="s">
        <v>3490</v>
      </c>
      <c r="D1737" s="42">
        <v>45895</v>
      </c>
      <c r="E1737" s="41">
        <v>10</v>
      </c>
      <c r="F1737" s="41">
        <v>1</v>
      </c>
      <c r="G1737" s="41" t="s">
        <v>7512</v>
      </c>
      <c r="H1737" s="41">
        <v>10</v>
      </c>
    </row>
    <row r="1738" spans="1:8" ht="16" x14ac:dyDescent="0.2">
      <c r="A1738" s="41" t="s">
        <v>1224</v>
      </c>
      <c r="B1738" s="41" t="s">
        <v>7513</v>
      </c>
      <c r="C1738" s="41" t="s">
        <v>3490</v>
      </c>
      <c r="D1738" s="42">
        <v>42257</v>
      </c>
      <c r="E1738" s="41">
        <v>10</v>
      </c>
      <c r="F1738" s="41">
        <v>1</v>
      </c>
      <c r="G1738" s="41" t="s">
        <v>7514</v>
      </c>
      <c r="H1738" s="41">
        <v>10</v>
      </c>
    </row>
    <row r="1739" spans="1:8" ht="16" x14ac:dyDescent="0.2">
      <c r="A1739" s="41" t="s">
        <v>7515</v>
      </c>
      <c r="B1739" s="41" t="s">
        <v>7516</v>
      </c>
      <c r="C1739" s="41" t="s">
        <v>3490</v>
      </c>
      <c r="D1739" s="42">
        <v>36598</v>
      </c>
      <c r="E1739" s="41">
        <v>5</v>
      </c>
      <c r="F1739" s="41">
        <v>1</v>
      </c>
      <c r="G1739" s="41" t="s">
        <v>7517</v>
      </c>
      <c r="H1739" s="41">
        <v>5</v>
      </c>
    </row>
    <row r="1740" spans="1:8" ht="16" x14ac:dyDescent="0.2">
      <c r="A1740" s="41" t="s">
        <v>7518</v>
      </c>
      <c r="B1740" s="41" t="s">
        <v>7519</v>
      </c>
      <c r="C1740" s="41" t="s">
        <v>3490</v>
      </c>
      <c r="D1740" s="42">
        <v>43679</v>
      </c>
      <c r="E1740" s="41">
        <v>1</v>
      </c>
      <c r="F1740" s="41">
        <v>1</v>
      </c>
      <c r="G1740" s="41" t="s">
        <v>7520</v>
      </c>
      <c r="H1740" s="41">
        <v>1</v>
      </c>
    </row>
    <row r="1741" spans="1:8" ht="16" x14ac:dyDescent="0.2">
      <c r="A1741" s="41" t="s">
        <v>7521</v>
      </c>
      <c r="B1741" s="41" t="s">
        <v>7522</v>
      </c>
      <c r="C1741" s="41" t="s">
        <v>3510</v>
      </c>
      <c r="D1741" s="42">
        <v>35375</v>
      </c>
      <c r="E1741" s="41">
        <v>10</v>
      </c>
      <c r="F1741" s="41">
        <v>1</v>
      </c>
      <c r="G1741" s="41" t="s">
        <v>7523</v>
      </c>
      <c r="H1741" s="41">
        <v>10</v>
      </c>
    </row>
    <row r="1742" spans="1:8" ht="16" x14ac:dyDescent="0.2">
      <c r="A1742" s="41" t="s">
        <v>1225</v>
      </c>
      <c r="B1742" s="41" t="s">
        <v>7524</v>
      </c>
      <c r="C1742" s="41" t="s">
        <v>3490</v>
      </c>
      <c r="D1742" s="42">
        <v>42523</v>
      </c>
      <c r="E1742" s="41">
        <v>10</v>
      </c>
      <c r="F1742" s="41">
        <v>1</v>
      </c>
      <c r="G1742" s="41" t="s">
        <v>7525</v>
      </c>
      <c r="H1742" s="41">
        <v>10</v>
      </c>
    </row>
    <row r="1743" spans="1:8" ht="16" x14ac:dyDescent="0.2">
      <c r="A1743" s="41" t="s">
        <v>1226</v>
      </c>
      <c r="B1743" s="41" t="s">
        <v>7526</v>
      </c>
      <c r="C1743" s="41" t="s">
        <v>3490</v>
      </c>
      <c r="D1743" s="42">
        <v>35410</v>
      </c>
      <c r="E1743" s="41">
        <v>2</v>
      </c>
      <c r="F1743" s="41">
        <v>1</v>
      </c>
      <c r="G1743" s="41" t="s">
        <v>7527</v>
      </c>
      <c r="H1743" s="41">
        <v>2</v>
      </c>
    </row>
    <row r="1744" spans="1:8" ht="16" x14ac:dyDescent="0.2">
      <c r="A1744" s="41" t="s">
        <v>1227</v>
      </c>
      <c r="B1744" s="41" t="s">
        <v>7528</v>
      </c>
      <c r="C1744" s="41" t="s">
        <v>3490</v>
      </c>
      <c r="D1744" s="42">
        <v>44550</v>
      </c>
      <c r="E1744" s="41">
        <v>10</v>
      </c>
      <c r="F1744" s="41">
        <v>1</v>
      </c>
      <c r="G1744" s="41" t="s">
        <v>7529</v>
      </c>
      <c r="H1744" s="41">
        <v>10</v>
      </c>
    </row>
    <row r="1745" spans="1:8" ht="16" x14ac:dyDescent="0.2">
      <c r="A1745" s="41" t="s">
        <v>7530</v>
      </c>
      <c r="B1745" s="41" t="s">
        <v>7531</v>
      </c>
      <c r="C1745" s="41" t="s">
        <v>3490</v>
      </c>
      <c r="D1745" s="42">
        <v>42213</v>
      </c>
      <c r="E1745" s="41">
        <v>1</v>
      </c>
      <c r="F1745" s="41">
        <v>1</v>
      </c>
      <c r="G1745" s="41" t="s">
        <v>7532</v>
      </c>
      <c r="H1745" s="41">
        <v>1</v>
      </c>
    </row>
    <row r="1746" spans="1:8" ht="16" x14ac:dyDescent="0.2">
      <c r="A1746" s="41" t="s">
        <v>1228</v>
      </c>
      <c r="B1746" s="41" t="s">
        <v>7533</v>
      </c>
      <c r="C1746" s="41" t="s">
        <v>3490</v>
      </c>
      <c r="D1746" s="42">
        <v>44371</v>
      </c>
      <c r="E1746" s="41">
        <v>10</v>
      </c>
      <c r="F1746" s="41">
        <v>1</v>
      </c>
      <c r="G1746" s="41" t="s">
        <v>7534</v>
      </c>
      <c r="H1746" s="41">
        <v>10</v>
      </c>
    </row>
    <row r="1747" spans="1:8" ht="16" x14ac:dyDescent="0.2">
      <c r="A1747" s="41" t="s">
        <v>7535</v>
      </c>
      <c r="B1747" s="41" t="s">
        <v>7536</v>
      </c>
      <c r="C1747" s="41" t="s">
        <v>3510</v>
      </c>
      <c r="D1747" s="42">
        <v>39027</v>
      </c>
      <c r="E1747" s="41">
        <v>10</v>
      </c>
      <c r="F1747" s="41">
        <v>1</v>
      </c>
      <c r="G1747" s="41" t="s">
        <v>7537</v>
      </c>
      <c r="H1747" s="41">
        <v>10</v>
      </c>
    </row>
    <row r="1748" spans="1:8" ht="16" x14ac:dyDescent="0.2">
      <c r="A1748" s="41" t="s">
        <v>1229</v>
      </c>
      <c r="B1748" s="41" t="s">
        <v>7538</v>
      </c>
      <c r="C1748" s="41" t="s">
        <v>3510</v>
      </c>
      <c r="D1748" s="42">
        <v>45211</v>
      </c>
      <c r="E1748" s="41">
        <v>10</v>
      </c>
      <c r="F1748" s="41">
        <v>1</v>
      </c>
      <c r="G1748" s="41" t="s">
        <v>7539</v>
      </c>
      <c r="H1748" s="41">
        <v>10</v>
      </c>
    </row>
    <row r="1749" spans="1:8" ht="16" x14ac:dyDescent="0.2">
      <c r="A1749" s="41" t="s">
        <v>1230</v>
      </c>
      <c r="B1749" s="41" t="s">
        <v>7540</v>
      </c>
      <c r="C1749" s="41" t="s">
        <v>3490</v>
      </c>
      <c r="D1749" s="42">
        <v>34948</v>
      </c>
      <c r="E1749" s="41">
        <v>2</v>
      </c>
      <c r="F1749" s="41">
        <v>1</v>
      </c>
      <c r="G1749" s="41" t="s">
        <v>7541</v>
      </c>
      <c r="H1749" s="41">
        <v>2</v>
      </c>
    </row>
    <row r="1750" spans="1:8" ht="16" x14ac:dyDescent="0.2">
      <c r="A1750" s="41" t="s">
        <v>1231</v>
      </c>
      <c r="B1750" s="41" t="s">
        <v>7542</v>
      </c>
      <c r="C1750" s="41" t="s">
        <v>3490</v>
      </c>
      <c r="D1750" s="42">
        <v>44515</v>
      </c>
      <c r="E1750" s="41">
        <v>1</v>
      </c>
      <c r="F1750" s="41">
        <v>1</v>
      </c>
      <c r="G1750" s="41" t="s">
        <v>7543</v>
      </c>
      <c r="H1750" s="41">
        <v>1</v>
      </c>
    </row>
    <row r="1751" spans="1:8" ht="16" x14ac:dyDescent="0.2">
      <c r="A1751" s="41" t="s">
        <v>7544</v>
      </c>
      <c r="B1751" s="41" t="s">
        <v>7545</v>
      </c>
      <c r="C1751" s="41" t="s">
        <v>3510</v>
      </c>
      <c r="D1751" s="42">
        <v>43341</v>
      </c>
      <c r="E1751" s="41">
        <v>10</v>
      </c>
      <c r="F1751" s="41">
        <v>1</v>
      </c>
      <c r="G1751" s="41" t="s">
        <v>7546</v>
      </c>
      <c r="H1751" s="41">
        <v>10</v>
      </c>
    </row>
    <row r="1752" spans="1:8" ht="16" x14ac:dyDescent="0.2">
      <c r="A1752" s="41" t="s">
        <v>7547</v>
      </c>
      <c r="B1752" s="41" t="s">
        <v>7548</v>
      </c>
      <c r="C1752" s="41" t="s">
        <v>3490</v>
      </c>
      <c r="D1752" s="42">
        <v>45086</v>
      </c>
      <c r="E1752" s="41">
        <v>10</v>
      </c>
      <c r="F1752" s="41">
        <v>1</v>
      </c>
      <c r="G1752" s="41" t="s">
        <v>7549</v>
      </c>
      <c r="H1752" s="41">
        <v>10</v>
      </c>
    </row>
    <row r="1753" spans="1:8" ht="16" x14ac:dyDescent="0.2">
      <c r="A1753" s="41" t="s">
        <v>1232</v>
      </c>
      <c r="B1753" s="41" t="s">
        <v>7550</v>
      </c>
      <c r="C1753" s="41" t="s">
        <v>3490</v>
      </c>
      <c r="D1753" s="42">
        <v>45196</v>
      </c>
      <c r="E1753" s="41">
        <v>1</v>
      </c>
      <c r="F1753" s="41">
        <v>1</v>
      </c>
      <c r="G1753" s="41" t="s">
        <v>7551</v>
      </c>
      <c r="H1753" s="41">
        <v>1</v>
      </c>
    </row>
    <row r="1754" spans="1:8" ht="16" x14ac:dyDescent="0.2">
      <c r="A1754" s="41" t="s">
        <v>1233</v>
      </c>
      <c r="B1754" s="41" t="s">
        <v>7552</v>
      </c>
      <c r="C1754" s="41" t="s">
        <v>3490</v>
      </c>
      <c r="D1754" s="42">
        <v>45336</v>
      </c>
      <c r="E1754" s="41">
        <v>2</v>
      </c>
      <c r="F1754" s="41">
        <v>1</v>
      </c>
      <c r="G1754" s="41" t="s">
        <v>7553</v>
      </c>
      <c r="H1754" s="41">
        <v>2</v>
      </c>
    </row>
    <row r="1755" spans="1:8" ht="16" x14ac:dyDescent="0.2">
      <c r="A1755" s="41" t="s">
        <v>7554</v>
      </c>
      <c r="B1755" s="41" t="s">
        <v>7555</v>
      </c>
      <c r="C1755" s="41" t="s">
        <v>3490</v>
      </c>
      <c r="D1755" s="42">
        <v>44491</v>
      </c>
      <c r="E1755" s="41">
        <v>10</v>
      </c>
      <c r="F1755" s="41">
        <v>1</v>
      </c>
      <c r="G1755" s="41" t="s">
        <v>7556</v>
      </c>
      <c r="H1755" s="41">
        <v>10</v>
      </c>
    </row>
    <row r="1756" spans="1:8" ht="16" x14ac:dyDescent="0.2">
      <c r="A1756" s="41" t="s">
        <v>7557</v>
      </c>
      <c r="B1756" s="41" t="s">
        <v>7558</v>
      </c>
      <c r="C1756" s="41" t="s">
        <v>3490</v>
      </c>
      <c r="D1756" s="42">
        <v>38013</v>
      </c>
      <c r="E1756" s="41">
        <v>5</v>
      </c>
      <c r="F1756" s="41">
        <v>1</v>
      </c>
      <c r="G1756" s="41" t="s">
        <v>7559</v>
      </c>
      <c r="H1756" s="41">
        <v>5</v>
      </c>
    </row>
    <row r="1757" spans="1:8" ht="16" x14ac:dyDescent="0.2">
      <c r="A1757" s="41" t="s">
        <v>7560</v>
      </c>
      <c r="B1757" s="41" t="s">
        <v>7561</v>
      </c>
      <c r="C1757" s="41" t="s">
        <v>3490</v>
      </c>
      <c r="D1757" s="42">
        <v>44258</v>
      </c>
      <c r="E1757" s="41">
        <v>10</v>
      </c>
      <c r="F1757" s="41">
        <v>1</v>
      </c>
      <c r="G1757" s="41" t="s">
        <v>7562</v>
      </c>
      <c r="H1757" s="41">
        <v>10</v>
      </c>
    </row>
    <row r="1758" spans="1:8" ht="16" x14ac:dyDescent="0.2">
      <c r="A1758" s="41" t="s">
        <v>1234</v>
      </c>
      <c r="B1758" s="41" t="s">
        <v>7563</v>
      </c>
      <c r="C1758" s="41" t="s">
        <v>3490</v>
      </c>
      <c r="D1758" s="42">
        <v>35207</v>
      </c>
      <c r="E1758" s="41">
        <v>10</v>
      </c>
      <c r="F1758" s="41">
        <v>1</v>
      </c>
      <c r="G1758" s="41" t="s">
        <v>7564</v>
      </c>
      <c r="H1758" s="41">
        <v>10</v>
      </c>
    </row>
    <row r="1759" spans="1:8" ht="16" x14ac:dyDescent="0.2">
      <c r="A1759" s="41" t="s">
        <v>7565</v>
      </c>
      <c r="B1759" s="41" t="s">
        <v>7566</v>
      </c>
      <c r="C1759" s="41" t="s">
        <v>3490</v>
      </c>
      <c r="D1759" s="42">
        <v>44020</v>
      </c>
      <c r="E1759" s="41">
        <v>10</v>
      </c>
      <c r="F1759" s="41">
        <v>1</v>
      </c>
      <c r="G1759" s="41" t="s">
        <v>7567</v>
      </c>
      <c r="H1759" s="41">
        <v>10</v>
      </c>
    </row>
    <row r="1760" spans="1:8" ht="16" x14ac:dyDescent="0.2">
      <c r="A1760" s="41" t="s">
        <v>1235</v>
      </c>
      <c r="B1760" s="41" t="s">
        <v>7568</v>
      </c>
      <c r="C1760" s="41" t="s">
        <v>3490</v>
      </c>
      <c r="D1760" s="42">
        <v>44693</v>
      </c>
      <c r="E1760" s="41">
        <v>10</v>
      </c>
      <c r="F1760" s="41">
        <v>1</v>
      </c>
      <c r="G1760" s="41" t="s">
        <v>7569</v>
      </c>
      <c r="H1760" s="41">
        <v>10</v>
      </c>
    </row>
    <row r="1761" spans="1:8" ht="16" x14ac:dyDescent="0.2">
      <c r="A1761" s="41" t="s">
        <v>7570</v>
      </c>
      <c r="B1761" s="41" t="s">
        <v>7571</v>
      </c>
      <c r="C1761" s="41" t="s">
        <v>3510</v>
      </c>
      <c r="D1761" s="42">
        <v>42443</v>
      </c>
      <c r="E1761" s="41">
        <v>10</v>
      </c>
      <c r="F1761" s="41">
        <v>1</v>
      </c>
      <c r="G1761" s="41" t="s">
        <v>7572</v>
      </c>
      <c r="H1761" s="41">
        <v>10</v>
      </c>
    </row>
    <row r="1762" spans="1:8" ht="16" x14ac:dyDescent="0.2">
      <c r="A1762" s="41" t="s">
        <v>1236</v>
      </c>
      <c r="B1762" s="41" t="s">
        <v>7573</v>
      </c>
      <c r="C1762" s="41" t="s">
        <v>3490</v>
      </c>
      <c r="D1762" s="42">
        <v>38055</v>
      </c>
      <c r="E1762" s="41">
        <v>2</v>
      </c>
      <c r="F1762" s="41">
        <v>1</v>
      </c>
      <c r="G1762" s="41" t="s">
        <v>7574</v>
      </c>
      <c r="H1762" s="41">
        <v>2</v>
      </c>
    </row>
    <row r="1763" spans="1:8" ht="16" x14ac:dyDescent="0.2">
      <c r="A1763" s="41" t="s">
        <v>1237</v>
      </c>
      <c r="B1763" s="41" t="s">
        <v>7575</v>
      </c>
      <c r="C1763" s="41" t="s">
        <v>3490</v>
      </c>
      <c r="D1763" s="42">
        <v>45392</v>
      </c>
      <c r="E1763" s="41">
        <v>2</v>
      </c>
      <c r="F1763" s="41">
        <v>1</v>
      </c>
      <c r="G1763" s="41" t="s">
        <v>7576</v>
      </c>
      <c r="H1763" s="41">
        <v>2</v>
      </c>
    </row>
    <row r="1764" spans="1:8" ht="16" x14ac:dyDescent="0.2">
      <c r="A1764" s="41" t="s">
        <v>1238</v>
      </c>
      <c r="B1764" s="41" t="s">
        <v>7577</v>
      </c>
      <c r="C1764" s="41" t="s">
        <v>3490</v>
      </c>
      <c r="D1764" s="42">
        <v>45097</v>
      </c>
      <c r="E1764" s="41">
        <v>1</v>
      </c>
      <c r="F1764" s="41">
        <v>1</v>
      </c>
      <c r="G1764" s="41" t="s">
        <v>7578</v>
      </c>
      <c r="H1764" s="41">
        <v>1</v>
      </c>
    </row>
    <row r="1765" spans="1:8" ht="16" x14ac:dyDescent="0.2">
      <c r="A1765" s="41" t="s">
        <v>7579</v>
      </c>
      <c r="B1765" s="41" t="s">
        <v>7580</v>
      </c>
      <c r="C1765" s="41" t="s">
        <v>3490</v>
      </c>
      <c r="D1765" s="42">
        <v>44111</v>
      </c>
      <c r="E1765" s="41">
        <v>10</v>
      </c>
      <c r="F1765" s="41">
        <v>1</v>
      </c>
      <c r="G1765" s="41" t="s">
        <v>7581</v>
      </c>
      <c r="H1765" s="41">
        <v>10</v>
      </c>
    </row>
    <row r="1766" spans="1:8" ht="16" x14ac:dyDescent="0.2">
      <c r="A1766" s="41" t="s">
        <v>1239</v>
      </c>
      <c r="B1766" s="41" t="s">
        <v>7582</v>
      </c>
      <c r="C1766" s="41" t="s">
        <v>3490</v>
      </c>
      <c r="D1766" s="42">
        <v>43668</v>
      </c>
      <c r="E1766" s="41">
        <v>10</v>
      </c>
      <c r="F1766" s="41">
        <v>1</v>
      </c>
      <c r="G1766" s="41" t="s">
        <v>7583</v>
      </c>
      <c r="H1766" s="41">
        <v>10</v>
      </c>
    </row>
    <row r="1767" spans="1:8" ht="16" x14ac:dyDescent="0.2">
      <c r="A1767" s="41" t="s">
        <v>1240</v>
      </c>
      <c r="B1767" s="41" t="s">
        <v>7584</v>
      </c>
      <c r="C1767" s="41" t="s">
        <v>3490</v>
      </c>
      <c r="D1767" s="42">
        <v>42957</v>
      </c>
      <c r="E1767" s="41">
        <v>5</v>
      </c>
      <c r="F1767" s="41">
        <v>1</v>
      </c>
      <c r="G1767" s="41" t="s">
        <v>7585</v>
      </c>
      <c r="H1767" s="41">
        <v>5</v>
      </c>
    </row>
    <row r="1768" spans="1:8" ht="16" x14ac:dyDescent="0.2">
      <c r="A1768" s="41" t="s">
        <v>7586</v>
      </c>
      <c r="B1768" s="41" t="s">
        <v>7587</v>
      </c>
      <c r="C1768" s="41" t="s">
        <v>3797</v>
      </c>
      <c r="D1768" s="42">
        <v>39092</v>
      </c>
      <c r="E1768" s="41">
        <v>1</v>
      </c>
      <c r="F1768" s="41">
        <v>1</v>
      </c>
      <c r="G1768" s="41" t="s">
        <v>7588</v>
      </c>
      <c r="H1768" s="41">
        <v>1</v>
      </c>
    </row>
    <row r="1769" spans="1:8" ht="16" x14ac:dyDescent="0.2">
      <c r="A1769" s="41" t="s">
        <v>1241</v>
      </c>
      <c r="B1769" s="41" t="s">
        <v>7589</v>
      </c>
      <c r="C1769" s="41" t="s">
        <v>3490</v>
      </c>
      <c r="D1769" s="42">
        <v>39111</v>
      </c>
      <c r="E1769" s="41">
        <v>2</v>
      </c>
      <c r="F1769" s="41">
        <v>1</v>
      </c>
      <c r="G1769" s="41" t="s">
        <v>7590</v>
      </c>
      <c r="H1769" s="41">
        <v>2</v>
      </c>
    </row>
    <row r="1770" spans="1:8" ht="16" x14ac:dyDescent="0.2">
      <c r="A1770" s="41" t="s">
        <v>1243</v>
      </c>
      <c r="B1770" s="41" t="s">
        <v>7591</v>
      </c>
      <c r="C1770" s="41" t="s">
        <v>3490</v>
      </c>
      <c r="D1770" s="42">
        <v>44515</v>
      </c>
      <c r="E1770" s="41">
        <v>10</v>
      </c>
      <c r="F1770" s="41">
        <v>1</v>
      </c>
      <c r="G1770" s="41" t="s">
        <v>7592</v>
      </c>
      <c r="H1770" s="41">
        <v>10</v>
      </c>
    </row>
    <row r="1771" spans="1:8" ht="16" x14ac:dyDescent="0.2">
      <c r="A1771" s="41" t="s">
        <v>1244</v>
      </c>
      <c r="B1771" s="41" t="s">
        <v>7593</v>
      </c>
      <c r="C1771" s="41" t="s">
        <v>3490</v>
      </c>
      <c r="D1771" s="42">
        <v>40318</v>
      </c>
      <c r="E1771" s="41">
        <v>10</v>
      </c>
      <c r="F1771" s="41">
        <v>1</v>
      </c>
      <c r="G1771" s="41" t="s">
        <v>7594</v>
      </c>
      <c r="H1771" s="41">
        <v>10</v>
      </c>
    </row>
    <row r="1772" spans="1:8" ht="16" x14ac:dyDescent="0.2">
      <c r="A1772" s="41" t="s">
        <v>1245</v>
      </c>
      <c r="B1772" s="41" t="s">
        <v>7595</v>
      </c>
      <c r="C1772" s="41" t="s">
        <v>3490</v>
      </c>
      <c r="D1772" s="42">
        <v>36187</v>
      </c>
      <c r="E1772" s="41">
        <v>10</v>
      </c>
      <c r="F1772" s="41">
        <v>1</v>
      </c>
      <c r="G1772" s="41" t="s">
        <v>7596</v>
      </c>
      <c r="H1772" s="41">
        <v>10</v>
      </c>
    </row>
    <row r="1773" spans="1:8" ht="16" x14ac:dyDescent="0.2">
      <c r="A1773" s="41" t="s">
        <v>1246</v>
      </c>
      <c r="B1773" s="41" t="s">
        <v>7597</v>
      </c>
      <c r="C1773" s="41" t="s">
        <v>3490</v>
      </c>
      <c r="D1773" s="42">
        <v>42151</v>
      </c>
      <c r="E1773" s="41">
        <v>1</v>
      </c>
      <c r="F1773" s="41">
        <v>1</v>
      </c>
      <c r="G1773" s="41" t="s">
        <v>7598</v>
      </c>
      <c r="H1773" s="41">
        <v>1</v>
      </c>
    </row>
    <row r="1774" spans="1:8" ht="16" x14ac:dyDescent="0.2">
      <c r="A1774" s="41" t="s">
        <v>1247</v>
      </c>
      <c r="B1774" s="41" t="s">
        <v>7599</v>
      </c>
      <c r="C1774" s="41" t="s">
        <v>3510</v>
      </c>
      <c r="D1774" s="42">
        <v>35503</v>
      </c>
      <c r="E1774" s="41">
        <v>10</v>
      </c>
      <c r="F1774" s="41">
        <v>1</v>
      </c>
      <c r="G1774" s="41" t="s">
        <v>7600</v>
      </c>
      <c r="H1774" s="41">
        <v>10</v>
      </c>
    </row>
    <row r="1775" spans="1:8" ht="16" x14ac:dyDescent="0.2">
      <c r="A1775" s="41" t="s">
        <v>1248</v>
      </c>
      <c r="B1775" s="41" t="s">
        <v>7601</v>
      </c>
      <c r="C1775" s="41" t="s">
        <v>3490</v>
      </c>
      <c r="D1775" s="42">
        <v>44932</v>
      </c>
      <c r="E1775" s="41">
        <v>10</v>
      </c>
      <c r="F1775" s="41">
        <v>1</v>
      </c>
      <c r="G1775" s="41" t="s">
        <v>7602</v>
      </c>
      <c r="H1775" s="41">
        <v>10</v>
      </c>
    </row>
    <row r="1776" spans="1:8" ht="16" x14ac:dyDescent="0.2">
      <c r="A1776" s="41" t="s">
        <v>7603</v>
      </c>
      <c r="B1776" s="41" t="s">
        <v>7604</v>
      </c>
      <c r="C1776" s="41" t="s">
        <v>3490</v>
      </c>
      <c r="D1776" s="42">
        <v>36992</v>
      </c>
      <c r="E1776" s="41">
        <v>2</v>
      </c>
      <c r="F1776" s="41">
        <v>1</v>
      </c>
      <c r="G1776" s="41" t="s">
        <v>7605</v>
      </c>
      <c r="H1776" s="41">
        <v>2</v>
      </c>
    </row>
    <row r="1777" spans="1:8" ht="16" x14ac:dyDescent="0.2">
      <c r="A1777" s="41" t="s">
        <v>7606</v>
      </c>
      <c r="B1777" s="41" t="s">
        <v>7607</v>
      </c>
      <c r="C1777" s="41" t="s">
        <v>3490</v>
      </c>
      <c r="D1777" s="42">
        <v>45855</v>
      </c>
      <c r="E1777" s="41">
        <v>10</v>
      </c>
      <c r="F1777" s="41">
        <v>1</v>
      </c>
      <c r="G1777" s="41" t="s">
        <v>7608</v>
      </c>
      <c r="H1777" s="41">
        <v>10</v>
      </c>
    </row>
    <row r="1778" spans="1:8" ht="16" x14ac:dyDescent="0.2">
      <c r="A1778" s="41" t="s">
        <v>1249</v>
      </c>
      <c r="B1778" s="41" t="s">
        <v>7609</v>
      </c>
      <c r="C1778" s="41" t="s">
        <v>3490</v>
      </c>
      <c r="D1778" s="42">
        <v>44251</v>
      </c>
      <c r="E1778" s="41">
        <v>2</v>
      </c>
      <c r="F1778" s="41">
        <v>1</v>
      </c>
      <c r="G1778" s="41" t="s">
        <v>7610</v>
      </c>
      <c r="H1778" s="41">
        <v>2</v>
      </c>
    </row>
    <row r="1779" spans="1:8" ht="16" x14ac:dyDescent="0.2">
      <c r="A1779" s="41" t="s">
        <v>1250</v>
      </c>
      <c r="B1779" s="41" t="s">
        <v>7611</v>
      </c>
      <c r="C1779" s="41" t="s">
        <v>3490</v>
      </c>
      <c r="D1779" s="42">
        <v>37862</v>
      </c>
      <c r="E1779" s="41">
        <v>10</v>
      </c>
      <c r="F1779" s="41">
        <v>1</v>
      </c>
      <c r="G1779" s="41" t="s">
        <v>7612</v>
      </c>
      <c r="H1779" s="41">
        <v>10</v>
      </c>
    </row>
    <row r="1780" spans="1:8" ht="16" x14ac:dyDescent="0.2">
      <c r="A1780" s="41" t="s">
        <v>7613</v>
      </c>
      <c r="B1780" s="41" t="s">
        <v>7614</v>
      </c>
      <c r="C1780" s="41" t="s">
        <v>3490</v>
      </c>
      <c r="D1780" s="42">
        <v>44525</v>
      </c>
      <c r="E1780" s="41">
        <v>10</v>
      </c>
      <c r="F1780" s="41">
        <v>1</v>
      </c>
      <c r="G1780" s="41" t="s">
        <v>7615</v>
      </c>
      <c r="H1780" s="41">
        <v>10</v>
      </c>
    </row>
    <row r="1781" spans="1:8" ht="16" x14ac:dyDescent="0.2">
      <c r="A1781" s="41" t="s">
        <v>7616</v>
      </c>
      <c r="B1781" s="41" t="s">
        <v>7617</v>
      </c>
      <c r="C1781" s="41" t="s">
        <v>3490</v>
      </c>
      <c r="D1781" s="42">
        <v>42964</v>
      </c>
      <c r="E1781" s="41">
        <v>10</v>
      </c>
      <c r="F1781" s="41">
        <v>1</v>
      </c>
      <c r="G1781" s="41" t="s">
        <v>7618</v>
      </c>
      <c r="H1781" s="41">
        <v>10</v>
      </c>
    </row>
    <row r="1782" spans="1:8" ht="16" x14ac:dyDescent="0.2">
      <c r="A1782" s="41" t="s">
        <v>1251</v>
      </c>
      <c r="B1782" s="41" t="s">
        <v>7619</v>
      </c>
      <c r="C1782" s="41" t="s">
        <v>3490</v>
      </c>
      <c r="D1782" s="42">
        <v>39141</v>
      </c>
      <c r="E1782" s="41">
        <v>1</v>
      </c>
      <c r="F1782" s="41">
        <v>1</v>
      </c>
      <c r="G1782" s="41" t="s">
        <v>7620</v>
      </c>
      <c r="H1782" s="41">
        <v>1</v>
      </c>
    </row>
    <row r="1783" spans="1:8" ht="16" x14ac:dyDescent="0.2">
      <c r="A1783" s="41" t="s">
        <v>1252</v>
      </c>
      <c r="B1783" s="41" t="s">
        <v>7621</v>
      </c>
      <c r="C1783" s="41" t="s">
        <v>3490</v>
      </c>
      <c r="D1783" s="42">
        <v>41894</v>
      </c>
      <c r="E1783" s="41">
        <v>10</v>
      </c>
      <c r="F1783" s="41">
        <v>1</v>
      </c>
      <c r="G1783" s="41" t="s">
        <v>7622</v>
      </c>
      <c r="H1783" s="41">
        <v>10</v>
      </c>
    </row>
    <row r="1784" spans="1:8" ht="16" x14ac:dyDescent="0.2">
      <c r="A1784" s="41" t="s">
        <v>1253</v>
      </c>
      <c r="B1784" s="41" t="s">
        <v>7623</v>
      </c>
      <c r="C1784" s="41" t="s">
        <v>3490</v>
      </c>
      <c r="D1784" s="42">
        <v>39071</v>
      </c>
      <c r="E1784" s="41">
        <v>10</v>
      </c>
      <c r="F1784" s="41">
        <v>1</v>
      </c>
      <c r="G1784" s="41" t="s">
        <v>7624</v>
      </c>
      <c r="H1784" s="41">
        <v>10</v>
      </c>
    </row>
    <row r="1785" spans="1:8" ht="16" x14ac:dyDescent="0.2">
      <c r="A1785" s="41" t="s">
        <v>7625</v>
      </c>
      <c r="B1785" s="41" t="s">
        <v>7626</v>
      </c>
      <c r="C1785" s="41" t="s">
        <v>3490</v>
      </c>
      <c r="D1785" s="42">
        <v>44617</v>
      </c>
      <c r="E1785" s="41">
        <v>10</v>
      </c>
      <c r="F1785" s="41">
        <v>1</v>
      </c>
      <c r="G1785" s="41" t="s">
        <v>7627</v>
      </c>
      <c r="H1785" s="41">
        <v>10</v>
      </c>
    </row>
    <row r="1786" spans="1:8" ht="16" x14ac:dyDescent="0.2">
      <c r="A1786" s="41" t="s">
        <v>1254</v>
      </c>
      <c r="B1786" s="41" t="s">
        <v>7628</v>
      </c>
      <c r="C1786" s="41" t="s">
        <v>3490</v>
      </c>
      <c r="D1786" s="42">
        <v>43278</v>
      </c>
      <c r="E1786" s="41">
        <v>10</v>
      </c>
      <c r="F1786" s="41">
        <v>1</v>
      </c>
      <c r="G1786" s="41" t="s">
        <v>7629</v>
      </c>
      <c r="H1786" s="41">
        <v>10</v>
      </c>
    </row>
    <row r="1787" spans="1:8" ht="16" x14ac:dyDescent="0.2">
      <c r="A1787" s="41" t="s">
        <v>1255</v>
      </c>
      <c r="B1787" s="41" t="s">
        <v>7630</v>
      </c>
      <c r="C1787" s="41" t="s">
        <v>3490</v>
      </c>
      <c r="D1787" s="42">
        <v>38810</v>
      </c>
      <c r="E1787" s="41">
        <v>2</v>
      </c>
      <c r="F1787" s="41">
        <v>1</v>
      </c>
      <c r="G1787" s="41" t="s">
        <v>7631</v>
      </c>
      <c r="H1787" s="41">
        <v>2</v>
      </c>
    </row>
    <row r="1788" spans="1:8" ht="16" x14ac:dyDescent="0.2">
      <c r="A1788" s="41" t="s">
        <v>1257</v>
      </c>
      <c r="B1788" s="41" t="s">
        <v>7632</v>
      </c>
      <c r="C1788" s="41" t="s">
        <v>3490</v>
      </c>
      <c r="D1788" s="42">
        <v>35025</v>
      </c>
      <c r="E1788" s="41">
        <v>2</v>
      </c>
      <c r="F1788" s="41">
        <v>1</v>
      </c>
      <c r="G1788" s="41" t="s">
        <v>7633</v>
      </c>
      <c r="H1788" s="41">
        <v>2</v>
      </c>
    </row>
    <row r="1789" spans="1:8" ht="16" x14ac:dyDescent="0.2">
      <c r="A1789" s="41" t="s">
        <v>7634</v>
      </c>
      <c r="B1789" s="41" t="s">
        <v>7635</v>
      </c>
      <c r="C1789" s="41" t="s">
        <v>3510</v>
      </c>
      <c r="D1789" s="42">
        <v>35291</v>
      </c>
      <c r="E1789" s="41">
        <v>10</v>
      </c>
      <c r="F1789" s="41">
        <v>1</v>
      </c>
      <c r="G1789" s="41" t="s">
        <v>7636</v>
      </c>
      <c r="H1789" s="41">
        <v>10</v>
      </c>
    </row>
    <row r="1790" spans="1:8" ht="16" x14ac:dyDescent="0.2">
      <c r="A1790" s="41" t="s">
        <v>7637</v>
      </c>
      <c r="B1790" s="41" t="s">
        <v>7638</v>
      </c>
      <c r="C1790" s="41" t="s">
        <v>3490</v>
      </c>
      <c r="D1790" s="42">
        <v>42569</v>
      </c>
      <c r="E1790" s="41">
        <v>10</v>
      </c>
      <c r="F1790" s="41">
        <v>1</v>
      </c>
      <c r="G1790" s="41" t="s">
        <v>7639</v>
      </c>
      <c r="H1790" s="41">
        <v>10</v>
      </c>
    </row>
    <row r="1791" spans="1:8" ht="16" x14ac:dyDescent="0.2">
      <c r="A1791" s="41" t="s">
        <v>1258</v>
      </c>
      <c r="B1791" s="41" t="s">
        <v>7640</v>
      </c>
      <c r="C1791" s="41" t="s">
        <v>3490</v>
      </c>
      <c r="D1791" s="42">
        <v>44371</v>
      </c>
      <c r="E1791" s="41">
        <v>10</v>
      </c>
      <c r="F1791" s="41">
        <v>1</v>
      </c>
      <c r="G1791" s="41" t="s">
        <v>7641</v>
      </c>
      <c r="H1791" s="41">
        <v>10</v>
      </c>
    </row>
    <row r="1792" spans="1:8" ht="16" x14ac:dyDescent="0.2">
      <c r="A1792" s="41" t="s">
        <v>7642</v>
      </c>
      <c r="B1792" s="41" t="s">
        <v>7643</v>
      </c>
      <c r="C1792" s="41" t="s">
        <v>3490</v>
      </c>
      <c r="D1792" s="42">
        <v>44658</v>
      </c>
      <c r="E1792" s="41">
        <v>5</v>
      </c>
      <c r="F1792" s="41">
        <v>1</v>
      </c>
      <c r="G1792" s="41" t="s">
        <v>7644</v>
      </c>
      <c r="H1792" s="41">
        <v>5</v>
      </c>
    </row>
    <row r="1793" spans="1:8" ht="16" x14ac:dyDescent="0.2">
      <c r="A1793" s="41" t="s">
        <v>1259</v>
      </c>
      <c r="B1793" s="41" t="s">
        <v>7645</v>
      </c>
      <c r="C1793" s="41" t="s">
        <v>3490</v>
      </c>
      <c r="D1793" s="42">
        <v>36369</v>
      </c>
      <c r="E1793" s="41">
        <v>1</v>
      </c>
      <c r="F1793" s="41">
        <v>1</v>
      </c>
      <c r="G1793" s="41" t="s">
        <v>7646</v>
      </c>
      <c r="H1793" s="41">
        <v>1</v>
      </c>
    </row>
    <row r="1794" spans="1:8" ht="16" x14ac:dyDescent="0.2">
      <c r="A1794" s="41" t="s">
        <v>1260</v>
      </c>
      <c r="B1794" s="41" t="s">
        <v>7647</v>
      </c>
      <c r="C1794" s="41" t="s">
        <v>3490</v>
      </c>
      <c r="D1794" s="42">
        <v>34878</v>
      </c>
      <c r="E1794" s="41">
        <v>2</v>
      </c>
      <c r="F1794" s="41">
        <v>1</v>
      </c>
      <c r="G1794" s="41" t="s">
        <v>7648</v>
      </c>
      <c r="H1794" s="41">
        <v>2</v>
      </c>
    </row>
    <row r="1795" spans="1:8" ht="16" x14ac:dyDescent="0.2">
      <c r="A1795" s="41" t="s">
        <v>1261</v>
      </c>
      <c r="B1795" s="41" t="s">
        <v>7649</v>
      </c>
      <c r="C1795" s="41" t="s">
        <v>3490</v>
      </c>
      <c r="D1795" s="42">
        <v>36137</v>
      </c>
      <c r="E1795" s="41">
        <v>1</v>
      </c>
      <c r="F1795" s="41">
        <v>1</v>
      </c>
      <c r="G1795" s="41" t="s">
        <v>7650</v>
      </c>
      <c r="H1795" s="41">
        <v>1</v>
      </c>
    </row>
    <row r="1796" spans="1:8" ht="16" x14ac:dyDescent="0.2">
      <c r="A1796" s="41" t="s">
        <v>7651</v>
      </c>
      <c r="B1796" s="41" t="s">
        <v>7652</v>
      </c>
      <c r="C1796" s="41" t="s">
        <v>3510</v>
      </c>
      <c r="D1796" s="42">
        <v>43573</v>
      </c>
      <c r="E1796" s="41">
        <v>10</v>
      </c>
      <c r="F1796" s="41">
        <v>1</v>
      </c>
      <c r="G1796" s="41" t="s">
        <v>7653</v>
      </c>
      <c r="H1796" s="41">
        <v>10</v>
      </c>
    </row>
    <row r="1797" spans="1:8" ht="16" x14ac:dyDescent="0.2">
      <c r="A1797" s="41" t="s">
        <v>1262</v>
      </c>
      <c r="B1797" s="41" t="s">
        <v>7654</v>
      </c>
      <c r="C1797" s="41" t="s">
        <v>3490</v>
      </c>
      <c r="D1797" s="42">
        <v>42594</v>
      </c>
      <c r="E1797" s="41">
        <v>10</v>
      </c>
      <c r="F1797" s="41">
        <v>1</v>
      </c>
      <c r="G1797" s="41" t="s">
        <v>7655</v>
      </c>
      <c r="H1797" s="41">
        <v>10</v>
      </c>
    </row>
    <row r="1798" spans="1:8" ht="16" x14ac:dyDescent="0.2">
      <c r="A1798" s="41" t="s">
        <v>1263</v>
      </c>
      <c r="B1798" s="41" t="s">
        <v>7656</v>
      </c>
      <c r="C1798" s="41" t="s">
        <v>3490</v>
      </c>
      <c r="D1798" s="42">
        <v>43696</v>
      </c>
      <c r="E1798" s="41">
        <v>10</v>
      </c>
      <c r="F1798" s="41">
        <v>1</v>
      </c>
      <c r="G1798" s="41" t="s">
        <v>7657</v>
      </c>
      <c r="H1798" s="41">
        <v>10</v>
      </c>
    </row>
    <row r="1799" spans="1:8" ht="16" x14ac:dyDescent="0.2">
      <c r="A1799" s="41" t="s">
        <v>1264</v>
      </c>
      <c r="B1799" s="41" t="s">
        <v>7658</v>
      </c>
      <c r="C1799" s="41" t="s">
        <v>3490</v>
      </c>
      <c r="D1799" s="42">
        <v>39281</v>
      </c>
      <c r="E1799" s="41">
        <v>1</v>
      </c>
      <c r="F1799" s="41">
        <v>1</v>
      </c>
      <c r="G1799" s="41" t="s">
        <v>7659</v>
      </c>
      <c r="H1799" s="41">
        <v>1</v>
      </c>
    </row>
    <row r="1800" spans="1:8" ht="16" x14ac:dyDescent="0.2">
      <c r="A1800" s="41" t="s">
        <v>1265</v>
      </c>
      <c r="B1800" s="41" t="s">
        <v>7660</v>
      </c>
      <c r="C1800" s="41" t="s">
        <v>3490</v>
      </c>
      <c r="D1800" s="42">
        <v>42745</v>
      </c>
      <c r="E1800" s="41">
        <v>1</v>
      </c>
      <c r="F1800" s="41">
        <v>1</v>
      </c>
      <c r="G1800" s="41" t="s">
        <v>7661</v>
      </c>
      <c r="H1800" s="41">
        <v>1</v>
      </c>
    </row>
    <row r="1801" spans="1:8" ht="16" x14ac:dyDescent="0.2">
      <c r="A1801" s="41" t="s">
        <v>1267</v>
      </c>
      <c r="B1801" s="41" t="s">
        <v>7662</v>
      </c>
      <c r="C1801" s="41" t="s">
        <v>3490</v>
      </c>
      <c r="D1801" s="42">
        <v>41059</v>
      </c>
      <c r="E1801" s="41">
        <v>10</v>
      </c>
      <c r="F1801" s="41">
        <v>1</v>
      </c>
      <c r="G1801" s="41" t="s">
        <v>7663</v>
      </c>
      <c r="H1801" s="41">
        <v>10</v>
      </c>
    </row>
    <row r="1802" spans="1:8" ht="16" x14ac:dyDescent="0.2">
      <c r="A1802" s="41" t="s">
        <v>1268</v>
      </c>
      <c r="B1802" s="41" t="s">
        <v>7664</v>
      </c>
      <c r="C1802" s="41" t="s">
        <v>3490</v>
      </c>
      <c r="D1802" s="42">
        <v>45744</v>
      </c>
      <c r="E1802" s="41">
        <v>10</v>
      </c>
      <c r="F1802" s="41">
        <v>1</v>
      </c>
      <c r="G1802" s="41" t="s">
        <v>7665</v>
      </c>
      <c r="H1802" s="41">
        <v>10</v>
      </c>
    </row>
    <row r="1803" spans="1:8" ht="16" x14ac:dyDescent="0.2">
      <c r="A1803" s="41" t="s">
        <v>1269</v>
      </c>
      <c r="B1803" s="41" t="s">
        <v>7666</v>
      </c>
      <c r="C1803" s="41" t="s">
        <v>3490</v>
      </c>
      <c r="D1803" s="42">
        <v>43490</v>
      </c>
      <c r="E1803" s="41">
        <v>5</v>
      </c>
      <c r="F1803" s="41">
        <v>1</v>
      </c>
      <c r="G1803" s="41" t="s">
        <v>7667</v>
      </c>
      <c r="H1803" s="41">
        <v>5</v>
      </c>
    </row>
    <row r="1804" spans="1:8" ht="16" x14ac:dyDescent="0.2">
      <c r="A1804" s="41" t="s">
        <v>1270</v>
      </c>
      <c r="B1804" s="41" t="s">
        <v>7668</v>
      </c>
      <c r="C1804" s="41" t="s">
        <v>3490</v>
      </c>
      <c r="D1804" s="42">
        <v>35074</v>
      </c>
      <c r="E1804" s="41">
        <v>10</v>
      </c>
      <c r="F1804" s="41">
        <v>1</v>
      </c>
      <c r="G1804" s="41" t="s">
        <v>7669</v>
      </c>
      <c r="H1804" s="41">
        <v>10</v>
      </c>
    </row>
    <row r="1805" spans="1:8" ht="16" x14ac:dyDescent="0.2">
      <c r="A1805" s="41" t="s">
        <v>7670</v>
      </c>
      <c r="B1805" s="41" t="s">
        <v>7671</v>
      </c>
      <c r="C1805" s="41" t="s">
        <v>3490</v>
      </c>
      <c r="D1805" s="42">
        <v>38559</v>
      </c>
      <c r="E1805" s="41">
        <v>10</v>
      </c>
      <c r="F1805" s="41">
        <v>1</v>
      </c>
      <c r="G1805" s="41" t="s">
        <v>7672</v>
      </c>
      <c r="H1805" s="41">
        <v>10</v>
      </c>
    </row>
    <row r="1806" spans="1:8" ht="16" x14ac:dyDescent="0.2">
      <c r="A1806" s="41" t="s">
        <v>1271</v>
      </c>
      <c r="B1806" s="41" t="s">
        <v>7673</v>
      </c>
      <c r="C1806" s="41" t="s">
        <v>3490</v>
      </c>
      <c r="D1806" s="42">
        <v>44705</v>
      </c>
      <c r="E1806" s="41">
        <v>2</v>
      </c>
      <c r="F1806" s="41">
        <v>1</v>
      </c>
      <c r="G1806" s="41" t="s">
        <v>7674</v>
      </c>
      <c r="H1806" s="41">
        <v>2</v>
      </c>
    </row>
    <row r="1807" spans="1:8" ht="16" x14ac:dyDescent="0.2">
      <c r="A1807" s="41" t="s">
        <v>1272</v>
      </c>
      <c r="B1807" s="41" t="s">
        <v>7675</v>
      </c>
      <c r="C1807" s="41" t="s">
        <v>3490</v>
      </c>
      <c r="D1807" s="42">
        <v>35109</v>
      </c>
      <c r="E1807" s="41">
        <v>2</v>
      </c>
      <c r="F1807" s="41">
        <v>1</v>
      </c>
      <c r="G1807" s="41" t="s">
        <v>7676</v>
      </c>
      <c r="H1807" s="41">
        <v>2</v>
      </c>
    </row>
    <row r="1808" spans="1:8" ht="16" x14ac:dyDescent="0.2">
      <c r="A1808" s="41" t="s">
        <v>1273</v>
      </c>
      <c r="B1808" s="41" t="s">
        <v>7677</v>
      </c>
      <c r="C1808" s="41" t="s">
        <v>3490</v>
      </c>
      <c r="D1808" s="42">
        <v>44797</v>
      </c>
      <c r="E1808" s="41">
        <v>1</v>
      </c>
      <c r="F1808" s="41">
        <v>1</v>
      </c>
      <c r="G1808" s="41" t="s">
        <v>7678</v>
      </c>
      <c r="H1808" s="41">
        <v>1</v>
      </c>
    </row>
    <row r="1809" spans="1:8" ht="16" x14ac:dyDescent="0.2">
      <c r="A1809" s="41" t="s">
        <v>7679</v>
      </c>
      <c r="B1809" s="41" t="s">
        <v>7680</v>
      </c>
      <c r="C1809" s="41" t="s">
        <v>3490</v>
      </c>
      <c r="D1809" s="42">
        <v>45574</v>
      </c>
      <c r="E1809" s="41">
        <v>10</v>
      </c>
      <c r="F1809" s="41">
        <v>1</v>
      </c>
      <c r="G1809" s="41" t="s">
        <v>7681</v>
      </c>
      <c r="H1809" s="41">
        <v>10</v>
      </c>
    </row>
    <row r="1810" spans="1:8" ht="16" x14ac:dyDescent="0.2">
      <c r="A1810" s="41" t="s">
        <v>1274</v>
      </c>
      <c r="B1810" s="41" t="s">
        <v>7682</v>
      </c>
      <c r="C1810" s="41" t="s">
        <v>3490</v>
      </c>
      <c r="D1810" s="42">
        <v>41640</v>
      </c>
      <c r="E1810" s="41">
        <v>10</v>
      </c>
      <c r="F1810" s="41">
        <v>1</v>
      </c>
      <c r="G1810" s="41" t="s">
        <v>7683</v>
      </c>
      <c r="H1810" s="41">
        <v>10</v>
      </c>
    </row>
    <row r="1811" spans="1:8" ht="16" x14ac:dyDescent="0.2">
      <c r="A1811" s="41" t="s">
        <v>1275</v>
      </c>
      <c r="B1811" s="41" t="s">
        <v>7684</v>
      </c>
      <c r="C1811" s="41" t="s">
        <v>3490</v>
      </c>
      <c r="D1811" s="42">
        <v>37851</v>
      </c>
      <c r="E1811" s="41">
        <v>10</v>
      </c>
      <c r="F1811" s="41">
        <v>1</v>
      </c>
      <c r="G1811" s="41" t="s">
        <v>7685</v>
      </c>
      <c r="H1811" s="41">
        <v>10</v>
      </c>
    </row>
    <row r="1812" spans="1:8" ht="16" x14ac:dyDescent="0.2">
      <c r="A1812" s="41" t="s">
        <v>1276</v>
      </c>
      <c r="B1812" s="41" t="s">
        <v>7686</v>
      </c>
      <c r="C1812" s="41" t="s">
        <v>3490</v>
      </c>
      <c r="D1812" s="42">
        <v>45159</v>
      </c>
      <c r="E1812" s="41">
        <v>10</v>
      </c>
      <c r="F1812" s="41">
        <v>1</v>
      </c>
      <c r="G1812" s="41" t="s">
        <v>7687</v>
      </c>
      <c r="H1812" s="41">
        <v>10</v>
      </c>
    </row>
    <row r="1813" spans="1:8" ht="16" x14ac:dyDescent="0.2">
      <c r="A1813" s="41" t="s">
        <v>1277</v>
      </c>
      <c r="B1813" s="41" t="s">
        <v>7688</v>
      </c>
      <c r="C1813" s="41" t="s">
        <v>3490</v>
      </c>
      <c r="D1813" s="42">
        <v>39210</v>
      </c>
      <c r="E1813" s="41">
        <v>10</v>
      </c>
      <c r="F1813" s="41">
        <v>1</v>
      </c>
      <c r="G1813" s="41" t="s">
        <v>7689</v>
      </c>
      <c r="H1813" s="41">
        <v>10</v>
      </c>
    </row>
    <row r="1814" spans="1:8" ht="16" x14ac:dyDescent="0.2">
      <c r="A1814" s="41" t="s">
        <v>3472</v>
      </c>
      <c r="B1814" s="41" t="s">
        <v>7690</v>
      </c>
      <c r="C1814" s="41" t="s">
        <v>3490</v>
      </c>
      <c r="D1814" s="42">
        <v>45385</v>
      </c>
      <c r="E1814" s="41">
        <v>10</v>
      </c>
      <c r="F1814" s="41">
        <v>1</v>
      </c>
      <c r="G1814" s="41" t="s">
        <v>7691</v>
      </c>
      <c r="H1814" s="41">
        <v>10</v>
      </c>
    </row>
    <row r="1815" spans="1:8" ht="16" x14ac:dyDescent="0.2">
      <c r="A1815" s="41" t="s">
        <v>7692</v>
      </c>
      <c r="B1815" s="41" t="s">
        <v>7693</v>
      </c>
      <c r="C1815" s="41" t="s">
        <v>3797</v>
      </c>
      <c r="D1815" s="42">
        <v>44097</v>
      </c>
      <c r="E1815" s="41">
        <v>1</v>
      </c>
      <c r="F1815" s="41">
        <v>1</v>
      </c>
      <c r="G1815" s="41" t="s">
        <v>7694</v>
      </c>
      <c r="H1815" s="41">
        <v>1</v>
      </c>
    </row>
    <row r="1816" spans="1:8" ht="16" x14ac:dyDescent="0.2">
      <c r="A1816" s="41" t="s">
        <v>7695</v>
      </c>
      <c r="B1816" s="41" t="s">
        <v>7696</v>
      </c>
      <c r="C1816" s="41" t="s">
        <v>3490</v>
      </c>
      <c r="D1816" s="42">
        <v>45524</v>
      </c>
      <c r="E1816" s="41">
        <v>10</v>
      </c>
      <c r="F1816" s="41">
        <v>1</v>
      </c>
      <c r="G1816" s="41" t="s">
        <v>7697</v>
      </c>
      <c r="H1816" s="41">
        <v>10</v>
      </c>
    </row>
    <row r="1817" spans="1:8" ht="16" x14ac:dyDescent="0.2">
      <c r="A1817" s="41" t="s">
        <v>1278</v>
      </c>
      <c r="B1817" s="41" t="s">
        <v>7698</v>
      </c>
      <c r="C1817" s="41" t="s">
        <v>3490</v>
      </c>
      <c r="D1817" s="42">
        <v>38509</v>
      </c>
      <c r="E1817" s="41">
        <v>1</v>
      </c>
      <c r="F1817" s="41">
        <v>1</v>
      </c>
      <c r="G1817" s="41" t="s">
        <v>7699</v>
      </c>
      <c r="H1817" s="41">
        <v>1</v>
      </c>
    </row>
    <row r="1818" spans="1:8" ht="16" x14ac:dyDescent="0.2">
      <c r="A1818" s="41" t="s">
        <v>3463</v>
      </c>
      <c r="B1818" s="41" t="s">
        <v>7700</v>
      </c>
      <c r="C1818" s="41" t="s">
        <v>3490</v>
      </c>
      <c r="D1818" s="42">
        <v>45680</v>
      </c>
      <c r="E1818" s="41">
        <v>10</v>
      </c>
      <c r="F1818" s="41">
        <v>1</v>
      </c>
      <c r="G1818" s="41" t="s">
        <v>7701</v>
      </c>
      <c r="H1818" s="41">
        <v>10</v>
      </c>
    </row>
    <row r="1819" spans="1:8" ht="16" x14ac:dyDescent="0.2">
      <c r="A1819" s="41" t="s">
        <v>1279</v>
      </c>
      <c r="B1819" s="41" t="s">
        <v>7702</v>
      </c>
      <c r="C1819" s="41" t="s">
        <v>3490</v>
      </c>
      <c r="D1819" s="42">
        <v>45471</v>
      </c>
      <c r="E1819" s="41">
        <v>2</v>
      </c>
      <c r="F1819" s="41">
        <v>1</v>
      </c>
      <c r="G1819" s="41" t="s">
        <v>7703</v>
      </c>
      <c r="H1819" s="41">
        <v>2</v>
      </c>
    </row>
    <row r="1820" spans="1:8" ht="16" x14ac:dyDescent="0.2">
      <c r="A1820" s="41" t="s">
        <v>1280</v>
      </c>
      <c r="B1820" s="41" t="s">
        <v>7704</v>
      </c>
      <c r="C1820" s="41" t="s">
        <v>3490</v>
      </c>
      <c r="D1820" s="42">
        <v>36558</v>
      </c>
      <c r="E1820" s="41">
        <v>10</v>
      </c>
      <c r="F1820" s="41">
        <v>1</v>
      </c>
      <c r="G1820" s="41" t="s">
        <v>7705</v>
      </c>
      <c r="H1820" s="41">
        <v>10</v>
      </c>
    </row>
    <row r="1821" spans="1:8" ht="16" x14ac:dyDescent="0.2">
      <c r="A1821" s="41" t="s">
        <v>1281</v>
      </c>
      <c r="B1821" s="41" t="s">
        <v>7706</v>
      </c>
      <c r="C1821" s="41" t="s">
        <v>3490</v>
      </c>
      <c r="D1821" s="42">
        <v>42902</v>
      </c>
      <c r="E1821" s="41">
        <v>1</v>
      </c>
      <c r="F1821" s="41">
        <v>1</v>
      </c>
      <c r="G1821" s="41" t="s">
        <v>7707</v>
      </c>
      <c r="H1821" s="41">
        <v>1</v>
      </c>
    </row>
    <row r="1822" spans="1:8" ht="16" x14ac:dyDescent="0.2">
      <c r="A1822" s="41" t="s">
        <v>1282</v>
      </c>
      <c r="B1822" s="41" t="s">
        <v>7708</v>
      </c>
      <c r="C1822" s="41" t="s">
        <v>3490</v>
      </c>
      <c r="D1822" s="42">
        <v>44540</v>
      </c>
      <c r="E1822" s="41">
        <v>10</v>
      </c>
      <c r="F1822" s="41">
        <v>1</v>
      </c>
      <c r="G1822" s="41" t="s">
        <v>7709</v>
      </c>
      <c r="H1822" s="41">
        <v>10</v>
      </c>
    </row>
    <row r="1823" spans="1:8" ht="16" x14ac:dyDescent="0.2">
      <c r="A1823" s="41" t="s">
        <v>7710</v>
      </c>
      <c r="B1823" s="41" t="s">
        <v>7711</v>
      </c>
      <c r="C1823" s="41" t="s">
        <v>3490</v>
      </c>
      <c r="D1823" s="42">
        <v>34955</v>
      </c>
      <c r="E1823" s="41">
        <v>10</v>
      </c>
      <c r="F1823" s="41">
        <v>1</v>
      </c>
      <c r="G1823" s="41" t="s">
        <v>7712</v>
      </c>
      <c r="H1823" s="41">
        <v>10</v>
      </c>
    </row>
    <row r="1824" spans="1:8" ht="16" x14ac:dyDescent="0.2">
      <c r="A1824" s="41" t="s">
        <v>7713</v>
      </c>
      <c r="B1824" s="41" t="s">
        <v>7714</v>
      </c>
      <c r="C1824" s="41" t="s">
        <v>3490</v>
      </c>
      <c r="D1824" s="42">
        <v>44685</v>
      </c>
      <c r="E1824" s="41">
        <v>10</v>
      </c>
      <c r="F1824" s="41">
        <v>1</v>
      </c>
      <c r="G1824" s="41" t="s">
        <v>7715</v>
      </c>
      <c r="H1824" s="41">
        <v>10</v>
      </c>
    </row>
    <row r="1825" spans="1:8" ht="16" x14ac:dyDescent="0.2">
      <c r="A1825" s="41" t="s">
        <v>1283</v>
      </c>
      <c r="B1825" s="41" t="s">
        <v>7716</v>
      </c>
      <c r="C1825" s="41" t="s">
        <v>3510</v>
      </c>
      <c r="D1825" s="42">
        <v>37712</v>
      </c>
      <c r="E1825" s="41">
        <v>10</v>
      </c>
      <c r="F1825" s="41">
        <v>1</v>
      </c>
      <c r="G1825" s="41" t="s">
        <v>7717</v>
      </c>
      <c r="H1825" s="41">
        <v>10</v>
      </c>
    </row>
    <row r="1826" spans="1:8" ht="16" x14ac:dyDescent="0.2">
      <c r="A1826" s="41" t="s">
        <v>1284</v>
      </c>
      <c r="B1826" s="41" t="s">
        <v>7718</v>
      </c>
      <c r="C1826" s="41" t="s">
        <v>3490</v>
      </c>
      <c r="D1826" s="42">
        <v>44523</v>
      </c>
      <c r="E1826" s="41">
        <v>1</v>
      </c>
      <c r="F1826" s="41">
        <v>1</v>
      </c>
      <c r="G1826" s="41" t="s">
        <v>7719</v>
      </c>
      <c r="H1826" s="41">
        <v>1</v>
      </c>
    </row>
    <row r="1827" spans="1:8" ht="16" x14ac:dyDescent="0.2">
      <c r="A1827" s="41" t="s">
        <v>7720</v>
      </c>
      <c r="B1827" s="41" t="s">
        <v>7721</v>
      </c>
      <c r="C1827" s="41" t="s">
        <v>3490</v>
      </c>
      <c r="D1827" s="42">
        <v>43643</v>
      </c>
      <c r="E1827" s="41">
        <v>10</v>
      </c>
      <c r="F1827" s="41">
        <v>1</v>
      </c>
      <c r="G1827" s="41" t="s">
        <v>7722</v>
      </c>
      <c r="H1827" s="41">
        <v>10</v>
      </c>
    </row>
    <row r="1828" spans="1:8" ht="16" x14ac:dyDescent="0.2">
      <c r="A1828" s="41" t="s">
        <v>1285</v>
      </c>
      <c r="B1828" s="41" t="s">
        <v>7723</v>
      </c>
      <c r="C1828" s="41" t="s">
        <v>3490</v>
      </c>
      <c r="D1828" s="42">
        <v>42936</v>
      </c>
      <c r="E1828" s="41">
        <v>1</v>
      </c>
      <c r="F1828" s="41">
        <v>1</v>
      </c>
      <c r="G1828" s="41" t="s">
        <v>7724</v>
      </c>
      <c r="H1828" s="41">
        <v>1</v>
      </c>
    </row>
    <row r="1829" spans="1:8" ht="16" x14ac:dyDescent="0.2">
      <c r="A1829" s="41" t="s">
        <v>1286</v>
      </c>
      <c r="B1829" s="41" t="s">
        <v>7725</v>
      </c>
      <c r="C1829" s="41" t="s">
        <v>3490</v>
      </c>
      <c r="D1829" s="42">
        <v>40583</v>
      </c>
      <c r="E1829" s="41">
        <v>10</v>
      </c>
      <c r="F1829" s="41">
        <v>1</v>
      </c>
      <c r="G1829" s="41" t="s">
        <v>7726</v>
      </c>
      <c r="H1829" s="41">
        <v>10</v>
      </c>
    </row>
    <row r="1830" spans="1:8" ht="16" x14ac:dyDescent="0.2">
      <c r="A1830" s="41" t="s">
        <v>1287</v>
      </c>
      <c r="B1830" s="41" t="s">
        <v>7727</v>
      </c>
      <c r="C1830" s="41" t="s">
        <v>3490</v>
      </c>
      <c r="D1830" s="42">
        <v>38750</v>
      </c>
      <c r="E1830" s="41">
        <v>2</v>
      </c>
      <c r="F1830" s="41">
        <v>1</v>
      </c>
      <c r="G1830" s="41" t="s">
        <v>7728</v>
      </c>
      <c r="H1830" s="41">
        <v>2</v>
      </c>
    </row>
    <row r="1831" spans="1:8" ht="16" x14ac:dyDescent="0.2">
      <c r="A1831" s="41" t="s">
        <v>7729</v>
      </c>
      <c r="B1831" s="41" t="s">
        <v>7730</v>
      </c>
      <c r="C1831" s="41" t="s">
        <v>3510</v>
      </c>
      <c r="D1831" s="42">
        <v>45904</v>
      </c>
      <c r="E1831" s="41">
        <v>2</v>
      </c>
      <c r="F1831" s="41">
        <v>1</v>
      </c>
      <c r="G1831" s="41" t="s">
        <v>7731</v>
      </c>
      <c r="H1831" s="41">
        <v>2</v>
      </c>
    </row>
    <row r="1832" spans="1:8" ht="16" x14ac:dyDescent="0.2">
      <c r="A1832" s="41" t="s">
        <v>1288</v>
      </c>
      <c r="B1832" s="41" t="s">
        <v>7732</v>
      </c>
      <c r="C1832" s="41" t="s">
        <v>3490</v>
      </c>
      <c r="D1832" s="42">
        <v>36868</v>
      </c>
      <c r="E1832" s="41">
        <v>2</v>
      </c>
      <c r="F1832" s="41">
        <v>1</v>
      </c>
      <c r="G1832" s="41" t="s">
        <v>7733</v>
      </c>
      <c r="H1832" s="41">
        <v>2</v>
      </c>
    </row>
    <row r="1833" spans="1:8" ht="16" x14ac:dyDescent="0.2">
      <c r="A1833" s="41" t="s">
        <v>1289</v>
      </c>
      <c r="B1833" s="41" t="s">
        <v>7734</v>
      </c>
      <c r="C1833" s="41" t="s">
        <v>3490</v>
      </c>
      <c r="D1833" s="42">
        <v>44232</v>
      </c>
      <c r="E1833" s="41">
        <v>10</v>
      </c>
      <c r="F1833" s="41">
        <v>1</v>
      </c>
      <c r="G1833" s="41" t="s">
        <v>7735</v>
      </c>
      <c r="H1833" s="41">
        <v>10</v>
      </c>
    </row>
    <row r="1834" spans="1:8" ht="16" x14ac:dyDescent="0.2">
      <c r="A1834" s="41" t="s">
        <v>1290</v>
      </c>
      <c r="B1834" s="41" t="s">
        <v>7736</v>
      </c>
      <c r="C1834" s="41" t="s">
        <v>3490</v>
      </c>
      <c r="D1834" s="42">
        <v>44410</v>
      </c>
      <c r="E1834" s="41">
        <v>5</v>
      </c>
      <c r="F1834" s="41">
        <v>1</v>
      </c>
      <c r="G1834" s="41" t="s">
        <v>7737</v>
      </c>
      <c r="H1834" s="41">
        <v>5</v>
      </c>
    </row>
    <row r="1835" spans="1:8" ht="16" x14ac:dyDescent="0.2">
      <c r="A1835" s="41" t="s">
        <v>3480</v>
      </c>
      <c r="B1835" s="41" t="s">
        <v>7738</v>
      </c>
      <c r="C1835" s="41" t="s">
        <v>3490</v>
      </c>
      <c r="D1835" s="42">
        <v>45541</v>
      </c>
      <c r="E1835" s="41">
        <v>5</v>
      </c>
      <c r="F1835" s="41">
        <v>1</v>
      </c>
      <c r="G1835" s="41" t="s">
        <v>7739</v>
      </c>
      <c r="H1835" s="41">
        <v>5</v>
      </c>
    </row>
    <row r="1836" spans="1:8" ht="16" x14ac:dyDescent="0.2">
      <c r="A1836" s="41" t="s">
        <v>1291</v>
      </c>
      <c r="B1836" s="41" t="s">
        <v>7740</v>
      </c>
      <c r="C1836" s="41" t="s">
        <v>3490</v>
      </c>
      <c r="D1836" s="42">
        <v>34787</v>
      </c>
      <c r="E1836" s="41">
        <v>10</v>
      </c>
      <c r="F1836" s="41">
        <v>1</v>
      </c>
      <c r="G1836" s="41" t="s">
        <v>7741</v>
      </c>
      <c r="H1836" s="41">
        <v>10</v>
      </c>
    </row>
    <row r="1837" spans="1:8" ht="16" x14ac:dyDescent="0.2">
      <c r="A1837" s="41" t="s">
        <v>1292</v>
      </c>
      <c r="B1837" s="41" t="s">
        <v>7742</v>
      </c>
      <c r="C1837" s="41" t="s">
        <v>3510</v>
      </c>
      <c r="D1837" s="42">
        <v>44140</v>
      </c>
      <c r="E1837" s="41">
        <v>5</v>
      </c>
      <c r="F1837" s="41">
        <v>1</v>
      </c>
      <c r="G1837" s="41" t="s">
        <v>7743</v>
      </c>
      <c r="H1837" s="41">
        <v>5</v>
      </c>
    </row>
    <row r="1838" spans="1:8" ht="16" x14ac:dyDescent="0.2">
      <c r="A1838" s="41" t="s">
        <v>1293</v>
      </c>
      <c r="B1838" s="41" t="s">
        <v>7744</v>
      </c>
      <c r="C1838" s="41" t="s">
        <v>3490</v>
      </c>
      <c r="D1838" s="42">
        <v>38546</v>
      </c>
      <c r="E1838" s="41">
        <v>2</v>
      </c>
      <c r="F1838" s="41">
        <v>1</v>
      </c>
      <c r="G1838" s="41" t="s">
        <v>7745</v>
      </c>
      <c r="H1838" s="41">
        <v>2</v>
      </c>
    </row>
    <row r="1839" spans="1:8" ht="16" x14ac:dyDescent="0.2">
      <c r="A1839" s="41" t="s">
        <v>1294</v>
      </c>
      <c r="B1839" s="41" t="s">
        <v>7746</v>
      </c>
      <c r="C1839" s="41" t="s">
        <v>3490</v>
      </c>
      <c r="D1839" s="42">
        <v>34844</v>
      </c>
      <c r="E1839" s="41">
        <v>2</v>
      </c>
      <c r="F1839" s="41">
        <v>1</v>
      </c>
      <c r="G1839" s="41" t="s">
        <v>7747</v>
      </c>
      <c r="H1839" s="41">
        <v>2</v>
      </c>
    </row>
    <row r="1840" spans="1:8" ht="16" x14ac:dyDescent="0.2">
      <c r="A1840" s="41" t="s">
        <v>1295</v>
      </c>
      <c r="B1840" s="41" t="s">
        <v>7748</v>
      </c>
      <c r="C1840" s="41" t="s">
        <v>3490</v>
      </c>
      <c r="D1840" s="42">
        <v>44872</v>
      </c>
      <c r="E1840" s="41">
        <v>5</v>
      </c>
      <c r="F1840" s="41">
        <v>1</v>
      </c>
      <c r="G1840" s="41" t="s">
        <v>7749</v>
      </c>
      <c r="H1840" s="41">
        <v>5</v>
      </c>
    </row>
    <row r="1841" spans="1:8" ht="16" x14ac:dyDescent="0.2">
      <c r="A1841" s="41" t="s">
        <v>1296</v>
      </c>
      <c r="B1841" s="41" t="s">
        <v>7750</v>
      </c>
      <c r="C1841" s="41" t="s">
        <v>3490</v>
      </c>
      <c r="D1841" s="42">
        <v>44917</v>
      </c>
      <c r="E1841" s="41">
        <v>2</v>
      </c>
      <c r="F1841" s="41">
        <v>1</v>
      </c>
      <c r="G1841" s="41" t="s">
        <v>7751</v>
      </c>
      <c r="H1841" s="41">
        <v>2</v>
      </c>
    </row>
    <row r="1842" spans="1:8" ht="16" x14ac:dyDescent="0.2">
      <c r="A1842" s="41" t="s">
        <v>7752</v>
      </c>
      <c r="B1842" s="41" t="s">
        <v>7753</v>
      </c>
      <c r="C1842" s="41" t="s">
        <v>3510</v>
      </c>
      <c r="D1842" s="42">
        <v>40522</v>
      </c>
      <c r="E1842" s="41">
        <v>10</v>
      </c>
      <c r="F1842" s="41">
        <v>1</v>
      </c>
      <c r="G1842" s="41" t="s">
        <v>7754</v>
      </c>
      <c r="H1842" s="41">
        <v>10</v>
      </c>
    </row>
    <row r="1843" spans="1:8" ht="16" x14ac:dyDescent="0.2">
      <c r="A1843" s="41" t="s">
        <v>1297</v>
      </c>
      <c r="B1843" s="41" t="s">
        <v>7755</v>
      </c>
      <c r="C1843" s="41" t="s">
        <v>3490</v>
      </c>
      <c r="D1843" s="42">
        <v>43857</v>
      </c>
      <c r="E1843" s="41">
        <v>10</v>
      </c>
      <c r="F1843" s="41">
        <v>1</v>
      </c>
      <c r="G1843" s="41" t="s">
        <v>7756</v>
      </c>
      <c r="H1843" s="41">
        <v>10</v>
      </c>
    </row>
    <row r="1844" spans="1:8" ht="16" x14ac:dyDescent="0.2">
      <c r="A1844" s="41" t="s">
        <v>7757</v>
      </c>
      <c r="B1844" s="41" t="s">
        <v>7758</v>
      </c>
      <c r="C1844" s="41" t="s">
        <v>3490</v>
      </c>
      <c r="D1844" s="42">
        <v>43676</v>
      </c>
      <c r="E1844" s="41">
        <v>10</v>
      </c>
      <c r="F1844" s="41">
        <v>1</v>
      </c>
      <c r="G1844" s="41" t="s">
        <v>7759</v>
      </c>
      <c r="H1844" s="41">
        <v>10</v>
      </c>
    </row>
    <row r="1845" spans="1:8" ht="16" x14ac:dyDescent="0.2">
      <c r="A1845" s="41" t="s">
        <v>1298</v>
      </c>
      <c r="B1845" s="41" t="s">
        <v>7760</v>
      </c>
      <c r="C1845" s="41" t="s">
        <v>3490</v>
      </c>
      <c r="D1845" s="42">
        <v>40571</v>
      </c>
      <c r="E1845" s="41">
        <v>10</v>
      </c>
      <c r="F1845" s="41">
        <v>1</v>
      </c>
      <c r="G1845" s="41" t="s">
        <v>7761</v>
      </c>
      <c r="H1845" s="41">
        <v>10</v>
      </c>
    </row>
    <row r="1846" spans="1:8" ht="16" x14ac:dyDescent="0.2">
      <c r="A1846" s="41" t="s">
        <v>1299</v>
      </c>
      <c r="B1846" s="41" t="s">
        <v>7762</v>
      </c>
      <c r="C1846" s="41" t="s">
        <v>3490</v>
      </c>
      <c r="D1846" s="42">
        <v>45289</v>
      </c>
      <c r="E1846" s="41">
        <v>5</v>
      </c>
      <c r="F1846" s="41">
        <v>1</v>
      </c>
      <c r="G1846" s="41" t="s">
        <v>7763</v>
      </c>
      <c r="H1846" s="41">
        <v>5</v>
      </c>
    </row>
    <row r="1847" spans="1:8" ht="16" x14ac:dyDescent="0.2">
      <c r="A1847" s="41" t="s">
        <v>7764</v>
      </c>
      <c r="B1847" s="41" t="s">
        <v>7765</v>
      </c>
      <c r="C1847" s="41" t="s">
        <v>3490</v>
      </c>
      <c r="D1847" s="42">
        <v>40331</v>
      </c>
      <c r="E1847" s="41">
        <v>1</v>
      </c>
      <c r="F1847" s="41">
        <v>1</v>
      </c>
      <c r="G1847" s="41" t="s">
        <v>7766</v>
      </c>
      <c r="H1847" s="41">
        <v>1</v>
      </c>
    </row>
    <row r="1848" spans="1:8" ht="16" x14ac:dyDescent="0.2">
      <c r="A1848" s="41" t="s">
        <v>1300</v>
      </c>
      <c r="B1848" s="41" t="s">
        <v>7767</v>
      </c>
      <c r="C1848" s="41" t="s">
        <v>3490</v>
      </c>
      <c r="D1848" s="42">
        <v>35802</v>
      </c>
      <c r="E1848" s="41">
        <v>10</v>
      </c>
      <c r="F1848" s="41">
        <v>1</v>
      </c>
      <c r="G1848" s="41" t="s">
        <v>7768</v>
      </c>
      <c r="H1848" s="41">
        <v>10</v>
      </c>
    </row>
    <row r="1849" spans="1:8" ht="16" x14ac:dyDescent="0.2">
      <c r="A1849" s="41" t="s">
        <v>1301</v>
      </c>
      <c r="B1849" s="41" t="s">
        <v>7769</v>
      </c>
      <c r="C1849" s="41" t="s">
        <v>3490</v>
      </c>
      <c r="D1849" s="42">
        <v>43185</v>
      </c>
      <c r="E1849" s="41">
        <v>5</v>
      </c>
      <c r="F1849" s="41">
        <v>1</v>
      </c>
      <c r="G1849" s="41" t="s">
        <v>7770</v>
      </c>
      <c r="H1849" s="41">
        <v>5</v>
      </c>
    </row>
    <row r="1850" spans="1:8" ht="16" x14ac:dyDescent="0.2">
      <c r="A1850" s="41" t="s">
        <v>7771</v>
      </c>
      <c r="B1850" s="41" t="s">
        <v>7772</v>
      </c>
      <c r="C1850" s="41" t="s">
        <v>3490</v>
      </c>
      <c r="D1850" s="42">
        <v>35263</v>
      </c>
      <c r="E1850" s="41">
        <v>10</v>
      </c>
      <c r="F1850" s="41">
        <v>1</v>
      </c>
      <c r="G1850" s="41" t="s">
        <v>7773</v>
      </c>
      <c r="H1850" s="41">
        <v>10</v>
      </c>
    </row>
    <row r="1851" spans="1:8" ht="16" x14ac:dyDescent="0.2">
      <c r="A1851" s="41" t="s">
        <v>1302</v>
      </c>
      <c r="B1851" s="41" t="s">
        <v>7774</v>
      </c>
      <c r="C1851" s="41" t="s">
        <v>3490</v>
      </c>
      <c r="D1851" s="42">
        <v>36684</v>
      </c>
      <c r="E1851" s="41">
        <v>1</v>
      </c>
      <c r="F1851" s="41">
        <v>1</v>
      </c>
      <c r="G1851" s="41" t="s">
        <v>7775</v>
      </c>
      <c r="H1851" s="41">
        <v>1</v>
      </c>
    </row>
    <row r="1852" spans="1:8" ht="16" x14ac:dyDescent="0.2">
      <c r="A1852" s="41" t="s">
        <v>7776</v>
      </c>
      <c r="B1852" s="41" t="s">
        <v>7777</v>
      </c>
      <c r="C1852" s="41" t="s">
        <v>3490</v>
      </c>
      <c r="D1852" s="42">
        <v>37596</v>
      </c>
      <c r="E1852" s="41">
        <v>10</v>
      </c>
      <c r="F1852" s="41">
        <v>1</v>
      </c>
      <c r="G1852" s="41" t="s">
        <v>7778</v>
      </c>
      <c r="H1852" s="41">
        <v>10</v>
      </c>
    </row>
    <row r="1853" spans="1:8" ht="16" x14ac:dyDescent="0.2">
      <c r="A1853" s="41" t="s">
        <v>1303</v>
      </c>
      <c r="B1853" s="41" t="s">
        <v>7779</v>
      </c>
      <c r="C1853" s="41" t="s">
        <v>3490</v>
      </c>
      <c r="D1853" s="42">
        <v>38624</v>
      </c>
      <c r="E1853" s="41">
        <v>10</v>
      </c>
      <c r="F1853" s="41">
        <v>1</v>
      </c>
      <c r="G1853" s="41" t="s">
        <v>7780</v>
      </c>
      <c r="H1853" s="41">
        <v>10</v>
      </c>
    </row>
    <row r="1854" spans="1:8" ht="16" x14ac:dyDescent="0.2">
      <c r="A1854" s="41" t="s">
        <v>1304</v>
      </c>
      <c r="B1854" s="41" t="s">
        <v>7781</v>
      </c>
      <c r="C1854" s="41" t="s">
        <v>3490</v>
      </c>
      <c r="D1854" s="42">
        <v>34738</v>
      </c>
      <c r="E1854" s="41">
        <v>1</v>
      </c>
      <c r="F1854" s="41">
        <v>1</v>
      </c>
      <c r="G1854" s="41" t="s">
        <v>7782</v>
      </c>
      <c r="H1854" s="41">
        <v>1</v>
      </c>
    </row>
    <row r="1855" spans="1:8" ht="16" x14ac:dyDescent="0.2">
      <c r="A1855" s="41" t="s">
        <v>1305</v>
      </c>
      <c r="B1855" s="41" t="s">
        <v>7783</v>
      </c>
      <c r="C1855" s="41" t="s">
        <v>3490</v>
      </c>
      <c r="D1855" s="42">
        <v>40130</v>
      </c>
      <c r="E1855" s="41">
        <v>1</v>
      </c>
      <c r="F1855" s="41">
        <v>1</v>
      </c>
      <c r="G1855" s="41" t="s">
        <v>7784</v>
      </c>
      <c r="H1855" s="41">
        <v>1</v>
      </c>
    </row>
    <row r="1856" spans="1:8" ht="16" x14ac:dyDescent="0.2">
      <c r="A1856" s="41" t="s">
        <v>1306</v>
      </c>
      <c r="B1856" s="41" t="s">
        <v>7785</v>
      </c>
      <c r="C1856" s="41" t="s">
        <v>3490</v>
      </c>
      <c r="D1856" s="42">
        <v>38831</v>
      </c>
      <c r="E1856" s="41">
        <v>5</v>
      </c>
      <c r="F1856" s="41">
        <v>1</v>
      </c>
      <c r="G1856" s="41" t="s">
        <v>7786</v>
      </c>
      <c r="H1856" s="41">
        <v>5</v>
      </c>
    </row>
    <row r="1857" spans="1:8" ht="16" x14ac:dyDescent="0.2">
      <c r="A1857" s="41" t="s">
        <v>7787</v>
      </c>
      <c r="B1857" s="41" t="s">
        <v>7788</v>
      </c>
      <c r="C1857" s="41" t="s">
        <v>3490</v>
      </c>
      <c r="D1857" s="42">
        <v>41908</v>
      </c>
      <c r="E1857" s="41">
        <v>10</v>
      </c>
      <c r="F1857" s="41">
        <v>1</v>
      </c>
      <c r="G1857" s="41" t="s">
        <v>7789</v>
      </c>
      <c r="H1857" s="41">
        <v>10</v>
      </c>
    </row>
    <row r="1858" spans="1:8" ht="16" x14ac:dyDescent="0.2">
      <c r="A1858" s="41" t="s">
        <v>7790</v>
      </c>
      <c r="B1858" s="41" t="s">
        <v>7791</v>
      </c>
      <c r="C1858" s="41" t="s">
        <v>3490</v>
      </c>
      <c r="D1858" s="42">
        <v>38176</v>
      </c>
      <c r="E1858" s="41">
        <v>1</v>
      </c>
      <c r="F1858" s="41">
        <v>1</v>
      </c>
      <c r="G1858" s="41" t="s">
        <v>7792</v>
      </c>
      <c r="H1858" s="41">
        <v>1</v>
      </c>
    </row>
    <row r="1859" spans="1:8" ht="16" x14ac:dyDescent="0.2">
      <c r="A1859" s="41" t="s">
        <v>1307</v>
      </c>
      <c r="B1859" s="41" t="s">
        <v>7793</v>
      </c>
      <c r="C1859" s="41" t="s">
        <v>3490</v>
      </c>
      <c r="D1859" s="42">
        <v>38401</v>
      </c>
      <c r="E1859" s="41">
        <v>1</v>
      </c>
      <c r="F1859" s="41">
        <v>1</v>
      </c>
      <c r="G1859" s="41" t="s">
        <v>7794</v>
      </c>
      <c r="H1859" s="41">
        <v>1</v>
      </c>
    </row>
    <row r="1860" spans="1:8" ht="16" x14ac:dyDescent="0.2">
      <c r="A1860" s="41" t="s">
        <v>7795</v>
      </c>
      <c r="B1860" s="41" t="s">
        <v>7796</v>
      </c>
      <c r="C1860" s="41" t="s">
        <v>3490</v>
      </c>
      <c r="D1860" s="42">
        <v>45691</v>
      </c>
      <c r="E1860" s="41">
        <v>10</v>
      </c>
      <c r="F1860" s="41">
        <v>1</v>
      </c>
      <c r="G1860" s="41" t="s">
        <v>7797</v>
      </c>
      <c r="H1860" s="41">
        <v>10</v>
      </c>
    </row>
    <row r="1861" spans="1:8" ht="16" x14ac:dyDescent="0.2">
      <c r="A1861" s="41" t="s">
        <v>1308</v>
      </c>
      <c r="B1861" s="41" t="s">
        <v>7798</v>
      </c>
      <c r="C1861" s="41" t="s">
        <v>3490</v>
      </c>
      <c r="D1861" s="42">
        <v>34899</v>
      </c>
      <c r="E1861" s="41">
        <v>2</v>
      </c>
      <c r="F1861" s="41">
        <v>1</v>
      </c>
      <c r="G1861" s="41" t="s">
        <v>7799</v>
      </c>
      <c r="H1861" s="41">
        <v>2</v>
      </c>
    </row>
    <row r="1862" spans="1:8" ht="16" x14ac:dyDescent="0.2">
      <c r="A1862" s="41" t="s">
        <v>7800</v>
      </c>
      <c r="B1862" s="41" t="s">
        <v>7801</v>
      </c>
      <c r="C1862" s="41" t="s">
        <v>3797</v>
      </c>
      <c r="D1862" s="42">
        <v>39373</v>
      </c>
      <c r="E1862" s="41">
        <v>10</v>
      </c>
      <c r="F1862" s="41">
        <v>1</v>
      </c>
      <c r="G1862" s="41" t="s">
        <v>7802</v>
      </c>
      <c r="H1862" s="41">
        <v>10</v>
      </c>
    </row>
    <row r="1863" spans="1:8" ht="16" x14ac:dyDescent="0.2">
      <c r="A1863" s="41" t="s">
        <v>1310</v>
      </c>
      <c r="B1863" s="41" t="s">
        <v>7803</v>
      </c>
      <c r="C1863" s="41" t="s">
        <v>3490</v>
      </c>
      <c r="D1863" s="42">
        <v>44558</v>
      </c>
      <c r="E1863" s="41">
        <v>2</v>
      </c>
      <c r="F1863" s="41">
        <v>1</v>
      </c>
      <c r="G1863" s="41" t="s">
        <v>7804</v>
      </c>
      <c r="H1863" s="41">
        <v>2</v>
      </c>
    </row>
    <row r="1864" spans="1:8" ht="16" x14ac:dyDescent="0.2">
      <c r="A1864" s="41" t="s">
        <v>1311</v>
      </c>
      <c r="B1864" s="41" t="s">
        <v>7805</v>
      </c>
      <c r="C1864" s="41" t="s">
        <v>3490</v>
      </c>
      <c r="D1864" s="42">
        <v>45286</v>
      </c>
      <c r="E1864" s="41">
        <v>5</v>
      </c>
      <c r="F1864" s="41">
        <v>1</v>
      </c>
      <c r="G1864" s="41" t="s">
        <v>7806</v>
      </c>
      <c r="H1864" s="41">
        <v>5</v>
      </c>
    </row>
    <row r="1865" spans="1:8" ht="16" x14ac:dyDescent="0.2">
      <c r="A1865" s="41" t="s">
        <v>7807</v>
      </c>
      <c r="B1865" s="41" t="s">
        <v>7808</v>
      </c>
      <c r="C1865" s="41" t="s">
        <v>3490</v>
      </c>
      <c r="D1865" s="42">
        <v>45533</v>
      </c>
      <c r="E1865" s="41">
        <v>10</v>
      </c>
      <c r="F1865" s="41">
        <v>1</v>
      </c>
      <c r="G1865" s="41" t="s">
        <v>7809</v>
      </c>
      <c r="H1865" s="41">
        <v>10</v>
      </c>
    </row>
    <row r="1866" spans="1:8" ht="16" x14ac:dyDescent="0.2">
      <c r="A1866" s="41" t="s">
        <v>7810</v>
      </c>
      <c r="B1866" s="41" t="s">
        <v>7811</v>
      </c>
      <c r="C1866" s="41" t="s">
        <v>3490</v>
      </c>
      <c r="D1866" s="42">
        <v>45632</v>
      </c>
      <c r="E1866" s="41">
        <v>2</v>
      </c>
      <c r="F1866" s="41">
        <v>1</v>
      </c>
      <c r="G1866" s="41" t="s">
        <v>7812</v>
      </c>
      <c r="H1866" s="41">
        <v>2</v>
      </c>
    </row>
    <row r="1867" spans="1:8" ht="16" x14ac:dyDescent="0.2">
      <c r="A1867" s="41" t="s">
        <v>7813</v>
      </c>
      <c r="B1867" s="41" t="s">
        <v>7814</v>
      </c>
      <c r="C1867" s="41" t="s">
        <v>3490</v>
      </c>
      <c r="D1867" s="42">
        <v>40550</v>
      </c>
      <c r="E1867" s="41">
        <v>5</v>
      </c>
      <c r="F1867" s="41">
        <v>1</v>
      </c>
      <c r="G1867" s="41" t="s">
        <v>7815</v>
      </c>
      <c r="H1867" s="41">
        <v>5</v>
      </c>
    </row>
    <row r="1868" spans="1:8" ht="16" x14ac:dyDescent="0.2">
      <c r="A1868" s="41" t="s">
        <v>7816</v>
      </c>
      <c r="B1868" s="41" t="s">
        <v>7817</v>
      </c>
      <c r="C1868" s="41" t="s">
        <v>3490</v>
      </c>
      <c r="D1868" s="42">
        <v>37398</v>
      </c>
      <c r="E1868" s="41">
        <v>1</v>
      </c>
      <c r="F1868" s="41">
        <v>1</v>
      </c>
      <c r="G1868" s="41" t="s">
        <v>7818</v>
      </c>
      <c r="H1868" s="41">
        <v>1</v>
      </c>
    </row>
    <row r="1869" spans="1:8" ht="16" x14ac:dyDescent="0.2">
      <c r="A1869" s="41" t="s">
        <v>7819</v>
      </c>
      <c r="B1869" s="41" t="s">
        <v>7820</v>
      </c>
      <c r="C1869" s="41" t="s">
        <v>3490</v>
      </c>
      <c r="D1869" s="42">
        <v>38518</v>
      </c>
      <c r="E1869" s="41">
        <v>10</v>
      </c>
      <c r="F1869" s="41">
        <v>1</v>
      </c>
      <c r="G1869" s="41" t="s">
        <v>7821</v>
      </c>
      <c r="H1869" s="41">
        <v>10</v>
      </c>
    </row>
    <row r="1870" spans="1:8" ht="16" x14ac:dyDescent="0.2">
      <c r="A1870" s="41" t="s">
        <v>1312</v>
      </c>
      <c r="B1870" s="41" t="s">
        <v>7822</v>
      </c>
      <c r="C1870" s="41" t="s">
        <v>3490</v>
      </c>
      <c r="D1870" s="42">
        <v>34829</v>
      </c>
      <c r="E1870" s="41">
        <v>5</v>
      </c>
      <c r="F1870" s="41">
        <v>1</v>
      </c>
      <c r="G1870" s="41" t="s">
        <v>7823</v>
      </c>
      <c r="H1870" s="41">
        <v>5</v>
      </c>
    </row>
    <row r="1871" spans="1:8" ht="16" x14ac:dyDescent="0.2">
      <c r="A1871" s="41" t="s">
        <v>1313</v>
      </c>
      <c r="B1871" s="41" t="s">
        <v>7824</v>
      </c>
      <c r="C1871" s="41" t="s">
        <v>3490</v>
      </c>
      <c r="D1871" s="42">
        <v>44281</v>
      </c>
      <c r="E1871" s="41">
        <v>10</v>
      </c>
      <c r="F1871" s="41">
        <v>1</v>
      </c>
      <c r="G1871" s="41" t="s">
        <v>7825</v>
      </c>
      <c r="H1871" s="41">
        <v>10</v>
      </c>
    </row>
    <row r="1872" spans="1:8" ht="16" x14ac:dyDescent="0.2">
      <c r="A1872" s="41" t="s">
        <v>1314</v>
      </c>
      <c r="B1872" s="41" t="s">
        <v>7826</v>
      </c>
      <c r="C1872" s="41" t="s">
        <v>3490</v>
      </c>
      <c r="D1872" s="42">
        <v>39065</v>
      </c>
      <c r="E1872" s="41">
        <v>1</v>
      </c>
      <c r="F1872" s="41">
        <v>1</v>
      </c>
      <c r="G1872" s="41" t="s">
        <v>7827</v>
      </c>
      <c r="H1872" s="41">
        <v>1</v>
      </c>
    </row>
    <row r="1873" spans="1:8" ht="16" x14ac:dyDescent="0.2">
      <c r="A1873" s="41" t="s">
        <v>1315</v>
      </c>
      <c r="B1873" s="41" t="s">
        <v>7828</v>
      </c>
      <c r="C1873" s="41" t="s">
        <v>3510</v>
      </c>
      <c r="D1873" s="42">
        <v>37917</v>
      </c>
      <c r="E1873" s="41">
        <v>1</v>
      </c>
      <c r="F1873" s="41">
        <v>1</v>
      </c>
      <c r="G1873" s="41" t="s">
        <v>7829</v>
      </c>
      <c r="H1873" s="41">
        <v>1</v>
      </c>
    </row>
    <row r="1874" spans="1:8" ht="16" x14ac:dyDescent="0.2">
      <c r="A1874" s="41" t="s">
        <v>7830</v>
      </c>
      <c r="B1874" s="41" t="s">
        <v>7831</v>
      </c>
      <c r="C1874" s="41" t="s">
        <v>3510</v>
      </c>
      <c r="D1874" s="42">
        <v>44286</v>
      </c>
      <c r="E1874" s="41">
        <v>1</v>
      </c>
      <c r="F1874" s="41">
        <v>1</v>
      </c>
      <c r="G1874" s="41" t="s">
        <v>7832</v>
      </c>
      <c r="H1874" s="41">
        <v>1</v>
      </c>
    </row>
    <row r="1875" spans="1:8" ht="16" x14ac:dyDescent="0.2">
      <c r="A1875" s="41" t="s">
        <v>1316</v>
      </c>
      <c r="B1875" s="41" t="s">
        <v>7833</v>
      </c>
      <c r="C1875" s="41" t="s">
        <v>3490</v>
      </c>
      <c r="D1875" s="42">
        <v>45524</v>
      </c>
      <c r="E1875" s="41">
        <v>10</v>
      </c>
      <c r="F1875" s="41">
        <v>1</v>
      </c>
      <c r="G1875" s="41" t="s">
        <v>7834</v>
      </c>
      <c r="H1875" s="41">
        <v>10</v>
      </c>
    </row>
    <row r="1876" spans="1:8" ht="16" x14ac:dyDescent="0.2">
      <c r="A1876" s="41" t="s">
        <v>1317</v>
      </c>
      <c r="B1876" s="41" t="s">
        <v>7835</v>
      </c>
      <c r="C1876" s="41" t="s">
        <v>3490</v>
      </c>
      <c r="D1876" s="42">
        <v>38644</v>
      </c>
      <c r="E1876" s="41">
        <v>2</v>
      </c>
      <c r="F1876" s="41">
        <v>1</v>
      </c>
      <c r="G1876" s="41" t="s">
        <v>7836</v>
      </c>
      <c r="H1876" s="41">
        <v>2</v>
      </c>
    </row>
    <row r="1877" spans="1:8" ht="16" x14ac:dyDescent="0.2">
      <c r="A1877" s="41" t="s">
        <v>7837</v>
      </c>
      <c r="B1877" s="41" t="s">
        <v>7838</v>
      </c>
      <c r="C1877" s="41" t="s">
        <v>3510</v>
      </c>
      <c r="D1877" s="42">
        <v>45037</v>
      </c>
      <c r="E1877" s="41">
        <v>10</v>
      </c>
      <c r="F1877" s="41">
        <v>1</v>
      </c>
      <c r="G1877" s="41" t="s">
        <v>7839</v>
      </c>
      <c r="H1877" s="41">
        <v>10</v>
      </c>
    </row>
    <row r="1878" spans="1:8" ht="16" x14ac:dyDescent="0.2">
      <c r="A1878" s="41" t="s">
        <v>7840</v>
      </c>
      <c r="B1878" s="41" t="s">
        <v>7841</v>
      </c>
      <c r="C1878" s="41" t="s">
        <v>3490</v>
      </c>
      <c r="D1878" s="42">
        <v>44391</v>
      </c>
      <c r="E1878" s="41">
        <v>1</v>
      </c>
      <c r="F1878" s="41">
        <v>1</v>
      </c>
      <c r="G1878" s="41" t="s">
        <v>7842</v>
      </c>
      <c r="H1878" s="41">
        <v>1</v>
      </c>
    </row>
    <row r="1879" spans="1:8" ht="16" x14ac:dyDescent="0.2">
      <c r="A1879" s="41" t="s">
        <v>7843</v>
      </c>
      <c r="B1879" s="41" t="s">
        <v>7844</v>
      </c>
      <c r="C1879" s="41" t="s">
        <v>3490</v>
      </c>
      <c r="D1879" s="42">
        <v>41058</v>
      </c>
      <c r="E1879" s="41">
        <v>1</v>
      </c>
      <c r="F1879" s="41">
        <v>1</v>
      </c>
      <c r="G1879" s="41" t="s">
        <v>7845</v>
      </c>
      <c r="H1879" s="41">
        <v>1</v>
      </c>
    </row>
    <row r="1880" spans="1:8" ht="16" x14ac:dyDescent="0.2">
      <c r="A1880" s="41" t="s">
        <v>7846</v>
      </c>
      <c r="B1880" s="41" t="s">
        <v>7847</v>
      </c>
      <c r="C1880" s="41" t="s">
        <v>3510</v>
      </c>
      <c r="D1880" s="42">
        <v>45677</v>
      </c>
      <c r="E1880" s="41">
        <v>10</v>
      </c>
      <c r="F1880" s="41">
        <v>1</v>
      </c>
      <c r="G1880" s="41" t="s">
        <v>7848</v>
      </c>
      <c r="H1880" s="41">
        <v>10</v>
      </c>
    </row>
    <row r="1881" spans="1:8" ht="16" x14ac:dyDescent="0.2">
      <c r="A1881" s="41" t="s">
        <v>1320</v>
      </c>
      <c r="B1881" s="41" t="s">
        <v>7849</v>
      </c>
      <c r="C1881" s="41" t="s">
        <v>3490</v>
      </c>
      <c r="D1881" s="42">
        <v>35039</v>
      </c>
      <c r="E1881" s="41">
        <v>10</v>
      </c>
      <c r="F1881" s="41">
        <v>1</v>
      </c>
      <c r="G1881" s="41" t="s">
        <v>7850</v>
      </c>
      <c r="H1881" s="41">
        <v>10</v>
      </c>
    </row>
    <row r="1882" spans="1:8" ht="16" x14ac:dyDescent="0.2">
      <c r="A1882" s="41" t="s">
        <v>1321</v>
      </c>
      <c r="B1882" s="41" t="s">
        <v>7851</v>
      </c>
      <c r="C1882" s="41" t="s">
        <v>3490</v>
      </c>
      <c r="D1882" s="42">
        <v>38846</v>
      </c>
      <c r="E1882" s="41">
        <v>10</v>
      </c>
      <c r="F1882" s="41">
        <v>1</v>
      </c>
      <c r="G1882" s="41" t="s">
        <v>7852</v>
      </c>
      <c r="H1882" s="41">
        <v>10</v>
      </c>
    </row>
    <row r="1883" spans="1:8" ht="16" x14ac:dyDescent="0.2">
      <c r="A1883" s="41" t="s">
        <v>7853</v>
      </c>
      <c r="B1883" s="41" t="s">
        <v>7854</v>
      </c>
      <c r="C1883" s="41" t="s">
        <v>3490</v>
      </c>
      <c r="D1883" s="42">
        <v>45609</v>
      </c>
      <c r="E1883" s="41">
        <v>1</v>
      </c>
      <c r="F1883" s="41">
        <v>1</v>
      </c>
      <c r="G1883" s="41" t="s">
        <v>7855</v>
      </c>
      <c r="H1883" s="41">
        <v>1</v>
      </c>
    </row>
    <row r="1884" spans="1:8" ht="16" x14ac:dyDescent="0.2">
      <c r="A1884" s="41" t="s">
        <v>1322</v>
      </c>
      <c r="B1884" s="41" t="s">
        <v>7856</v>
      </c>
      <c r="C1884" s="41" t="s">
        <v>3490</v>
      </c>
      <c r="D1884" s="42">
        <v>43697</v>
      </c>
      <c r="E1884" s="41">
        <v>1</v>
      </c>
      <c r="F1884" s="41">
        <v>1</v>
      </c>
      <c r="G1884" s="41" t="s">
        <v>7857</v>
      </c>
      <c r="H1884" s="41">
        <v>1</v>
      </c>
    </row>
    <row r="1885" spans="1:8" ht="16" x14ac:dyDescent="0.2">
      <c r="A1885" s="41" t="s">
        <v>1323</v>
      </c>
      <c r="B1885" s="41" t="s">
        <v>7858</v>
      </c>
      <c r="C1885" s="41" t="s">
        <v>3490</v>
      </c>
      <c r="D1885" s="42">
        <v>40709</v>
      </c>
      <c r="E1885" s="41">
        <v>2</v>
      </c>
      <c r="F1885" s="41">
        <v>1</v>
      </c>
      <c r="G1885" s="41" t="s">
        <v>7859</v>
      </c>
      <c r="H1885" s="41">
        <v>2</v>
      </c>
    </row>
    <row r="1886" spans="1:8" ht="16" x14ac:dyDescent="0.2">
      <c r="A1886" s="41" t="s">
        <v>1324</v>
      </c>
      <c r="B1886" s="41" t="s">
        <v>7860</v>
      </c>
      <c r="C1886" s="41" t="s">
        <v>3510</v>
      </c>
      <c r="D1886" s="42">
        <v>44883</v>
      </c>
      <c r="E1886" s="41">
        <v>1</v>
      </c>
      <c r="F1886" s="41">
        <v>1</v>
      </c>
      <c r="G1886" s="41" t="s">
        <v>7861</v>
      </c>
      <c r="H1886" s="41">
        <v>1</v>
      </c>
    </row>
    <row r="1887" spans="1:8" ht="16" x14ac:dyDescent="0.2">
      <c r="A1887" s="41" t="s">
        <v>1325</v>
      </c>
      <c r="B1887" s="41" t="s">
        <v>7862</v>
      </c>
      <c r="C1887" s="41" t="s">
        <v>3490</v>
      </c>
      <c r="D1887" s="42">
        <v>42227</v>
      </c>
      <c r="E1887" s="41">
        <v>10</v>
      </c>
      <c r="F1887" s="41">
        <v>1</v>
      </c>
      <c r="G1887" s="41" t="s">
        <v>7863</v>
      </c>
      <c r="H1887" s="41">
        <v>10</v>
      </c>
    </row>
    <row r="1888" spans="1:8" ht="16" x14ac:dyDescent="0.2">
      <c r="A1888" s="41" t="s">
        <v>1326</v>
      </c>
      <c r="B1888" s="41" t="s">
        <v>7864</v>
      </c>
      <c r="C1888" s="41" t="s">
        <v>3490</v>
      </c>
      <c r="D1888" s="42">
        <v>44799</v>
      </c>
      <c r="E1888" s="41">
        <v>10</v>
      </c>
      <c r="F1888" s="41">
        <v>1</v>
      </c>
      <c r="G1888" s="41" t="s">
        <v>7865</v>
      </c>
      <c r="H1888" s="41">
        <v>10</v>
      </c>
    </row>
    <row r="1889" spans="1:8" ht="16" x14ac:dyDescent="0.2">
      <c r="A1889" s="41" t="s">
        <v>7866</v>
      </c>
      <c r="B1889" s="41" t="s">
        <v>7867</v>
      </c>
      <c r="C1889" s="41" t="s">
        <v>3490</v>
      </c>
      <c r="D1889" s="42">
        <v>34907</v>
      </c>
      <c r="E1889" s="41">
        <v>10</v>
      </c>
      <c r="F1889" s="41">
        <v>1</v>
      </c>
      <c r="G1889" s="41" t="s">
        <v>7868</v>
      </c>
      <c r="H1889" s="41">
        <v>10</v>
      </c>
    </row>
    <row r="1890" spans="1:8" ht="16" x14ac:dyDescent="0.2">
      <c r="A1890" s="41" t="s">
        <v>1327</v>
      </c>
      <c r="B1890" s="41" t="s">
        <v>7869</v>
      </c>
      <c r="C1890" s="41" t="s">
        <v>3490</v>
      </c>
      <c r="D1890" s="42">
        <v>36880</v>
      </c>
      <c r="E1890" s="41">
        <v>2</v>
      </c>
      <c r="F1890" s="41">
        <v>1</v>
      </c>
      <c r="G1890" s="41" t="s">
        <v>7870</v>
      </c>
      <c r="H1890" s="41">
        <v>2</v>
      </c>
    </row>
    <row r="1891" spans="1:8" ht="16" x14ac:dyDescent="0.2">
      <c r="A1891" s="41" t="s">
        <v>7871</v>
      </c>
      <c r="B1891" s="41" t="s">
        <v>7872</v>
      </c>
      <c r="C1891" s="41" t="s">
        <v>3510</v>
      </c>
      <c r="D1891" s="42">
        <v>39321</v>
      </c>
      <c r="E1891" s="41">
        <v>1</v>
      </c>
      <c r="F1891" s="41">
        <v>1</v>
      </c>
      <c r="G1891" s="41" t="s">
        <v>7873</v>
      </c>
      <c r="H1891" s="41">
        <v>1</v>
      </c>
    </row>
    <row r="1892" spans="1:8" ht="16" x14ac:dyDescent="0.2">
      <c r="A1892" s="41" t="s">
        <v>1328</v>
      </c>
      <c r="B1892" s="41" t="s">
        <v>7874</v>
      </c>
      <c r="C1892" s="41" t="s">
        <v>3490</v>
      </c>
      <c r="D1892" s="42">
        <v>38989</v>
      </c>
      <c r="E1892" s="41">
        <v>2</v>
      </c>
      <c r="F1892" s="41">
        <v>1</v>
      </c>
      <c r="G1892" s="41" t="s">
        <v>7875</v>
      </c>
      <c r="H1892" s="41">
        <v>2</v>
      </c>
    </row>
    <row r="1893" spans="1:8" ht="16" x14ac:dyDescent="0.2">
      <c r="A1893" s="41" t="s">
        <v>1329</v>
      </c>
      <c r="B1893" s="41" t="s">
        <v>7876</v>
      </c>
      <c r="C1893" s="41" t="s">
        <v>3490</v>
      </c>
      <c r="D1893" s="42">
        <v>39087</v>
      </c>
      <c r="E1893" s="41">
        <v>1</v>
      </c>
      <c r="F1893" s="41">
        <v>1</v>
      </c>
      <c r="G1893" s="41" t="s">
        <v>7877</v>
      </c>
      <c r="H1893" s="41">
        <v>1</v>
      </c>
    </row>
    <row r="1894" spans="1:8" ht="16" x14ac:dyDescent="0.2">
      <c r="A1894" s="41" t="s">
        <v>1330</v>
      </c>
      <c r="B1894" s="41" t="s">
        <v>7878</v>
      </c>
      <c r="C1894" s="41" t="s">
        <v>3490</v>
      </c>
      <c r="D1894" s="42">
        <v>45398</v>
      </c>
      <c r="E1894" s="41">
        <v>2</v>
      </c>
      <c r="F1894" s="41">
        <v>1</v>
      </c>
      <c r="G1894" s="41" t="s">
        <v>7879</v>
      </c>
      <c r="H1894" s="41">
        <v>2</v>
      </c>
    </row>
    <row r="1895" spans="1:8" ht="16" x14ac:dyDescent="0.2">
      <c r="A1895" s="41" t="s">
        <v>7880</v>
      </c>
      <c r="B1895" s="41" t="s">
        <v>7881</v>
      </c>
      <c r="C1895" s="41" t="s">
        <v>3490</v>
      </c>
      <c r="D1895" s="42">
        <v>40316</v>
      </c>
      <c r="E1895" s="41">
        <v>10</v>
      </c>
      <c r="F1895" s="41">
        <v>1</v>
      </c>
      <c r="G1895" s="41" t="s">
        <v>7882</v>
      </c>
      <c r="H1895" s="41">
        <v>10</v>
      </c>
    </row>
    <row r="1896" spans="1:8" ht="16" x14ac:dyDescent="0.2">
      <c r="A1896" s="41" t="s">
        <v>1331</v>
      </c>
      <c r="B1896" s="41" t="s">
        <v>7883</v>
      </c>
      <c r="C1896" s="41" t="s">
        <v>3490</v>
      </c>
      <c r="D1896" s="42">
        <v>44183</v>
      </c>
      <c r="E1896" s="41">
        <v>2</v>
      </c>
      <c r="F1896" s="41">
        <v>1</v>
      </c>
      <c r="G1896" s="41" t="s">
        <v>7884</v>
      </c>
      <c r="H1896" s="41">
        <v>2</v>
      </c>
    </row>
    <row r="1897" spans="1:8" ht="16" x14ac:dyDescent="0.2">
      <c r="A1897" s="41" t="s">
        <v>7885</v>
      </c>
      <c r="B1897" s="41" t="s">
        <v>7886</v>
      </c>
      <c r="C1897" s="41" t="s">
        <v>3490</v>
      </c>
      <c r="D1897" s="42">
        <v>39444</v>
      </c>
      <c r="E1897" s="41">
        <v>1</v>
      </c>
      <c r="F1897" s="41">
        <v>1</v>
      </c>
      <c r="G1897" s="41" t="s">
        <v>7887</v>
      </c>
      <c r="H1897" s="41">
        <v>1</v>
      </c>
    </row>
    <row r="1898" spans="1:8" ht="16" x14ac:dyDescent="0.2">
      <c r="A1898" s="41" t="s">
        <v>7888</v>
      </c>
      <c r="B1898" s="41" t="s">
        <v>7889</v>
      </c>
      <c r="C1898" s="41" t="s">
        <v>3490</v>
      </c>
      <c r="D1898" s="42">
        <v>39272</v>
      </c>
      <c r="E1898" s="41">
        <v>10</v>
      </c>
      <c r="F1898" s="41">
        <v>1</v>
      </c>
      <c r="G1898" s="41" t="s">
        <v>7890</v>
      </c>
      <c r="H1898" s="41">
        <v>10</v>
      </c>
    </row>
    <row r="1899" spans="1:8" ht="16" x14ac:dyDescent="0.2">
      <c r="A1899" s="41" t="s">
        <v>1332</v>
      </c>
      <c r="B1899" s="41" t="s">
        <v>7891</v>
      </c>
      <c r="C1899" s="41" t="s">
        <v>3490</v>
      </c>
      <c r="D1899" s="42">
        <v>44526</v>
      </c>
      <c r="E1899" s="41">
        <v>2</v>
      </c>
      <c r="F1899" s="41">
        <v>1</v>
      </c>
      <c r="G1899" s="41" t="s">
        <v>7892</v>
      </c>
      <c r="H1899" s="41">
        <v>2</v>
      </c>
    </row>
    <row r="1900" spans="1:8" ht="16" x14ac:dyDescent="0.2">
      <c r="A1900" s="41" t="s">
        <v>1333</v>
      </c>
      <c r="B1900" s="41" t="s">
        <v>7893</v>
      </c>
      <c r="C1900" s="41" t="s">
        <v>3490</v>
      </c>
      <c r="D1900" s="42">
        <v>42817</v>
      </c>
      <c r="E1900" s="41">
        <v>10</v>
      </c>
      <c r="F1900" s="41">
        <v>1</v>
      </c>
      <c r="G1900" s="41" t="s">
        <v>7894</v>
      </c>
      <c r="H1900" s="41">
        <v>10</v>
      </c>
    </row>
    <row r="1901" spans="1:8" ht="16" x14ac:dyDescent="0.2">
      <c r="A1901" s="41" t="s">
        <v>1334</v>
      </c>
      <c r="B1901" s="41" t="s">
        <v>7895</v>
      </c>
      <c r="C1901" s="41" t="s">
        <v>3490</v>
      </c>
      <c r="D1901" s="42">
        <v>36251</v>
      </c>
      <c r="E1901" s="41">
        <v>10</v>
      </c>
      <c r="F1901" s="41">
        <v>1</v>
      </c>
      <c r="G1901" s="41" t="s">
        <v>7896</v>
      </c>
      <c r="H1901" s="41">
        <v>10</v>
      </c>
    </row>
    <row r="1902" spans="1:8" ht="16" x14ac:dyDescent="0.2">
      <c r="A1902" s="41" t="s">
        <v>1335</v>
      </c>
      <c r="B1902" s="41" t="s">
        <v>7897</v>
      </c>
      <c r="C1902" s="41" t="s">
        <v>3490</v>
      </c>
      <c r="D1902" s="42">
        <v>34801</v>
      </c>
      <c r="E1902" s="41">
        <v>10</v>
      </c>
      <c r="F1902" s="41">
        <v>1</v>
      </c>
      <c r="G1902" s="41" t="s">
        <v>7898</v>
      </c>
      <c r="H1902" s="41">
        <v>10</v>
      </c>
    </row>
    <row r="1903" spans="1:8" ht="16" x14ac:dyDescent="0.2">
      <c r="A1903" s="41" t="s">
        <v>1336</v>
      </c>
      <c r="B1903" s="41" t="s">
        <v>7899</v>
      </c>
      <c r="C1903" s="41" t="s">
        <v>3490</v>
      </c>
      <c r="D1903" s="42">
        <v>36117</v>
      </c>
      <c r="E1903" s="41">
        <v>1</v>
      </c>
      <c r="F1903" s="41">
        <v>1</v>
      </c>
      <c r="G1903" s="41" t="s">
        <v>7900</v>
      </c>
      <c r="H1903" s="41">
        <v>1</v>
      </c>
    </row>
    <row r="1904" spans="1:8" ht="16" x14ac:dyDescent="0.2">
      <c r="A1904" s="41" t="s">
        <v>1337</v>
      </c>
      <c r="B1904" s="41" t="s">
        <v>7901</v>
      </c>
      <c r="C1904" s="41" t="s">
        <v>3490</v>
      </c>
      <c r="D1904" s="42">
        <v>37881</v>
      </c>
      <c r="E1904" s="41">
        <v>10</v>
      </c>
      <c r="F1904" s="41">
        <v>1</v>
      </c>
      <c r="G1904" s="41" t="s">
        <v>7902</v>
      </c>
      <c r="H1904" s="41">
        <v>10</v>
      </c>
    </row>
    <row r="1905" spans="1:8" ht="16" x14ac:dyDescent="0.2">
      <c r="A1905" s="41" t="s">
        <v>1338</v>
      </c>
      <c r="B1905" s="41" t="s">
        <v>7903</v>
      </c>
      <c r="C1905" s="41" t="s">
        <v>3490</v>
      </c>
      <c r="D1905" s="42">
        <v>35970</v>
      </c>
      <c r="E1905" s="41">
        <v>10</v>
      </c>
      <c r="F1905" s="41">
        <v>1</v>
      </c>
      <c r="G1905" s="41" t="s">
        <v>7904</v>
      </c>
      <c r="H1905" s="41">
        <v>10</v>
      </c>
    </row>
    <row r="1906" spans="1:8" ht="16" x14ac:dyDescent="0.2">
      <c r="A1906" s="41" t="s">
        <v>1339</v>
      </c>
      <c r="B1906" s="41" t="s">
        <v>7905</v>
      </c>
      <c r="C1906" s="41" t="s">
        <v>3490</v>
      </c>
      <c r="D1906" s="42">
        <v>35998</v>
      </c>
      <c r="E1906" s="41">
        <v>2</v>
      </c>
      <c r="F1906" s="41">
        <v>1</v>
      </c>
      <c r="G1906" s="41" t="s">
        <v>7906</v>
      </c>
      <c r="H1906" s="41">
        <v>2</v>
      </c>
    </row>
    <row r="1907" spans="1:8" ht="16" x14ac:dyDescent="0.2">
      <c r="A1907" s="41" t="s">
        <v>1340</v>
      </c>
      <c r="B1907" s="41" t="s">
        <v>7907</v>
      </c>
      <c r="C1907" s="41" t="s">
        <v>3490</v>
      </c>
      <c r="D1907" s="42">
        <v>35158</v>
      </c>
      <c r="E1907" s="41">
        <v>1</v>
      </c>
      <c r="F1907" s="41">
        <v>1</v>
      </c>
      <c r="G1907" s="41" t="s">
        <v>7908</v>
      </c>
      <c r="H1907" s="41">
        <v>1</v>
      </c>
    </row>
    <row r="1908" spans="1:8" ht="16" x14ac:dyDescent="0.2">
      <c r="A1908" s="41" t="s">
        <v>1341</v>
      </c>
      <c r="B1908" s="41" t="s">
        <v>7909</v>
      </c>
      <c r="C1908" s="41" t="s">
        <v>3490</v>
      </c>
      <c r="D1908" s="42">
        <v>36117</v>
      </c>
      <c r="E1908" s="41">
        <v>1</v>
      </c>
      <c r="F1908" s="41">
        <v>1</v>
      </c>
      <c r="G1908" s="41" t="s">
        <v>7910</v>
      </c>
      <c r="H1908" s="41">
        <v>1</v>
      </c>
    </row>
    <row r="1909" spans="1:8" ht="16" x14ac:dyDescent="0.2">
      <c r="A1909" s="41" t="s">
        <v>1342</v>
      </c>
      <c r="B1909" s="41" t="s">
        <v>7911</v>
      </c>
      <c r="C1909" s="41" t="s">
        <v>3490</v>
      </c>
      <c r="D1909" s="42">
        <v>45260</v>
      </c>
      <c r="E1909" s="41">
        <v>2</v>
      </c>
      <c r="F1909" s="41">
        <v>1</v>
      </c>
      <c r="G1909" s="41" t="s">
        <v>7912</v>
      </c>
      <c r="H1909" s="41">
        <v>2</v>
      </c>
    </row>
    <row r="1910" spans="1:8" ht="16" x14ac:dyDescent="0.2">
      <c r="A1910" s="41" t="s">
        <v>1343</v>
      </c>
      <c r="B1910" s="41" t="s">
        <v>7913</v>
      </c>
      <c r="C1910" s="41" t="s">
        <v>3490</v>
      </c>
      <c r="D1910" s="42">
        <v>44406</v>
      </c>
      <c r="E1910" s="41">
        <v>10</v>
      </c>
      <c r="F1910" s="41">
        <v>1</v>
      </c>
      <c r="G1910" s="41" t="s">
        <v>7914</v>
      </c>
      <c r="H1910" s="41">
        <v>10</v>
      </c>
    </row>
    <row r="1911" spans="1:8" ht="16" x14ac:dyDescent="0.2">
      <c r="A1911" s="41" t="s">
        <v>1345</v>
      </c>
      <c r="B1911" s="41" t="s">
        <v>7915</v>
      </c>
      <c r="C1911" s="41" t="s">
        <v>3490</v>
      </c>
      <c r="D1911" s="42">
        <v>45427</v>
      </c>
      <c r="E1911" s="41">
        <v>1</v>
      </c>
      <c r="F1911" s="41">
        <v>1</v>
      </c>
      <c r="G1911" s="41" t="s">
        <v>7916</v>
      </c>
      <c r="H1911" s="41">
        <v>1</v>
      </c>
    </row>
    <row r="1912" spans="1:8" ht="16" x14ac:dyDescent="0.2">
      <c r="A1912" s="41" t="s">
        <v>1346</v>
      </c>
      <c r="B1912" s="41" t="s">
        <v>7917</v>
      </c>
      <c r="C1912" s="41" t="s">
        <v>3490</v>
      </c>
      <c r="D1912" s="42">
        <v>41038</v>
      </c>
      <c r="E1912" s="41">
        <v>10</v>
      </c>
      <c r="F1912" s="41">
        <v>1</v>
      </c>
      <c r="G1912" s="41" t="s">
        <v>7918</v>
      </c>
      <c r="H1912" s="41">
        <v>10</v>
      </c>
    </row>
    <row r="1913" spans="1:8" ht="16" x14ac:dyDescent="0.2">
      <c r="A1913" s="41" t="s">
        <v>1347</v>
      </c>
      <c r="B1913" s="41" t="s">
        <v>7919</v>
      </c>
      <c r="C1913" s="41" t="s">
        <v>3490</v>
      </c>
      <c r="D1913" s="42">
        <v>37277</v>
      </c>
      <c r="E1913" s="41">
        <v>2</v>
      </c>
      <c r="F1913" s="41">
        <v>1</v>
      </c>
      <c r="G1913" s="41" t="s">
        <v>7920</v>
      </c>
      <c r="H1913" s="41">
        <v>2</v>
      </c>
    </row>
    <row r="1914" spans="1:8" ht="16" x14ac:dyDescent="0.2">
      <c r="A1914" s="41" t="s">
        <v>1348</v>
      </c>
      <c r="B1914" s="41" t="s">
        <v>7921</v>
      </c>
      <c r="C1914" s="41" t="s">
        <v>3490</v>
      </c>
      <c r="D1914" s="42">
        <v>42719</v>
      </c>
      <c r="E1914" s="41">
        <v>2</v>
      </c>
      <c r="F1914" s="41">
        <v>1</v>
      </c>
      <c r="G1914" s="41" t="s">
        <v>7922</v>
      </c>
      <c r="H1914" s="41">
        <v>2</v>
      </c>
    </row>
    <row r="1915" spans="1:8" ht="16" x14ac:dyDescent="0.2">
      <c r="A1915" s="41" t="s">
        <v>7923</v>
      </c>
      <c r="B1915" s="41" t="s">
        <v>7924</v>
      </c>
      <c r="C1915" s="41" t="s">
        <v>3510</v>
      </c>
      <c r="D1915" s="42">
        <v>35571</v>
      </c>
      <c r="E1915" s="41">
        <v>10</v>
      </c>
      <c r="F1915" s="41">
        <v>1</v>
      </c>
      <c r="G1915" s="41" t="s">
        <v>7925</v>
      </c>
      <c r="H1915" s="41">
        <v>10</v>
      </c>
    </row>
    <row r="1916" spans="1:8" ht="16" x14ac:dyDescent="0.2">
      <c r="A1916" s="41" t="s">
        <v>1350</v>
      </c>
      <c r="B1916" s="41" t="s">
        <v>7926</v>
      </c>
      <c r="C1916" s="41" t="s">
        <v>3490</v>
      </c>
      <c r="D1916" s="42">
        <v>43025</v>
      </c>
      <c r="E1916" s="41">
        <v>10</v>
      </c>
      <c r="F1916" s="41">
        <v>1</v>
      </c>
      <c r="G1916" s="41" t="s">
        <v>7927</v>
      </c>
      <c r="H1916" s="41">
        <v>10</v>
      </c>
    </row>
    <row r="1917" spans="1:8" ht="16" x14ac:dyDescent="0.2">
      <c r="A1917" s="41" t="s">
        <v>1351</v>
      </c>
      <c r="B1917" s="41" t="s">
        <v>7928</v>
      </c>
      <c r="C1917" s="41" t="s">
        <v>3490</v>
      </c>
      <c r="D1917" s="42">
        <v>38224</v>
      </c>
      <c r="E1917" s="41">
        <v>1</v>
      </c>
      <c r="F1917" s="41">
        <v>1</v>
      </c>
      <c r="G1917" s="41" t="s">
        <v>7929</v>
      </c>
      <c r="H1917" s="41">
        <v>1</v>
      </c>
    </row>
    <row r="1918" spans="1:8" ht="16" x14ac:dyDescent="0.2">
      <c r="A1918" s="41" t="s">
        <v>1352</v>
      </c>
      <c r="B1918" s="41" t="s">
        <v>7930</v>
      </c>
      <c r="C1918" s="41" t="s">
        <v>3490</v>
      </c>
      <c r="D1918" s="42">
        <v>40794</v>
      </c>
      <c r="E1918" s="41">
        <v>2</v>
      </c>
      <c r="F1918" s="41">
        <v>1</v>
      </c>
      <c r="G1918" s="41" t="s">
        <v>7931</v>
      </c>
      <c r="H1918" s="41">
        <v>2</v>
      </c>
    </row>
    <row r="1919" spans="1:8" ht="16" x14ac:dyDescent="0.2">
      <c r="A1919" s="41" t="s">
        <v>7932</v>
      </c>
      <c r="B1919" s="41" t="s">
        <v>7933</v>
      </c>
      <c r="C1919" s="41" t="s">
        <v>3510</v>
      </c>
      <c r="D1919" s="42">
        <v>37418</v>
      </c>
      <c r="E1919" s="41">
        <v>10</v>
      </c>
      <c r="F1919" s="41">
        <v>1</v>
      </c>
      <c r="G1919" s="41" t="s">
        <v>7934</v>
      </c>
      <c r="H1919" s="41">
        <v>10</v>
      </c>
    </row>
    <row r="1920" spans="1:8" ht="16" x14ac:dyDescent="0.2">
      <c r="A1920" s="41" t="s">
        <v>1353</v>
      </c>
      <c r="B1920" s="41" t="s">
        <v>7935</v>
      </c>
      <c r="C1920" s="41" t="s">
        <v>3490</v>
      </c>
      <c r="D1920" s="42">
        <v>42412</v>
      </c>
      <c r="E1920" s="41">
        <v>10</v>
      </c>
      <c r="F1920" s="41">
        <v>1</v>
      </c>
      <c r="G1920" s="41" t="s">
        <v>7936</v>
      </c>
      <c r="H1920" s="41">
        <v>10</v>
      </c>
    </row>
    <row r="1921" spans="1:8" ht="16" x14ac:dyDescent="0.2">
      <c r="A1921" s="41" t="s">
        <v>1355</v>
      </c>
      <c r="B1921" s="41" t="s">
        <v>7937</v>
      </c>
      <c r="C1921" s="41" t="s">
        <v>3490</v>
      </c>
      <c r="D1921" s="42">
        <v>38957</v>
      </c>
      <c r="E1921" s="41">
        <v>5</v>
      </c>
      <c r="F1921" s="41">
        <v>1</v>
      </c>
      <c r="G1921" s="41" t="s">
        <v>7938</v>
      </c>
      <c r="H1921" s="41">
        <v>5</v>
      </c>
    </row>
    <row r="1922" spans="1:8" ht="16" x14ac:dyDescent="0.2">
      <c r="A1922" s="41" t="s">
        <v>1356</v>
      </c>
      <c r="B1922" s="41" t="s">
        <v>7939</v>
      </c>
      <c r="C1922" s="41" t="s">
        <v>3490</v>
      </c>
      <c r="D1922" s="42">
        <v>43438</v>
      </c>
      <c r="E1922" s="41">
        <v>2</v>
      </c>
      <c r="F1922" s="41">
        <v>1</v>
      </c>
      <c r="G1922" s="41" t="s">
        <v>7940</v>
      </c>
      <c r="H1922" s="41">
        <v>2</v>
      </c>
    </row>
    <row r="1923" spans="1:8" ht="16" x14ac:dyDescent="0.2">
      <c r="A1923" s="41" t="s">
        <v>7941</v>
      </c>
      <c r="B1923" s="41" t="s">
        <v>7942</v>
      </c>
      <c r="C1923" s="41" t="s">
        <v>3510</v>
      </c>
      <c r="D1923" s="42">
        <v>35039</v>
      </c>
      <c r="E1923" s="41">
        <v>10</v>
      </c>
      <c r="F1923" s="41">
        <v>50</v>
      </c>
      <c r="G1923" s="41" t="s">
        <v>7943</v>
      </c>
      <c r="H1923" s="41">
        <v>10</v>
      </c>
    </row>
    <row r="1924" spans="1:8" ht="16" x14ac:dyDescent="0.2">
      <c r="A1924" s="41" t="s">
        <v>1357</v>
      </c>
      <c r="B1924" s="41" t="s">
        <v>7944</v>
      </c>
      <c r="C1924" s="41" t="s">
        <v>3490</v>
      </c>
      <c r="D1924" s="42">
        <v>44543</v>
      </c>
      <c r="E1924" s="41">
        <v>10</v>
      </c>
      <c r="F1924" s="41">
        <v>1</v>
      </c>
      <c r="G1924" s="41" t="s">
        <v>7945</v>
      </c>
      <c r="H1924" s="41">
        <v>10</v>
      </c>
    </row>
    <row r="1925" spans="1:8" ht="16" x14ac:dyDescent="0.2">
      <c r="A1925" s="41" t="s">
        <v>1358</v>
      </c>
      <c r="B1925" s="41" t="s">
        <v>7946</v>
      </c>
      <c r="C1925" s="41" t="s">
        <v>3490</v>
      </c>
      <c r="D1925" s="42">
        <v>42913</v>
      </c>
      <c r="E1925" s="41">
        <v>10</v>
      </c>
      <c r="F1925" s="41">
        <v>1</v>
      </c>
      <c r="G1925" s="41" t="s">
        <v>7947</v>
      </c>
      <c r="H1925" s="41">
        <v>10</v>
      </c>
    </row>
    <row r="1926" spans="1:8" ht="16" x14ac:dyDescent="0.2">
      <c r="A1926" s="41" t="s">
        <v>7948</v>
      </c>
      <c r="B1926" s="41" t="s">
        <v>7949</v>
      </c>
      <c r="C1926" s="41" t="s">
        <v>3490</v>
      </c>
      <c r="D1926" s="42">
        <v>44309</v>
      </c>
      <c r="E1926" s="41">
        <v>10</v>
      </c>
      <c r="F1926" s="41">
        <v>1</v>
      </c>
      <c r="G1926" s="41" t="s">
        <v>7950</v>
      </c>
      <c r="H1926" s="41">
        <v>10</v>
      </c>
    </row>
    <row r="1927" spans="1:8" ht="16" x14ac:dyDescent="0.2">
      <c r="A1927" s="41" t="s">
        <v>7951</v>
      </c>
      <c r="B1927" s="41" t="s">
        <v>7952</v>
      </c>
      <c r="C1927" s="41" t="s">
        <v>3510</v>
      </c>
      <c r="D1927" s="42">
        <v>42733</v>
      </c>
      <c r="E1927" s="41">
        <v>10</v>
      </c>
      <c r="F1927" s="41">
        <v>1</v>
      </c>
      <c r="G1927" s="41" t="s">
        <v>7953</v>
      </c>
      <c r="H1927" s="41">
        <v>10</v>
      </c>
    </row>
    <row r="1928" spans="1:8" ht="16" x14ac:dyDescent="0.2">
      <c r="A1928" s="41" t="s">
        <v>1359</v>
      </c>
      <c r="B1928" s="41" t="s">
        <v>7954</v>
      </c>
      <c r="C1928" s="41" t="s">
        <v>3490</v>
      </c>
      <c r="D1928" s="42">
        <v>38239</v>
      </c>
      <c r="E1928" s="41">
        <v>1</v>
      </c>
      <c r="F1928" s="41">
        <v>1</v>
      </c>
      <c r="G1928" s="41" t="s">
        <v>7955</v>
      </c>
      <c r="H1928" s="41">
        <v>1</v>
      </c>
    </row>
    <row r="1929" spans="1:8" ht="16" x14ac:dyDescent="0.2">
      <c r="A1929" s="41" t="s">
        <v>7956</v>
      </c>
      <c r="B1929" s="41" t="s">
        <v>7957</v>
      </c>
      <c r="C1929" s="41" t="s">
        <v>3490</v>
      </c>
      <c r="D1929" s="42">
        <v>40247</v>
      </c>
      <c r="E1929" s="41">
        <v>10</v>
      </c>
      <c r="F1929" s="41">
        <v>1</v>
      </c>
      <c r="G1929" s="41" t="s">
        <v>7958</v>
      </c>
      <c r="H1929" s="41">
        <v>10</v>
      </c>
    </row>
    <row r="1930" spans="1:8" ht="16" x14ac:dyDescent="0.2">
      <c r="A1930" s="41" t="s">
        <v>1360</v>
      </c>
      <c r="B1930" s="41" t="s">
        <v>7959</v>
      </c>
      <c r="C1930" s="41" t="s">
        <v>3490</v>
      </c>
      <c r="D1930" s="42">
        <v>40605</v>
      </c>
      <c r="E1930" s="41">
        <v>1</v>
      </c>
      <c r="F1930" s="41">
        <v>1</v>
      </c>
      <c r="G1930" s="41" t="s">
        <v>7960</v>
      </c>
      <c r="H1930" s="41">
        <v>1</v>
      </c>
    </row>
    <row r="1931" spans="1:8" ht="16" x14ac:dyDescent="0.2">
      <c r="A1931" s="41" t="s">
        <v>1361</v>
      </c>
      <c r="B1931" s="41" t="s">
        <v>7961</v>
      </c>
      <c r="C1931" s="41" t="s">
        <v>3490</v>
      </c>
      <c r="D1931" s="42">
        <v>36733</v>
      </c>
      <c r="E1931" s="41">
        <v>10</v>
      </c>
      <c r="F1931" s="41">
        <v>1</v>
      </c>
      <c r="G1931" s="41" t="s">
        <v>7962</v>
      </c>
      <c r="H1931" s="41">
        <v>10</v>
      </c>
    </row>
    <row r="1932" spans="1:8" ht="16" x14ac:dyDescent="0.2">
      <c r="A1932" s="41" t="s">
        <v>7963</v>
      </c>
      <c r="B1932" s="41" t="s">
        <v>7964</v>
      </c>
      <c r="C1932" s="41" t="s">
        <v>3510</v>
      </c>
      <c r="D1932" s="42">
        <v>39139</v>
      </c>
      <c r="E1932" s="41">
        <v>10</v>
      </c>
      <c r="F1932" s="41">
        <v>1</v>
      </c>
      <c r="G1932" s="41" t="s">
        <v>7965</v>
      </c>
      <c r="H1932" s="41">
        <v>10</v>
      </c>
    </row>
    <row r="1933" spans="1:8" ht="16" x14ac:dyDescent="0.2">
      <c r="A1933" s="41" t="s">
        <v>7966</v>
      </c>
      <c r="B1933" s="41" t="s">
        <v>7967</v>
      </c>
      <c r="C1933" s="41" t="s">
        <v>3490</v>
      </c>
      <c r="D1933" s="42">
        <v>39219</v>
      </c>
      <c r="E1933" s="41">
        <v>10</v>
      </c>
      <c r="F1933" s="41">
        <v>1</v>
      </c>
      <c r="G1933" s="41" t="s">
        <v>7968</v>
      </c>
      <c r="H1933" s="41">
        <v>10</v>
      </c>
    </row>
    <row r="1934" spans="1:8" ht="16" x14ac:dyDescent="0.2">
      <c r="A1934" s="41" t="s">
        <v>1363</v>
      </c>
      <c r="B1934" s="41" t="s">
        <v>7969</v>
      </c>
      <c r="C1934" s="41" t="s">
        <v>3490</v>
      </c>
      <c r="D1934" s="42">
        <v>40228</v>
      </c>
      <c r="E1934" s="41">
        <v>10</v>
      </c>
      <c r="F1934" s="41">
        <v>1</v>
      </c>
      <c r="G1934" s="41" t="s">
        <v>7970</v>
      </c>
      <c r="H1934" s="41">
        <v>10</v>
      </c>
    </row>
    <row r="1935" spans="1:8" ht="16" x14ac:dyDescent="0.2">
      <c r="A1935" s="41" t="s">
        <v>1364</v>
      </c>
      <c r="B1935" s="41" t="s">
        <v>7971</v>
      </c>
      <c r="C1935" s="41" t="s">
        <v>3490</v>
      </c>
      <c r="D1935" s="42">
        <v>42949</v>
      </c>
      <c r="E1935" s="41">
        <v>10</v>
      </c>
      <c r="F1935" s="41">
        <v>1</v>
      </c>
      <c r="G1935" s="41" t="s">
        <v>7972</v>
      </c>
      <c r="H1935" s="41">
        <v>10</v>
      </c>
    </row>
    <row r="1936" spans="1:8" ht="16" x14ac:dyDescent="0.2">
      <c r="A1936" s="41" t="s">
        <v>1365</v>
      </c>
      <c r="B1936" s="41" t="s">
        <v>7973</v>
      </c>
      <c r="C1936" s="41" t="s">
        <v>3490</v>
      </c>
      <c r="D1936" s="42">
        <v>45209</v>
      </c>
      <c r="E1936" s="41">
        <v>10</v>
      </c>
      <c r="F1936" s="41">
        <v>1</v>
      </c>
      <c r="G1936" s="41" t="s">
        <v>7974</v>
      </c>
      <c r="H1936" s="41">
        <v>10</v>
      </c>
    </row>
    <row r="1937" spans="1:8" ht="16" x14ac:dyDescent="0.2">
      <c r="A1937" s="41" t="s">
        <v>7975</v>
      </c>
      <c r="B1937" s="41" t="s">
        <v>7976</v>
      </c>
      <c r="C1937" s="41" t="s">
        <v>3490</v>
      </c>
      <c r="D1937" s="42">
        <v>45810</v>
      </c>
      <c r="E1937" s="41">
        <v>10</v>
      </c>
      <c r="F1937" s="41">
        <v>1</v>
      </c>
      <c r="G1937" s="41" t="s">
        <v>7977</v>
      </c>
      <c r="H1937" s="41">
        <v>10</v>
      </c>
    </row>
    <row r="1938" spans="1:8" ht="16" x14ac:dyDescent="0.2">
      <c r="A1938" s="41" t="s">
        <v>1366</v>
      </c>
      <c r="B1938" s="41" t="s">
        <v>7978</v>
      </c>
      <c r="C1938" s="41" t="s">
        <v>3490</v>
      </c>
      <c r="D1938" s="42">
        <v>39174</v>
      </c>
      <c r="E1938" s="41">
        <v>1</v>
      </c>
      <c r="F1938" s="41">
        <v>1</v>
      </c>
      <c r="G1938" s="41" t="s">
        <v>7979</v>
      </c>
      <c r="H1938" s="41">
        <v>1</v>
      </c>
    </row>
    <row r="1939" spans="1:8" ht="16" x14ac:dyDescent="0.2">
      <c r="A1939" s="41" t="s">
        <v>1367</v>
      </c>
      <c r="B1939" s="41" t="s">
        <v>7980</v>
      </c>
      <c r="C1939" s="41" t="s">
        <v>3490</v>
      </c>
      <c r="D1939" s="42">
        <v>34941</v>
      </c>
      <c r="E1939" s="41">
        <v>2</v>
      </c>
      <c r="F1939" s="41">
        <v>1</v>
      </c>
      <c r="G1939" s="41" t="s">
        <v>7981</v>
      </c>
      <c r="H1939" s="41">
        <v>2</v>
      </c>
    </row>
    <row r="1940" spans="1:8" ht="16" x14ac:dyDescent="0.2">
      <c r="A1940" s="41" t="s">
        <v>1368</v>
      </c>
      <c r="B1940" s="41" t="s">
        <v>7982</v>
      </c>
      <c r="C1940" s="41" t="s">
        <v>3490</v>
      </c>
      <c r="D1940" s="42">
        <v>36684</v>
      </c>
      <c r="E1940" s="41">
        <v>1</v>
      </c>
      <c r="F1940" s="41">
        <v>1</v>
      </c>
      <c r="G1940" s="41" t="s">
        <v>7983</v>
      </c>
      <c r="H1940" s="41">
        <v>1</v>
      </c>
    </row>
    <row r="1941" spans="1:8" ht="16" x14ac:dyDescent="0.2">
      <c r="A1941" s="41" t="s">
        <v>7984</v>
      </c>
      <c r="B1941" s="41" t="s">
        <v>7985</v>
      </c>
      <c r="C1941" s="41" t="s">
        <v>3510</v>
      </c>
      <c r="D1941" s="42">
        <v>40938</v>
      </c>
      <c r="E1941" s="41">
        <v>10</v>
      </c>
      <c r="F1941" s="41">
        <v>1</v>
      </c>
      <c r="G1941" s="41" t="s">
        <v>7986</v>
      </c>
      <c r="H1941" s="41">
        <v>10</v>
      </c>
    </row>
    <row r="1942" spans="1:8" ht="16" x14ac:dyDescent="0.2">
      <c r="A1942" s="41" t="s">
        <v>1369</v>
      </c>
      <c r="B1942" s="41" t="s">
        <v>7987</v>
      </c>
      <c r="C1942" s="41" t="s">
        <v>3490</v>
      </c>
      <c r="D1942" s="42">
        <v>42499</v>
      </c>
      <c r="E1942" s="41">
        <v>10</v>
      </c>
      <c r="F1942" s="41">
        <v>1</v>
      </c>
      <c r="G1942" s="41" t="s">
        <v>7988</v>
      </c>
      <c r="H1942" s="41">
        <v>10</v>
      </c>
    </row>
    <row r="1943" spans="1:8" ht="16" x14ac:dyDescent="0.2">
      <c r="A1943" s="41" t="s">
        <v>1370</v>
      </c>
      <c r="B1943" s="41" t="s">
        <v>7989</v>
      </c>
      <c r="C1943" s="41" t="s">
        <v>3490</v>
      </c>
      <c r="D1943" s="42">
        <v>40375</v>
      </c>
      <c r="E1943" s="41">
        <v>10</v>
      </c>
      <c r="F1943" s="41">
        <v>1</v>
      </c>
      <c r="G1943" s="41" t="s">
        <v>7990</v>
      </c>
      <c r="H1943" s="41">
        <v>10</v>
      </c>
    </row>
    <row r="1944" spans="1:8" ht="16" x14ac:dyDescent="0.2">
      <c r="A1944" s="41" t="s">
        <v>7991</v>
      </c>
      <c r="B1944" s="41" t="s">
        <v>7992</v>
      </c>
      <c r="C1944" s="41" t="s">
        <v>3510</v>
      </c>
      <c r="D1944" s="42">
        <v>45215</v>
      </c>
      <c r="E1944" s="41">
        <v>1</v>
      </c>
      <c r="F1944" s="41">
        <v>1</v>
      </c>
      <c r="G1944" s="41" t="s">
        <v>7993</v>
      </c>
      <c r="H1944" s="41">
        <v>1</v>
      </c>
    </row>
    <row r="1945" spans="1:8" ht="16" x14ac:dyDescent="0.2">
      <c r="A1945" s="41" t="s">
        <v>1371</v>
      </c>
      <c r="B1945" s="41" t="s">
        <v>7994</v>
      </c>
      <c r="C1945" s="41" t="s">
        <v>3490</v>
      </c>
      <c r="D1945" s="42">
        <v>39125</v>
      </c>
      <c r="E1945" s="41">
        <v>10</v>
      </c>
      <c r="F1945" s="41">
        <v>1</v>
      </c>
      <c r="G1945" s="41" t="s">
        <v>7995</v>
      </c>
      <c r="H1945" s="41">
        <v>10</v>
      </c>
    </row>
    <row r="1946" spans="1:8" ht="16" x14ac:dyDescent="0.2">
      <c r="A1946" s="41" t="s">
        <v>1372</v>
      </c>
      <c r="B1946" s="41" t="s">
        <v>7996</v>
      </c>
      <c r="C1946" s="41" t="s">
        <v>3490</v>
      </c>
      <c r="D1946" s="42">
        <v>43041</v>
      </c>
      <c r="E1946" s="41">
        <v>1</v>
      </c>
      <c r="F1946" s="41">
        <v>1</v>
      </c>
      <c r="G1946" s="41" t="s">
        <v>7997</v>
      </c>
      <c r="H1946" s="41">
        <v>1</v>
      </c>
    </row>
    <row r="1947" spans="1:8" ht="16" x14ac:dyDescent="0.2">
      <c r="A1947" s="41" t="s">
        <v>7998</v>
      </c>
      <c r="B1947" s="41" t="s">
        <v>7999</v>
      </c>
      <c r="C1947" s="41" t="s">
        <v>3510</v>
      </c>
      <c r="D1947" s="42">
        <v>40830</v>
      </c>
      <c r="E1947" s="41">
        <v>10</v>
      </c>
      <c r="F1947" s="41">
        <v>1</v>
      </c>
      <c r="G1947" s="41" t="s">
        <v>8000</v>
      </c>
      <c r="H1947" s="41">
        <v>10</v>
      </c>
    </row>
    <row r="1948" spans="1:8" ht="16" x14ac:dyDescent="0.2">
      <c r="A1948" s="41" t="s">
        <v>1373</v>
      </c>
      <c r="B1948" s="41" t="s">
        <v>8001</v>
      </c>
      <c r="C1948" s="41" t="s">
        <v>3510</v>
      </c>
      <c r="D1948" s="42">
        <v>34969</v>
      </c>
      <c r="E1948" s="41">
        <v>10</v>
      </c>
      <c r="F1948" s="41">
        <v>1</v>
      </c>
      <c r="G1948" s="41" t="s">
        <v>8002</v>
      </c>
      <c r="H1948" s="41">
        <v>10</v>
      </c>
    </row>
    <row r="1949" spans="1:8" ht="16" x14ac:dyDescent="0.2">
      <c r="A1949" s="41" t="s">
        <v>1374</v>
      </c>
      <c r="B1949" s="41" t="s">
        <v>8003</v>
      </c>
      <c r="C1949" s="41" t="s">
        <v>3490</v>
      </c>
      <c r="D1949" s="42">
        <v>39246</v>
      </c>
      <c r="E1949" s="41">
        <v>1</v>
      </c>
      <c r="F1949" s="41">
        <v>1</v>
      </c>
      <c r="G1949" s="41" t="s">
        <v>8004</v>
      </c>
      <c r="H1949" s="41">
        <v>1</v>
      </c>
    </row>
    <row r="1950" spans="1:8" ht="16" x14ac:dyDescent="0.2">
      <c r="A1950" s="41" t="s">
        <v>1375</v>
      </c>
      <c r="B1950" s="41" t="s">
        <v>8005</v>
      </c>
      <c r="C1950" s="41" t="s">
        <v>3490</v>
      </c>
      <c r="D1950" s="42">
        <v>39119</v>
      </c>
      <c r="E1950" s="41">
        <v>10</v>
      </c>
      <c r="F1950" s="41">
        <v>1</v>
      </c>
      <c r="G1950" s="41" t="s">
        <v>8006</v>
      </c>
      <c r="H1950" s="41">
        <v>10</v>
      </c>
    </row>
    <row r="1951" spans="1:8" ht="16" x14ac:dyDescent="0.2">
      <c r="A1951" s="41" t="s">
        <v>1376</v>
      </c>
      <c r="B1951" s="41" t="s">
        <v>8007</v>
      </c>
      <c r="C1951" s="41" t="s">
        <v>3490</v>
      </c>
      <c r="D1951" s="42">
        <v>45764</v>
      </c>
      <c r="E1951" s="41">
        <v>10</v>
      </c>
      <c r="F1951" s="41">
        <v>1</v>
      </c>
      <c r="G1951" s="41" t="s">
        <v>8008</v>
      </c>
      <c r="H1951" s="41">
        <v>10</v>
      </c>
    </row>
    <row r="1952" spans="1:8" ht="16" x14ac:dyDescent="0.2">
      <c r="A1952" s="41" t="s">
        <v>8009</v>
      </c>
      <c r="B1952" s="41" t="s">
        <v>8010</v>
      </c>
      <c r="C1952" s="41" t="s">
        <v>3490</v>
      </c>
      <c r="D1952" s="42">
        <v>44840</v>
      </c>
      <c r="E1952" s="41">
        <v>10</v>
      </c>
      <c r="F1952" s="41">
        <v>1</v>
      </c>
      <c r="G1952" s="41" t="s">
        <v>8011</v>
      </c>
      <c r="H1952" s="41">
        <v>10</v>
      </c>
    </row>
    <row r="1953" spans="1:8" ht="16" x14ac:dyDescent="0.2">
      <c r="A1953" s="41" t="s">
        <v>8012</v>
      </c>
      <c r="B1953" s="41" t="s">
        <v>8013</v>
      </c>
      <c r="C1953" s="41" t="s">
        <v>3490</v>
      </c>
      <c r="D1953" s="42">
        <v>36840</v>
      </c>
      <c r="E1953" s="41">
        <v>1</v>
      </c>
      <c r="F1953" s="41">
        <v>1</v>
      </c>
      <c r="G1953" s="41" t="s">
        <v>8014</v>
      </c>
      <c r="H1953" s="41">
        <v>1</v>
      </c>
    </row>
    <row r="1954" spans="1:8" ht="16" x14ac:dyDescent="0.2">
      <c r="A1954" s="41" t="s">
        <v>1377</v>
      </c>
      <c r="B1954" s="41" t="s">
        <v>8015</v>
      </c>
      <c r="C1954" s="41" t="s">
        <v>3490</v>
      </c>
      <c r="D1954" s="42">
        <v>37755</v>
      </c>
      <c r="E1954" s="41">
        <v>1</v>
      </c>
      <c r="F1954" s="41">
        <v>1</v>
      </c>
      <c r="G1954" s="41" t="s">
        <v>8016</v>
      </c>
      <c r="H1954" s="41">
        <v>1</v>
      </c>
    </row>
    <row r="1955" spans="1:8" ht="16" x14ac:dyDescent="0.2">
      <c r="A1955" s="41" t="s">
        <v>8017</v>
      </c>
      <c r="B1955" s="41" t="s">
        <v>8018</v>
      </c>
      <c r="C1955" s="41" t="s">
        <v>3490</v>
      </c>
      <c r="D1955" s="42">
        <v>44047</v>
      </c>
      <c r="E1955" s="41">
        <v>2</v>
      </c>
      <c r="F1955" s="41">
        <v>1</v>
      </c>
      <c r="G1955" s="41" t="s">
        <v>8019</v>
      </c>
      <c r="H1955" s="41">
        <v>2</v>
      </c>
    </row>
    <row r="1956" spans="1:8" ht="16" x14ac:dyDescent="0.2">
      <c r="A1956" s="41" t="s">
        <v>1379</v>
      </c>
      <c r="B1956" s="41" t="s">
        <v>8020</v>
      </c>
      <c r="C1956" s="41" t="s">
        <v>3490</v>
      </c>
      <c r="D1956" s="42">
        <v>39559</v>
      </c>
      <c r="E1956" s="41">
        <v>2</v>
      </c>
      <c r="F1956" s="41">
        <v>1</v>
      </c>
      <c r="G1956" s="41" t="s">
        <v>8021</v>
      </c>
      <c r="H1956" s="41">
        <v>2</v>
      </c>
    </row>
    <row r="1957" spans="1:8" ht="16" x14ac:dyDescent="0.2">
      <c r="A1957" s="41" t="s">
        <v>1380</v>
      </c>
      <c r="B1957" s="41" t="s">
        <v>8022</v>
      </c>
      <c r="C1957" s="41" t="s">
        <v>3490</v>
      </c>
      <c r="D1957" s="42">
        <v>38254</v>
      </c>
      <c r="E1957" s="41">
        <v>1</v>
      </c>
      <c r="F1957" s="41">
        <v>1</v>
      </c>
      <c r="G1957" s="41" t="s">
        <v>8023</v>
      </c>
      <c r="H1957" s="41">
        <v>1</v>
      </c>
    </row>
    <row r="1958" spans="1:8" ht="16" x14ac:dyDescent="0.2">
      <c r="A1958" s="41" t="s">
        <v>1381</v>
      </c>
      <c r="B1958" s="41" t="s">
        <v>8024</v>
      </c>
      <c r="C1958" s="41" t="s">
        <v>3490</v>
      </c>
      <c r="D1958" s="42">
        <v>44819</v>
      </c>
      <c r="E1958" s="41">
        <v>10</v>
      </c>
      <c r="F1958" s="41">
        <v>1</v>
      </c>
      <c r="G1958" s="41" t="s">
        <v>8025</v>
      </c>
      <c r="H1958" s="41">
        <v>10</v>
      </c>
    </row>
    <row r="1959" spans="1:8" ht="16" x14ac:dyDescent="0.2">
      <c r="A1959" s="41" t="s">
        <v>1382</v>
      </c>
      <c r="B1959" s="41" t="s">
        <v>8026</v>
      </c>
      <c r="C1959" s="41" t="s">
        <v>3510</v>
      </c>
      <c r="D1959" s="42">
        <v>36460</v>
      </c>
      <c r="E1959" s="41">
        <v>10</v>
      </c>
      <c r="F1959" s="41">
        <v>1</v>
      </c>
      <c r="G1959" s="41" t="s">
        <v>8027</v>
      </c>
      <c r="H1959" s="41">
        <v>10</v>
      </c>
    </row>
    <row r="1960" spans="1:8" ht="16" x14ac:dyDescent="0.2">
      <c r="A1960" s="41" t="s">
        <v>1383</v>
      </c>
      <c r="B1960" s="41" t="s">
        <v>8028</v>
      </c>
      <c r="C1960" s="41" t="s">
        <v>3490</v>
      </c>
      <c r="D1960" s="42">
        <v>35109</v>
      </c>
      <c r="E1960" s="41">
        <v>10</v>
      </c>
      <c r="F1960" s="41">
        <v>1</v>
      </c>
      <c r="G1960" s="41" t="s">
        <v>8029</v>
      </c>
      <c r="H1960" s="41">
        <v>10</v>
      </c>
    </row>
    <row r="1961" spans="1:8" ht="16" x14ac:dyDescent="0.2">
      <c r="A1961" s="41" t="s">
        <v>8030</v>
      </c>
      <c r="B1961" s="41" t="s">
        <v>8031</v>
      </c>
      <c r="C1961" s="41" t="s">
        <v>3510</v>
      </c>
      <c r="D1961" s="42">
        <v>37656</v>
      </c>
      <c r="E1961" s="41">
        <v>10</v>
      </c>
      <c r="F1961" s="41">
        <v>1</v>
      </c>
      <c r="G1961" s="41" t="s">
        <v>8032</v>
      </c>
      <c r="H1961" s="41">
        <v>10</v>
      </c>
    </row>
    <row r="1962" spans="1:8" ht="16" x14ac:dyDescent="0.2">
      <c r="A1962" s="41" t="s">
        <v>8033</v>
      </c>
      <c r="B1962" s="41" t="s">
        <v>8034</v>
      </c>
      <c r="C1962" s="41" t="s">
        <v>3490</v>
      </c>
      <c r="D1962" s="42">
        <v>34983</v>
      </c>
      <c r="E1962" s="41">
        <v>10</v>
      </c>
      <c r="F1962" s="41">
        <v>1</v>
      </c>
      <c r="G1962" s="41" t="s">
        <v>8035</v>
      </c>
      <c r="H1962" s="41">
        <v>10</v>
      </c>
    </row>
    <row r="1963" spans="1:8" ht="16" x14ac:dyDescent="0.2">
      <c r="A1963" s="41" t="s">
        <v>8036</v>
      </c>
      <c r="B1963" s="41" t="s">
        <v>8037</v>
      </c>
      <c r="C1963" s="41" t="s">
        <v>3490</v>
      </c>
      <c r="D1963" s="42">
        <v>45551</v>
      </c>
      <c r="E1963" s="41">
        <v>5</v>
      </c>
      <c r="F1963" s="41">
        <v>1</v>
      </c>
      <c r="G1963" s="41" t="s">
        <v>8038</v>
      </c>
      <c r="H1963" s="41">
        <v>5</v>
      </c>
    </row>
    <row r="1964" spans="1:8" ht="16" x14ac:dyDescent="0.2">
      <c r="A1964" s="41" t="s">
        <v>1384</v>
      </c>
      <c r="B1964" s="41" t="s">
        <v>8039</v>
      </c>
      <c r="C1964" s="41" t="s">
        <v>3490</v>
      </c>
      <c r="D1964" s="42">
        <v>37585</v>
      </c>
      <c r="E1964" s="41">
        <v>5</v>
      </c>
      <c r="F1964" s="41">
        <v>1</v>
      </c>
      <c r="G1964" s="41" t="s">
        <v>8040</v>
      </c>
      <c r="H1964" s="41">
        <v>5</v>
      </c>
    </row>
    <row r="1965" spans="1:8" ht="16" x14ac:dyDescent="0.2">
      <c r="A1965" s="41" t="s">
        <v>1385</v>
      </c>
      <c r="B1965" s="41" t="s">
        <v>8041</v>
      </c>
      <c r="C1965" s="41" t="s">
        <v>3490</v>
      </c>
      <c r="D1965" s="42">
        <v>39049</v>
      </c>
      <c r="E1965" s="41">
        <v>10</v>
      </c>
      <c r="F1965" s="41">
        <v>1</v>
      </c>
      <c r="G1965" s="41" t="s">
        <v>8042</v>
      </c>
      <c r="H1965" s="41">
        <v>10</v>
      </c>
    </row>
    <row r="1966" spans="1:8" ht="16" x14ac:dyDescent="0.2">
      <c r="A1966" s="41" t="s">
        <v>8043</v>
      </c>
      <c r="B1966" s="41" t="s">
        <v>8044</v>
      </c>
      <c r="C1966" s="41" t="s">
        <v>3490</v>
      </c>
      <c r="D1966" s="42">
        <v>44071</v>
      </c>
      <c r="E1966" s="41">
        <v>10</v>
      </c>
      <c r="F1966" s="41">
        <v>1</v>
      </c>
      <c r="G1966" s="41" t="s">
        <v>8045</v>
      </c>
      <c r="H1966" s="41">
        <v>10</v>
      </c>
    </row>
    <row r="1967" spans="1:8" ht="16" x14ac:dyDescent="0.2">
      <c r="A1967" s="41" t="s">
        <v>8046</v>
      </c>
      <c r="B1967" s="41" t="s">
        <v>8047</v>
      </c>
      <c r="C1967" s="41" t="s">
        <v>3490</v>
      </c>
      <c r="D1967" s="42">
        <v>43851</v>
      </c>
      <c r="E1967" s="41">
        <v>10</v>
      </c>
      <c r="F1967" s="41">
        <v>1</v>
      </c>
      <c r="G1967" s="41" t="s">
        <v>8048</v>
      </c>
      <c r="H1967" s="41">
        <v>10</v>
      </c>
    </row>
    <row r="1968" spans="1:8" ht="16" x14ac:dyDescent="0.2">
      <c r="A1968" s="41" t="s">
        <v>8049</v>
      </c>
      <c r="B1968" s="41" t="s">
        <v>8050</v>
      </c>
      <c r="C1968" s="41" t="s">
        <v>3490</v>
      </c>
      <c r="D1968" s="42">
        <v>39843</v>
      </c>
      <c r="E1968" s="41">
        <v>1</v>
      </c>
      <c r="F1968" s="41">
        <v>1</v>
      </c>
      <c r="G1968" s="41" t="s">
        <v>8051</v>
      </c>
      <c r="H1968" s="41">
        <v>1</v>
      </c>
    </row>
    <row r="1969" spans="1:8" ht="16" x14ac:dyDescent="0.2">
      <c r="A1969" s="41" t="s">
        <v>1386</v>
      </c>
      <c r="B1969" s="41" t="s">
        <v>8052</v>
      </c>
      <c r="C1969" s="41" t="s">
        <v>3490</v>
      </c>
      <c r="D1969" s="42">
        <v>42144</v>
      </c>
      <c r="E1969" s="41">
        <v>2</v>
      </c>
      <c r="F1969" s="41">
        <v>1</v>
      </c>
      <c r="G1969" s="41" t="s">
        <v>8053</v>
      </c>
      <c r="H1969" s="41">
        <v>2</v>
      </c>
    </row>
    <row r="1970" spans="1:8" ht="16" x14ac:dyDescent="0.2">
      <c r="A1970" s="41" t="s">
        <v>1387</v>
      </c>
      <c r="B1970" s="41" t="s">
        <v>8054</v>
      </c>
      <c r="C1970" s="41" t="s">
        <v>3490</v>
      </c>
      <c r="D1970" s="42">
        <v>44854</v>
      </c>
      <c r="E1970" s="41">
        <v>1</v>
      </c>
      <c r="F1970" s="41">
        <v>1</v>
      </c>
      <c r="G1970" s="41" t="s">
        <v>8055</v>
      </c>
      <c r="H1970" s="41">
        <v>1</v>
      </c>
    </row>
    <row r="1971" spans="1:8" ht="16" x14ac:dyDescent="0.2">
      <c r="A1971" s="41" t="s">
        <v>8056</v>
      </c>
      <c r="B1971" s="41" t="s">
        <v>8057</v>
      </c>
      <c r="C1971" s="41" t="s">
        <v>3490</v>
      </c>
      <c r="D1971" s="42">
        <v>45653</v>
      </c>
      <c r="E1971" s="41">
        <v>2</v>
      </c>
      <c r="F1971" s="41">
        <v>1</v>
      </c>
      <c r="G1971" s="41" t="s">
        <v>8058</v>
      </c>
      <c r="H1971" s="41">
        <v>2</v>
      </c>
    </row>
    <row r="1972" spans="1:8" ht="16" x14ac:dyDescent="0.2">
      <c r="A1972" s="41" t="s">
        <v>8059</v>
      </c>
      <c r="B1972" s="41" t="s">
        <v>8060</v>
      </c>
      <c r="C1972" s="41" t="s">
        <v>3490</v>
      </c>
      <c r="D1972" s="42">
        <v>34759</v>
      </c>
      <c r="E1972" s="41">
        <v>10</v>
      </c>
      <c r="F1972" s="41">
        <v>1</v>
      </c>
      <c r="G1972" s="41" t="s">
        <v>8061</v>
      </c>
      <c r="H1972" s="41">
        <v>10</v>
      </c>
    </row>
    <row r="1973" spans="1:8" ht="16" x14ac:dyDescent="0.2">
      <c r="A1973" s="41" t="s">
        <v>8062</v>
      </c>
      <c r="B1973" s="41" t="s">
        <v>8063</v>
      </c>
      <c r="C1973" s="41" t="s">
        <v>3490</v>
      </c>
      <c r="D1973" s="42">
        <v>45852</v>
      </c>
      <c r="E1973" s="41">
        <v>1</v>
      </c>
      <c r="F1973" s="41">
        <v>1</v>
      </c>
      <c r="G1973" s="41" t="s">
        <v>8064</v>
      </c>
      <c r="H1973" s="41">
        <v>1</v>
      </c>
    </row>
    <row r="1974" spans="1:8" ht="16" x14ac:dyDescent="0.2">
      <c r="A1974" s="41" t="s">
        <v>8065</v>
      </c>
      <c r="B1974" s="41" t="s">
        <v>8066</v>
      </c>
      <c r="C1974" s="41" t="s">
        <v>3490</v>
      </c>
      <c r="D1974" s="42">
        <v>40781</v>
      </c>
      <c r="E1974" s="41">
        <v>10</v>
      </c>
      <c r="F1974" s="41">
        <v>1</v>
      </c>
      <c r="G1974" s="41" t="s">
        <v>8067</v>
      </c>
      <c r="H1974" s="41">
        <v>10</v>
      </c>
    </row>
    <row r="1975" spans="1:8" ht="16" x14ac:dyDescent="0.2">
      <c r="A1975" s="41" t="s">
        <v>8068</v>
      </c>
      <c r="B1975" s="41" t="s">
        <v>8069</v>
      </c>
      <c r="C1975" s="41" t="s">
        <v>3490</v>
      </c>
      <c r="D1975" s="42">
        <v>43462</v>
      </c>
      <c r="E1975" s="41">
        <v>10</v>
      </c>
      <c r="F1975" s="41">
        <v>1</v>
      </c>
      <c r="G1975" s="41" t="s">
        <v>8070</v>
      </c>
      <c r="H1975" s="41">
        <v>10</v>
      </c>
    </row>
    <row r="1976" spans="1:8" ht="16" x14ac:dyDescent="0.2">
      <c r="A1976" s="41" t="s">
        <v>1388</v>
      </c>
      <c r="B1976" s="41" t="s">
        <v>8071</v>
      </c>
      <c r="C1976" s="41" t="s">
        <v>3490</v>
      </c>
      <c r="D1976" s="42">
        <v>45148</v>
      </c>
      <c r="E1976" s="41">
        <v>2</v>
      </c>
      <c r="F1976" s="41">
        <v>1</v>
      </c>
      <c r="G1976" s="41" t="s">
        <v>8072</v>
      </c>
      <c r="H1976" s="41">
        <v>2</v>
      </c>
    </row>
    <row r="1977" spans="1:8" ht="16" x14ac:dyDescent="0.2">
      <c r="A1977" s="41" t="s">
        <v>1389</v>
      </c>
      <c r="B1977" s="41" t="s">
        <v>8073</v>
      </c>
      <c r="C1977" s="41" t="s">
        <v>3490</v>
      </c>
      <c r="D1977" s="42">
        <v>38145</v>
      </c>
      <c r="E1977" s="41">
        <v>1</v>
      </c>
      <c r="F1977" s="41">
        <v>1</v>
      </c>
      <c r="G1977" s="41" t="s">
        <v>8074</v>
      </c>
      <c r="H1977" s="41">
        <v>1</v>
      </c>
    </row>
    <row r="1978" spans="1:8" ht="16" x14ac:dyDescent="0.2">
      <c r="A1978" s="41" t="s">
        <v>1390</v>
      </c>
      <c r="B1978" s="41" t="s">
        <v>8075</v>
      </c>
      <c r="C1978" s="41" t="s">
        <v>3490</v>
      </c>
      <c r="D1978" s="42">
        <v>40263</v>
      </c>
      <c r="E1978" s="41">
        <v>10</v>
      </c>
      <c r="F1978" s="41">
        <v>1</v>
      </c>
      <c r="G1978" s="41" t="s">
        <v>8076</v>
      </c>
      <c r="H1978" s="41">
        <v>10</v>
      </c>
    </row>
    <row r="1979" spans="1:8" ht="16" x14ac:dyDescent="0.2">
      <c r="A1979" s="41" t="s">
        <v>1391</v>
      </c>
      <c r="B1979" s="41" t="s">
        <v>8077</v>
      </c>
      <c r="C1979" s="41" t="s">
        <v>3490</v>
      </c>
      <c r="D1979" s="42">
        <v>36943</v>
      </c>
      <c r="E1979" s="41">
        <v>1</v>
      </c>
      <c r="F1979" s="41">
        <v>1</v>
      </c>
      <c r="G1979" s="41" t="s">
        <v>8078</v>
      </c>
      <c r="H1979" s="41">
        <v>1</v>
      </c>
    </row>
    <row r="1980" spans="1:8" ht="16" x14ac:dyDescent="0.2">
      <c r="A1980" s="41" t="s">
        <v>8079</v>
      </c>
      <c r="B1980" s="41" t="s">
        <v>8080</v>
      </c>
      <c r="C1980" s="41" t="s">
        <v>3490</v>
      </c>
      <c r="D1980" s="42">
        <v>35894</v>
      </c>
      <c r="E1980" s="41">
        <v>10</v>
      </c>
      <c r="F1980" s="41">
        <v>1</v>
      </c>
      <c r="G1980" s="41" t="s">
        <v>8081</v>
      </c>
      <c r="H1980" s="41">
        <v>10</v>
      </c>
    </row>
    <row r="1981" spans="1:8" ht="16" x14ac:dyDescent="0.2">
      <c r="A1981" s="41" t="s">
        <v>1392</v>
      </c>
      <c r="B1981" s="41" t="s">
        <v>8082</v>
      </c>
      <c r="C1981" s="41" t="s">
        <v>3490</v>
      </c>
      <c r="D1981" s="42">
        <v>40844</v>
      </c>
      <c r="E1981" s="41">
        <v>1</v>
      </c>
      <c r="F1981" s="41">
        <v>1</v>
      </c>
      <c r="G1981" s="41" t="s">
        <v>8083</v>
      </c>
      <c r="H1981" s="41">
        <v>1</v>
      </c>
    </row>
    <row r="1982" spans="1:8" ht="16" x14ac:dyDescent="0.2">
      <c r="A1982" s="41" t="s">
        <v>1393</v>
      </c>
      <c r="B1982" s="41" t="s">
        <v>8084</v>
      </c>
      <c r="C1982" s="41" t="s">
        <v>3490</v>
      </c>
      <c r="D1982" s="42">
        <v>38699</v>
      </c>
      <c r="E1982" s="41">
        <v>1</v>
      </c>
      <c r="F1982" s="41">
        <v>1</v>
      </c>
      <c r="G1982" s="41" t="s">
        <v>8085</v>
      </c>
      <c r="H1982" s="41">
        <v>1</v>
      </c>
    </row>
    <row r="1983" spans="1:8" ht="16" x14ac:dyDescent="0.2">
      <c r="A1983" s="41" t="s">
        <v>1394</v>
      </c>
      <c r="B1983" s="41" t="s">
        <v>8086</v>
      </c>
      <c r="C1983" s="41" t="s">
        <v>3510</v>
      </c>
      <c r="D1983" s="42">
        <v>45097</v>
      </c>
      <c r="E1983" s="41">
        <v>2</v>
      </c>
      <c r="F1983" s="41">
        <v>1</v>
      </c>
      <c r="G1983" s="41" t="s">
        <v>8087</v>
      </c>
      <c r="H1983" s="41">
        <v>2</v>
      </c>
    </row>
    <row r="1984" spans="1:8" ht="16" x14ac:dyDescent="0.2">
      <c r="A1984" s="41" t="s">
        <v>1396</v>
      </c>
      <c r="B1984" s="41" t="s">
        <v>8088</v>
      </c>
      <c r="C1984" s="41" t="s">
        <v>3490</v>
      </c>
      <c r="D1984" s="42">
        <v>42340</v>
      </c>
      <c r="E1984" s="41">
        <v>10</v>
      </c>
      <c r="F1984" s="41">
        <v>1</v>
      </c>
      <c r="G1984" s="41" t="s">
        <v>8089</v>
      </c>
      <c r="H1984" s="41">
        <v>10</v>
      </c>
    </row>
    <row r="1985" spans="1:8" ht="16" x14ac:dyDescent="0.2">
      <c r="A1985" s="41" t="s">
        <v>1397</v>
      </c>
      <c r="B1985" s="41" t="s">
        <v>8090</v>
      </c>
      <c r="C1985" s="41" t="s">
        <v>3490</v>
      </c>
      <c r="D1985" s="42">
        <v>36516</v>
      </c>
      <c r="E1985" s="41">
        <v>1</v>
      </c>
      <c r="F1985" s="41">
        <v>1</v>
      </c>
      <c r="G1985" s="41" t="s">
        <v>8091</v>
      </c>
      <c r="H1985" s="41">
        <v>1</v>
      </c>
    </row>
    <row r="1986" spans="1:8" ht="16" x14ac:dyDescent="0.2">
      <c r="A1986" s="41" t="s">
        <v>8092</v>
      </c>
      <c r="B1986" s="41" t="s">
        <v>8093</v>
      </c>
      <c r="C1986" s="41" t="s">
        <v>3510</v>
      </c>
      <c r="D1986" s="42">
        <v>39135</v>
      </c>
      <c r="E1986" s="41">
        <v>1</v>
      </c>
      <c r="F1986" s="41">
        <v>1</v>
      </c>
      <c r="G1986" s="41" t="s">
        <v>8094</v>
      </c>
      <c r="H1986" s="41">
        <v>1</v>
      </c>
    </row>
    <row r="1987" spans="1:8" ht="16" x14ac:dyDescent="0.2">
      <c r="A1987" s="41" t="s">
        <v>1398</v>
      </c>
      <c r="B1987" s="41" t="s">
        <v>8095</v>
      </c>
      <c r="C1987" s="41" t="s">
        <v>3510</v>
      </c>
      <c r="D1987" s="42">
        <v>36819</v>
      </c>
      <c r="E1987" s="41">
        <v>10</v>
      </c>
      <c r="F1987" s="41">
        <v>1</v>
      </c>
      <c r="G1987" s="41" t="s">
        <v>8096</v>
      </c>
      <c r="H1987" s="41">
        <v>10</v>
      </c>
    </row>
    <row r="1988" spans="1:8" ht="16" x14ac:dyDescent="0.2">
      <c r="A1988" s="41" t="s">
        <v>1399</v>
      </c>
      <c r="B1988" s="41" t="s">
        <v>8097</v>
      </c>
      <c r="C1988" s="41" t="s">
        <v>3510</v>
      </c>
      <c r="D1988" s="42">
        <v>37981</v>
      </c>
      <c r="E1988" s="41">
        <v>10</v>
      </c>
      <c r="F1988" s="41">
        <v>1</v>
      </c>
      <c r="G1988" s="41" t="s">
        <v>8098</v>
      </c>
      <c r="H1988" s="41">
        <v>10</v>
      </c>
    </row>
    <row r="1989" spans="1:8" ht="16" x14ac:dyDescent="0.2">
      <c r="A1989" s="41" t="s">
        <v>1400</v>
      </c>
      <c r="B1989" s="41" t="s">
        <v>8099</v>
      </c>
      <c r="C1989" s="41" t="s">
        <v>3490</v>
      </c>
      <c r="D1989" s="42">
        <v>41205</v>
      </c>
      <c r="E1989" s="41">
        <v>5</v>
      </c>
      <c r="F1989" s="41">
        <v>1</v>
      </c>
      <c r="G1989" s="41" t="s">
        <v>8100</v>
      </c>
      <c r="H1989" s="41">
        <v>5</v>
      </c>
    </row>
    <row r="1990" spans="1:8" ht="16" x14ac:dyDescent="0.2">
      <c r="A1990" s="41" t="s">
        <v>1401</v>
      </c>
      <c r="B1990" s="41" t="s">
        <v>8101</v>
      </c>
      <c r="C1990" s="41" t="s">
        <v>3490</v>
      </c>
      <c r="D1990" s="42">
        <v>36740</v>
      </c>
      <c r="E1990" s="41">
        <v>1</v>
      </c>
      <c r="F1990" s="41">
        <v>1</v>
      </c>
      <c r="G1990" s="41" t="s">
        <v>8102</v>
      </c>
      <c r="H1990" s="41">
        <v>1</v>
      </c>
    </row>
    <row r="1991" spans="1:8" ht="16" x14ac:dyDescent="0.2">
      <c r="A1991" s="41" t="s">
        <v>1402</v>
      </c>
      <c r="B1991" s="41" t="s">
        <v>8103</v>
      </c>
      <c r="C1991" s="41" t="s">
        <v>3490</v>
      </c>
      <c r="D1991" s="42">
        <v>45161</v>
      </c>
      <c r="E1991" s="41">
        <v>1</v>
      </c>
      <c r="F1991" s="41">
        <v>1</v>
      </c>
      <c r="G1991" s="41" t="s">
        <v>8104</v>
      </c>
      <c r="H1991" s="41">
        <v>1</v>
      </c>
    </row>
    <row r="1992" spans="1:8" ht="16" x14ac:dyDescent="0.2">
      <c r="A1992" s="41" t="s">
        <v>1403</v>
      </c>
      <c r="B1992" s="41" t="s">
        <v>8105</v>
      </c>
      <c r="C1992" s="41" t="s">
        <v>3490</v>
      </c>
      <c r="D1992" s="42">
        <v>39126</v>
      </c>
      <c r="E1992" s="41">
        <v>10</v>
      </c>
      <c r="F1992" s="41">
        <v>1</v>
      </c>
      <c r="G1992" s="41" t="s">
        <v>8106</v>
      </c>
      <c r="H1992" s="41">
        <v>10</v>
      </c>
    </row>
    <row r="1993" spans="1:8" ht="16" x14ac:dyDescent="0.2">
      <c r="A1993" s="41" t="s">
        <v>1404</v>
      </c>
      <c r="B1993" s="41" t="s">
        <v>8107</v>
      </c>
      <c r="C1993" s="41" t="s">
        <v>3490</v>
      </c>
      <c r="D1993" s="42">
        <v>38002</v>
      </c>
      <c r="E1993" s="41">
        <v>5</v>
      </c>
      <c r="F1993" s="41">
        <v>1</v>
      </c>
      <c r="G1993" s="41" t="s">
        <v>8108</v>
      </c>
      <c r="H1993" s="41">
        <v>5</v>
      </c>
    </row>
    <row r="1994" spans="1:8" ht="16" x14ac:dyDescent="0.2">
      <c r="A1994" s="41" t="s">
        <v>8109</v>
      </c>
      <c r="B1994" s="41" t="s">
        <v>8110</v>
      </c>
      <c r="C1994" s="41" t="s">
        <v>3490</v>
      </c>
      <c r="D1994" s="42">
        <v>42628</v>
      </c>
      <c r="E1994" s="41">
        <v>10</v>
      </c>
      <c r="F1994" s="41">
        <v>1</v>
      </c>
      <c r="G1994" s="41" t="s">
        <v>8111</v>
      </c>
      <c r="H1994" s="41">
        <v>10</v>
      </c>
    </row>
    <row r="1995" spans="1:8" ht="16" x14ac:dyDescent="0.2">
      <c r="A1995" s="41" t="s">
        <v>1405</v>
      </c>
      <c r="B1995" s="41" t="s">
        <v>8112</v>
      </c>
      <c r="C1995" s="41" t="s">
        <v>3490</v>
      </c>
      <c r="D1995" s="42">
        <v>39657</v>
      </c>
      <c r="E1995" s="41">
        <v>1</v>
      </c>
      <c r="F1995" s="41">
        <v>1</v>
      </c>
      <c r="G1995" s="41" t="s">
        <v>8113</v>
      </c>
      <c r="H1995" s="41">
        <v>1</v>
      </c>
    </row>
    <row r="1996" spans="1:8" ht="16" x14ac:dyDescent="0.2">
      <c r="A1996" s="41" t="s">
        <v>8114</v>
      </c>
      <c r="B1996" s="41" t="s">
        <v>8115</v>
      </c>
      <c r="C1996" s="41" t="s">
        <v>3490</v>
      </c>
      <c r="D1996" s="42">
        <v>34955</v>
      </c>
      <c r="E1996" s="41">
        <v>10</v>
      </c>
      <c r="F1996" s="41">
        <v>1</v>
      </c>
      <c r="G1996" s="41" t="s">
        <v>8116</v>
      </c>
      <c r="H1996" s="41">
        <v>10</v>
      </c>
    </row>
    <row r="1997" spans="1:8" ht="16" x14ac:dyDescent="0.2">
      <c r="A1997" s="41" t="s">
        <v>1406</v>
      </c>
      <c r="B1997" s="41" t="s">
        <v>8117</v>
      </c>
      <c r="C1997" s="41" t="s">
        <v>3490</v>
      </c>
      <c r="D1997" s="42">
        <v>37903</v>
      </c>
      <c r="E1997" s="41">
        <v>10</v>
      </c>
      <c r="F1997" s="41">
        <v>1</v>
      </c>
      <c r="G1997" s="41" t="s">
        <v>8118</v>
      </c>
      <c r="H1997" s="41">
        <v>10</v>
      </c>
    </row>
    <row r="1998" spans="1:8" ht="16" x14ac:dyDescent="0.2">
      <c r="A1998" s="41" t="s">
        <v>1407</v>
      </c>
      <c r="B1998" s="41" t="s">
        <v>8119</v>
      </c>
      <c r="C1998" s="41" t="s">
        <v>3490</v>
      </c>
      <c r="D1998" s="42">
        <v>45203</v>
      </c>
      <c r="E1998" s="41">
        <v>10</v>
      </c>
      <c r="F1998" s="41">
        <v>1</v>
      </c>
      <c r="G1998" s="41" t="s">
        <v>8120</v>
      </c>
      <c r="H1998" s="41">
        <v>10</v>
      </c>
    </row>
    <row r="1999" spans="1:8" ht="16" x14ac:dyDescent="0.2">
      <c r="A1999" s="41" t="s">
        <v>1409</v>
      </c>
      <c r="B1999" s="41" t="s">
        <v>8121</v>
      </c>
      <c r="C1999" s="41" t="s">
        <v>3490</v>
      </c>
      <c r="D1999" s="42">
        <v>34934</v>
      </c>
      <c r="E1999" s="41">
        <v>10</v>
      </c>
      <c r="F1999" s="41">
        <v>1</v>
      </c>
      <c r="G1999" s="41" t="s">
        <v>8122</v>
      </c>
      <c r="H1999" s="41">
        <v>10</v>
      </c>
    </row>
    <row r="2000" spans="1:8" ht="16" x14ac:dyDescent="0.2">
      <c r="A2000" s="41" t="s">
        <v>1410</v>
      </c>
      <c r="B2000" s="41" t="s">
        <v>8123</v>
      </c>
      <c r="C2000" s="41" t="s">
        <v>3490</v>
      </c>
      <c r="D2000" s="42">
        <v>42138</v>
      </c>
      <c r="E2000" s="41">
        <v>10</v>
      </c>
      <c r="F2000" s="41">
        <v>1</v>
      </c>
      <c r="G2000" s="41" t="s">
        <v>8124</v>
      </c>
      <c r="H2000" s="41">
        <v>10</v>
      </c>
    </row>
    <row r="2001" spans="1:8" ht="16" x14ac:dyDescent="0.2">
      <c r="A2001" s="41" t="s">
        <v>1411</v>
      </c>
      <c r="B2001" s="41" t="s">
        <v>8125</v>
      </c>
      <c r="C2001" s="41" t="s">
        <v>3490</v>
      </c>
      <c r="D2001" s="42">
        <v>40413</v>
      </c>
      <c r="E2001" s="41">
        <v>1</v>
      </c>
      <c r="F2001" s="41">
        <v>1</v>
      </c>
      <c r="G2001" s="41" t="s">
        <v>8126</v>
      </c>
      <c r="H2001" s="41">
        <v>1</v>
      </c>
    </row>
    <row r="2002" spans="1:8" ht="16" x14ac:dyDescent="0.2">
      <c r="A2002" s="41" t="s">
        <v>1412</v>
      </c>
      <c r="B2002" s="41" t="s">
        <v>8127</v>
      </c>
      <c r="C2002" s="41" t="s">
        <v>3490</v>
      </c>
      <c r="D2002" s="42">
        <v>44419</v>
      </c>
      <c r="E2002" s="41">
        <v>10</v>
      </c>
      <c r="F2002" s="41">
        <v>1</v>
      </c>
      <c r="G2002" s="41" t="s">
        <v>8128</v>
      </c>
      <c r="H2002" s="41">
        <v>10</v>
      </c>
    </row>
    <row r="2003" spans="1:8" ht="16" x14ac:dyDescent="0.2">
      <c r="A2003" s="41" t="s">
        <v>1413</v>
      </c>
      <c r="B2003" s="41" t="s">
        <v>8129</v>
      </c>
      <c r="C2003" s="41" t="s">
        <v>3490</v>
      </c>
      <c r="D2003" s="42">
        <v>43811</v>
      </c>
      <c r="E2003" s="41">
        <v>10</v>
      </c>
      <c r="F2003" s="41">
        <v>1</v>
      </c>
      <c r="G2003" s="41" t="s">
        <v>8130</v>
      </c>
      <c r="H2003" s="41">
        <v>10</v>
      </c>
    </row>
    <row r="2004" spans="1:8" ht="16" x14ac:dyDescent="0.2">
      <c r="A2004" s="41" t="s">
        <v>1414</v>
      </c>
      <c r="B2004" s="41" t="s">
        <v>8131</v>
      </c>
      <c r="C2004" s="41" t="s">
        <v>3490</v>
      </c>
      <c r="D2004" s="42">
        <v>38223</v>
      </c>
      <c r="E2004" s="41">
        <v>10</v>
      </c>
      <c r="F2004" s="41">
        <v>1</v>
      </c>
      <c r="G2004" s="41" t="s">
        <v>8132</v>
      </c>
      <c r="H2004" s="41">
        <v>10</v>
      </c>
    </row>
    <row r="2005" spans="1:8" ht="16" x14ac:dyDescent="0.2">
      <c r="A2005" s="41" t="s">
        <v>8133</v>
      </c>
      <c r="B2005" s="41" t="s">
        <v>8134</v>
      </c>
      <c r="C2005" s="41" t="s">
        <v>3510</v>
      </c>
      <c r="D2005" s="42">
        <v>44658</v>
      </c>
      <c r="E2005" s="41">
        <v>10</v>
      </c>
      <c r="F2005" s="41">
        <v>1</v>
      </c>
      <c r="G2005" s="41" t="s">
        <v>8135</v>
      </c>
      <c r="H2005" s="41">
        <v>10</v>
      </c>
    </row>
    <row r="2006" spans="1:8" ht="16" x14ac:dyDescent="0.2">
      <c r="A2006" s="41" t="s">
        <v>8136</v>
      </c>
      <c r="B2006" s="41" t="s">
        <v>8137</v>
      </c>
      <c r="C2006" s="41" t="s">
        <v>3490</v>
      </c>
      <c r="D2006" s="42">
        <v>40371</v>
      </c>
      <c r="E2006" s="41">
        <v>1</v>
      </c>
      <c r="F2006" s="41">
        <v>1</v>
      </c>
      <c r="G2006" s="41" t="s">
        <v>8138</v>
      </c>
      <c r="H2006" s="41">
        <v>1</v>
      </c>
    </row>
    <row r="2007" spans="1:8" ht="16" x14ac:dyDescent="0.2">
      <c r="A2007" s="41" t="s">
        <v>8139</v>
      </c>
      <c r="B2007" s="41" t="s">
        <v>8140</v>
      </c>
      <c r="C2007" s="41" t="s">
        <v>3490</v>
      </c>
      <c r="D2007" s="42">
        <v>36831</v>
      </c>
      <c r="E2007" s="41">
        <v>5</v>
      </c>
      <c r="F2007" s="41">
        <v>1</v>
      </c>
      <c r="G2007" s="41" t="s">
        <v>8141</v>
      </c>
      <c r="H2007" s="41">
        <v>5</v>
      </c>
    </row>
    <row r="2008" spans="1:8" ht="16" x14ac:dyDescent="0.2">
      <c r="A2008" s="41" t="s">
        <v>1415</v>
      </c>
      <c r="B2008" s="41" t="s">
        <v>8142</v>
      </c>
      <c r="C2008" s="41" t="s">
        <v>3490</v>
      </c>
      <c r="D2008" s="42">
        <v>36929</v>
      </c>
      <c r="E2008" s="41">
        <v>2</v>
      </c>
      <c r="F2008" s="41">
        <v>1</v>
      </c>
      <c r="G2008" s="41" t="s">
        <v>8143</v>
      </c>
      <c r="H2008" s="41">
        <v>2</v>
      </c>
    </row>
    <row r="2009" spans="1:8" ht="16" x14ac:dyDescent="0.2">
      <c r="A2009" s="41" t="s">
        <v>8144</v>
      </c>
      <c r="B2009" s="41" t="s">
        <v>8145</v>
      </c>
      <c r="C2009" s="41" t="s">
        <v>3490</v>
      </c>
      <c r="D2009" s="42">
        <v>44099</v>
      </c>
      <c r="E2009" s="41">
        <v>10</v>
      </c>
      <c r="F2009" s="41">
        <v>1</v>
      </c>
      <c r="G2009" s="41" t="s">
        <v>8146</v>
      </c>
      <c r="H2009" s="41">
        <v>10</v>
      </c>
    </row>
    <row r="2010" spans="1:8" ht="16" x14ac:dyDescent="0.2">
      <c r="A2010" s="41" t="s">
        <v>8147</v>
      </c>
      <c r="B2010" s="41" t="s">
        <v>8148</v>
      </c>
      <c r="C2010" s="41" t="s">
        <v>3490</v>
      </c>
      <c r="D2010" s="42">
        <v>45517</v>
      </c>
      <c r="E2010" s="41">
        <v>1</v>
      </c>
      <c r="F2010" s="41">
        <v>1</v>
      </c>
      <c r="G2010" s="41" t="s">
        <v>8149</v>
      </c>
      <c r="H2010" s="41">
        <v>1</v>
      </c>
    </row>
    <row r="2011" spans="1:8" ht="16" x14ac:dyDescent="0.2">
      <c r="A2011" s="41" t="s">
        <v>1416</v>
      </c>
      <c r="B2011" s="41" t="s">
        <v>8150</v>
      </c>
      <c r="C2011" s="41" t="s">
        <v>3490</v>
      </c>
      <c r="D2011" s="42">
        <v>38009</v>
      </c>
      <c r="E2011" s="41">
        <v>2</v>
      </c>
      <c r="F2011" s="41">
        <v>1</v>
      </c>
      <c r="G2011" s="41" t="s">
        <v>8151</v>
      </c>
      <c r="H2011" s="41">
        <v>2</v>
      </c>
    </row>
    <row r="2012" spans="1:8" ht="16" x14ac:dyDescent="0.2">
      <c r="A2012" s="41" t="s">
        <v>8152</v>
      </c>
      <c r="B2012" s="41" t="s">
        <v>8153</v>
      </c>
      <c r="C2012" s="41" t="s">
        <v>3510</v>
      </c>
      <c r="D2012" s="42">
        <v>44573</v>
      </c>
      <c r="E2012" s="41">
        <v>10</v>
      </c>
      <c r="F2012" s="41">
        <v>1</v>
      </c>
      <c r="G2012" s="41" t="s">
        <v>8154</v>
      </c>
      <c r="H2012" s="41">
        <v>10</v>
      </c>
    </row>
    <row r="2013" spans="1:8" ht="16" x14ac:dyDescent="0.2">
      <c r="A2013" s="41" t="s">
        <v>8155</v>
      </c>
      <c r="B2013" s="41" t="s">
        <v>8156</v>
      </c>
      <c r="C2013" s="41" t="s">
        <v>3510</v>
      </c>
      <c r="D2013" s="42">
        <v>45657</v>
      </c>
      <c r="E2013" s="41">
        <v>5</v>
      </c>
      <c r="F2013" s="41">
        <v>1</v>
      </c>
      <c r="G2013" s="41" t="s">
        <v>8157</v>
      </c>
      <c r="H2013" s="41">
        <v>5</v>
      </c>
    </row>
    <row r="2014" spans="1:8" ht="16" x14ac:dyDescent="0.2">
      <c r="A2014" s="41" t="s">
        <v>1417</v>
      </c>
      <c r="B2014" s="41" t="s">
        <v>8158</v>
      </c>
      <c r="C2014" s="41" t="s">
        <v>3490</v>
      </c>
      <c r="D2014" s="42">
        <v>37523</v>
      </c>
      <c r="E2014" s="41">
        <v>10</v>
      </c>
      <c r="F2014" s="41">
        <v>1</v>
      </c>
      <c r="G2014" s="41" t="s">
        <v>8159</v>
      </c>
      <c r="H2014" s="41">
        <v>10</v>
      </c>
    </row>
    <row r="2015" spans="1:8" ht="16" x14ac:dyDescent="0.2">
      <c r="A2015" s="41" t="s">
        <v>1418</v>
      </c>
      <c r="B2015" s="41" t="s">
        <v>8160</v>
      </c>
      <c r="C2015" s="41" t="s">
        <v>3490</v>
      </c>
      <c r="D2015" s="42">
        <v>44907</v>
      </c>
      <c r="E2015" s="41">
        <v>10</v>
      </c>
      <c r="F2015" s="41">
        <v>1</v>
      </c>
      <c r="G2015" s="41" t="s">
        <v>8161</v>
      </c>
      <c r="H2015" s="41">
        <v>10</v>
      </c>
    </row>
    <row r="2016" spans="1:8" ht="16" x14ac:dyDescent="0.2">
      <c r="A2016" s="41" t="s">
        <v>1419</v>
      </c>
      <c r="B2016" s="41" t="s">
        <v>8162</v>
      </c>
      <c r="C2016" s="41" t="s">
        <v>3490</v>
      </c>
      <c r="D2016" s="42">
        <v>37161</v>
      </c>
      <c r="E2016" s="41">
        <v>2</v>
      </c>
      <c r="F2016" s="41">
        <v>1</v>
      </c>
      <c r="G2016" s="41" t="s">
        <v>8163</v>
      </c>
      <c r="H2016" s="41">
        <v>2</v>
      </c>
    </row>
    <row r="2017" spans="1:8" ht="16" x14ac:dyDescent="0.2">
      <c r="A2017" s="41" t="s">
        <v>1420</v>
      </c>
      <c r="B2017" s="41" t="s">
        <v>8164</v>
      </c>
      <c r="C2017" s="41" t="s">
        <v>3797</v>
      </c>
      <c r="D2017" s="42">
        <v>36411</v>
      </c>
      <c r="E2017" s="41">
        <v>2</v>
      </c>
      <c r="F2017" s="41">
        <v>1</v>
      </c>
      <c r="G2017" s="41" t="s">
        <v>8165</v>
      </c>
      <c r="H2017" s="41">
        <v>2</v>
      </c>
    </row>
    <row r="2018" spans="1:8" ht="16" x14ac:dyDescent="0.2">
      <c r="A2018" s="41" t="s">
        <v>8166</v>
      </c>
      <c r="B2018" s="41" t="s">
        <v>8167</v>
      </c>
      <c r="C2018" s="41" t="s">
        <v>3510</v>
      </c>
      <c r="D2018" s="42">
        <v>44561</v>
      </c>
      <c r="E2018" s="41">
        <v>1</v>
      </c>
      <c r="F2018" s="41">
        <v>1</v>
      </c>
      <c r="G2018" s="41" t="s">
        <v>8168</v>
      </c>
      <c r="H2018" s="41">
        <v>1</v>
      </c>
    </row>
    <row r="2019" spans="1:8" ht="16" x14ac:dyDescent="0.2">
      <c r="A2019" s="41" t="s">
        <v>8169</v>
      </c>
      <c r="B2019" s="41" t="s">
        <v>8170</v>
      </c>
      <c r="C2019" s="41" t="s">
        <v>3490</v>
      </c>
      <c r="D2019" s="42">
        <v>42032</v>
      </c>
      <c r="E2019" s="41">
        <v>10</v>
      </c>
      <c r="F2019" s="41">
        <v>1</v>
      </c>
      <c r="G2019" s="41" t="s">
        <v>8171</v>
      </c>
      <c r="H2019" s="41">
        <v>10</v>
      </c>
    </row>
    <row r="2020" spans="1:8" ht="16" x14ac:dyDescent="0.2">
      <c r="A2020" s="41" t="s">
        <v>8172</v>
      </c>
      <c r="B2020" s="41" t="s">
        <v>8173</v>
      </c>
      <c r="C2020" s="41" t="s">
        <v>3490</v>
      </c>
      <c r="D2020" s="42">
        <v>44004</v>
      </c>
      <c r="E2020" s="41">
        <v>10</v>
      </c>
      <c r="F2020" s="41">
        <v>1</v>
      </c>
      <c r="G2020" s="41" t="s">
        <v>8174</v>
      </c>
      <c r="H2020" s="41">
        <v>10</v>
      </c>
    </row>
    <row r="2021" spans="1:8" ht="16" x14ac:dyDescent="0.2">
      <c r="A2021" s="41" t="s">
        <v>1421</v>
      </c>
      <c r="B2021" s="41" t="s">
        <v>8175</v>
      </c>
      <c r="C2021" s="41" t="s">
        <v>3490</v>
      </c>
      <c r="D2021" s="42">
        <v>34836</v>
      </c>
      <c r="E2021" s="41">
        <v>10</v>
      </c>
      <c r="F2021" s="41">
        <v>1</v>
      </c>
      <c r="G2021" s="41" t="s">
        <v>8176</v>
      </c>
      <c r="H2021" s="41">
        <v>10</v>
      </c>
    </row>
    <row r="2022" spans="1:8" ht="16" x14ac:dyDescent="0.2">
      <c r="A2022" s="41" t="s">
        <v>8177</v>
      </c>
      <c r="B2022" s="41" t="s">
        <v>8178</v>
      </c>
      <c r="C2022" s="41" t="s">
        <v>3510</v>
      </c>
      <c r="D2022" s="42">
        <v>43875</v>
      </c>
      <c r="E2022" s="41">
        <v>10</v>
      </c>
      <c r="F2022" s="41">
        <v>1</v>
      </c>
      <c r="G2022" s="41" t="s">
        <v>8179</v>
      </c>
      <c r="H2022" s="41">
        <v>10</v>
      </c>
    </row>
    <row r="2023" spans="1:8" ht="16" x14ac:dyDescent="0.2">
      <c r="A2023" s="41" t="s">
        <v>1422</v>
      </c>
      <c r="B2023" s="41" t="s">
        <v>8180</v>
      </c>
      <c r="C2023" s="41" t="s">
        <v>3490</v>
      </c>
      <c r="D2023" s="42">
        <v>39115</v>
      </c>
      <c r="E2023" s="41">
        <v>2</v>
      </c>
      <c r="F2023" s="41">
        <v>1</v>
      </c>
      <c r="G2023" s="41" t="s">
        <v>8181</v>
      </c>
      <c r="H2023" s="41">
        <v>2</v>
      </c>
    </row>
    <row r="2024" spans="1:8" ht="16" x14ac:dyDescent="0.2">
      <c r="A2024" s="41" t="s">
        <v>1423</v>
      </c>
      <c r="B2024" s="41" t="s">
        <v>8182</v>
      </c>
      <c r="C2024" s="41" t="s">
        <v>3490</v>
      </c>
      <c r="D2024" s="42">
        <v>38009</v>
      </c>
      <c r="E2024" s="41">
        <v>2</v>
      </c>
      <c r="F2024" s="41">
        <v>1</v>
      </c>
      <c r="G2024" s="41" t="s">
        <v>8183</v>
      </c>
      <c r="H2024" s="41">
        <v>2</v>
      </c>
    </row>
    <row r="2025" spans="1:8" ht="16" x14ac:dyDescent="0.2">
      <c r="A2025" s="41" t="s">
        <v>8184</v>
      </c>
      <c r="B2025" s="41" t="s">
        <v>8185</v>
      </c>
      <c r="C2025" s="41" t="s">
        <v>3490</v>
      </c>
      <c r="D2025" s="42">
        <v>45112</v>
      </c>
      <c r="E2025" s="41">
        <v>10</v>
      </c>
      <c r="F2025" s="41">
        <v>1</v>
      </c>
      <c r="G2025" s="41" t="s">
        <v>8186</v>
      </c>
      <c r="H2025" s="41">
        <v>10</v>
      </c>
    </row>
    <row r="2026" spans="1:8" ht="16" x14ac:dyDescent="0.2">
      <c r="A2026" s="41" t="s">
        <v>1424</v>
      </c>
      <c r="B2026" s="41" t="s">
        <v>8187</v>
      </c>
      <c r="C2026" s="41" t="s">
        <v>3490</v>
      </c>
      <c r="D2026" s="42">
        <v>42822</v>
      </c>
      <c r="E2026" s="41">
        <v>1</v>
      </c>
      <c r="F2026" s="41">
        <v>1</v>
      </c>
      <c r="G2026" s="41" t="s">
        <v>8188</v>
      </c>
      <c r="H2026" s="41">
        <v>1</v>
      </c>
    </row>
    <row r="2027" spans="1:8" ht="16" x14ac:dyDescent="0.2">
      <c r="A2027" s="41" t="s">
        <v>1425</v>
      </c>
      <c r="B2027" s="41" t="s">
        <v>8189</v>
      </c>
      <c r="C2027" s="41" t="s">
        <v>3490</v>
      </c>
      <c r="D2027" s="42">
        <v>36810</v>
      </c>
      <c r="E2027" s="41">
        <v>1</v>
      </c>
      <c r="F2027" s="41">
        <v>1</v>
      </c>
      <c r="G2027" s="41" t="s">
        <v>8190</v>
      </c>
      <c r="H2027" s="41">
        <v>1</v>
      </c>
    </row>
    <row r="2028" spans="1:8" ht="16" x14ac:dyDescent="0.2">
      <c r="A2028" s="41" t="s">
        <v>8191</v>
      </c>
      <c r="B2028" s="41" t="s">
        <v>8192</v>
      </c>
      <c r="C2028" s="41" t="s">
        <v>3490</v>
      </c>
      <c r="D2028" s="42">
        <v>45019</v>
      </c>
      <c r="E2028" s="41">
        <v>10</v>
      </c>
      <c r="F2028" s="41">
        <v>1</v>
      </c>
      <c r="G2028" s="41" t="s">
        <v>8193</v>
      </c>
      <c r="H2028" s="41">
        <v>10</v>
      </c>
    </row>
    <row r="2029" spans="1:8" ht="16" x14ac:dyDescent="0.2">
      <c r="A2029" s="41" t="s">
        <v>1426</v>
      </c>
      <c r="B2029" s="41" t="s">
        <v>8194</v>
      </c>
      <c r="C2029" s="41" t="s">
        <v>3490</v>
      </c>
      <c r="D2029" s="42">
        <v>44116</v>
      </c>
      <c r="E2029" s="41">
        <v>10</v>
      </c>
      <c r="F2029" s="41">
        <v>1</v>
      </c>
      <c r="G2029" s="41" t="s">
        <v>8195</v>
      </c>
      <c r="H2029" s="41">
        <v>10</v>
      </c>
    </row>
    <row r="2030" spans="1:8" ht="16" x14ac:dyDescent="0.2">
      <c r="A2030" s="41" t="s">
        <v>1427</v>
      </c>
      <c r="B2030" s="41" t="s">
        <v>8196</v>
      </c>
      <c r="C2030" s="41" t="s">
        <v>3490</v>
      </c>
      <c r="D2030" s="42">
        <v>45128</v>
      </c>
      <c r="E2030" s="41">
        <v>10</v>
      </c>
      <c r="F2030" s="41">
        <v>1</v>
      </c>
      <c r="G2030" s="41" t="s">
        <v>8197</v>
      </c>
      <c r="H2030" s="41">
        <v>10</v>
      </c>
    </row>
    <row r="2031" spans="1:8" ht="16" x14ac:dyDescent="0.2">
      <c r="A2031" s="41" t="s">
        <v>1428</v>
      </c>
      <c r="B2031" s="41" t="s">
        <v>8198</v>
      </c>
      <c r="C2031" s="41" t="s">
        <v>3490</v>
      </c>
      <c r="D2031" s="42">
        <v>38817</v>
      </c>
      <c r="E2031" s="41">
        <v>10</v>
      </c>
      <c r="F2031" s="41">
        <v>1</v>
      </c>
      <c r="G2031" s="41" t="s">
        <v>8199</v>
      </c>
      <c r="H2031" s="41">
        <v>10</v>
      </c>
    </row>
    <row r="2032" spans="1:8" ht="16" x14ac:dyDescent="0.2">
      <c r="A2032" s="41" t="s">
        <v>8200</v>
      </c>
      <c r="B2032" s="41" t="s">
        <v>8201</v>
      </c>
      <c r="C2032" s="41" t="s">
        <v>3490</v>
      </c>
      <c r="D2032" s="42">
        <v>45568</v>
      </c>
      <c r="E2032" s="41">
        <v>5</v>
      </c>
      <c r="F2032" s="41">
        <v>1</v>
      </c>
      <c r="G2032" s="41" t="s">
        <v>8202</v>
      </c>
      <c r="H2032" s="41">
        <v>5</v>
      </c>
    </row>
    <row r="2033" spans="1:8" ht="16" x14ac:dyDescent="0.2">
      <c r="A2033" s="41" t="s">
        <v>1429</v>
      </c>
      <c r="B2033" s="41" t="s">
        <v>8203</v>
      </c>
      <c r="C2033" s="41" t="s">
        <v>3490</v>
      </c>
      <c r="D2033" s="42">
        <v>39267</v>
      </c>
      <c r="E2033" s="41">
        <v>10</v>
      </c>
      <c r="F2033" s="41">
        <v>1</v>
      </c>
      <c r="G2033" s="41" t="s">
        <v>8204</v>
      </c>
      <c r="H2033" s="41">
        <v>10</v>
      </c>
    </row>
    <row r="2034" spans="1:8" ht="16" x14ac:dyDescent="0.2">
      <c r="A2034" s="41" t="s">
        <v>1430</v>
      </c>
      <c r="B2034" s="41" t="s">
        <v>8205</v>
      </c>
      <c r="C2034" s="41" t="s">
        <v>3490</v>
      </c>
      <c r="D2034" s="42">
        <v>40709</v>
      </c>
      <c r="E2034" s="41">
        <v>10</v>
      </c>
      <c r="F2034" s="41">
        <v>1</v>
      </c>
      <c r="G2034" s="41" t="s">
        <v>8206</v>
      </c>
      <c r="H2034" s="41">
        <v>10</v>
      </c>
    </row>
    <row r="2035" spans="1:8" ht="16" x14ac:dyDescent="0.2">
      <c r="A2035" s="41" t="s">
        <v>1431</v>
      </c>
      <c r="B2035" s="41" t="s">
        <v>8207</v>
      </c>
      <c r="C2035" s="41" t="s">
        <v>3490</v>
      </c>
      <c r="D2035" s="42">
        <v>38082</v>
      </c>
      <c r="E2035" s="41">
        <v>2</v>
      </c>
      <c r="F2035" s="41">
        <v>1</v>
      </c>
      <c r="G2035" s="41" t="s">
        <v>8208</v>
      </c>
      <c r="H2035" s="41">
        <v>2</v>
      </c>
    </row>
    <row r="2036" spans="1:8" ht="16" x14ac:dyDescent="0.2">
      <c r="A2036" s="41" t="s">
        <v>8209</v>
      </c>
      <c r="B2036" s="41" t="s">
        <v>8210</v>
      </c>
      <c r="C2036" s="41" t="s">
        <v>3490</v>
      </c>
      <c r="D2036" s="42">
        <v>43845</v>
      </c>
      <c r="E2036" s="41">
        <v>2</v>
      </c>
      <c r="F2036" s="41">
        <v>1</v>
      </c>
      <c r="G2036" s="41" t="s">
        <v>8211</v>
      </c>
      <c r="H2036" s="41">
        <v>2</v>
      </c>
    </row>
    <row r="2037" spans="1:8" ht="16" x14ac:dyDescent="0.2">
      <c r="A2037" s="41" t="s">
        <v>1432</v>
      </c>
      <c r="B2037" s="41" t="s">
        <v>8212</v>
      </c>
      <c r="C2037" s="41" t="s">
        <v>3490</v>
      </c>
      <c r="D2037" s="42">
        <v>38810</v>
      </c>
      <c r="E2037" s="41">
        <v>1</v>
      </c>
      <c r="F2037" s="41">
        <v>1</v>
      </c>
      <c r="G2037" s="41" t="s">
        <v>8213</v>
      </c>
      <c r="H2037" s="41">
        <v>1</v>
      </c>
    </row>
    <row r="2038" spans="1:8" ht="16" x14ac:dyDescent="0.2">
      <c r="A2038" s="41" t="s">
        <v>1433</v>
      </c>
      <c r="B2038" s="41" t="s">
        <v>8214</v>
      </c>
      <c r="C2038" s="41" t="s">
        <v>3490</v>
      </c>
      <c r="D2038" s="42">
        <v>45205</v>
      </c>
      <c r="E2038" s="41">
        <v>10</v>
      </c>
      <c r="F2038" s="41">
        <v>1</v>
      </c>
      <c r="G2038" s="41" t="s">
        <v>8215</v>
      </c>
      <c r="H2038" s="41">
        <v>10</v>
      </c>
    </row>
    <row r="2039" spans="1:8" ht="16" x14ac:dyDescent="0.2">
      <c r="A2039" s="41" t="s">
        <v>1434</v>
      </c>
      <c r="B2039" s="41" t="s">
        <v>8216</v>
      </c>
      <c r="C2039" s="41" t="s">
        <v>3510</v>
      </c>
      <c r="D2039" s="42">
        <v>44400</v>
      </c>
      <c r="E2039" s="41">
        <v>10</v>
      </c>
      <c r="F2039" s="41">
        <v>1</v>
      </c>
      <c r="G2039" s="41" t="s">
        <v>8217</v>
      </c>
      <c r="H2039" s="41">
        <v>10</v>
      </c>
    </row>
    <row r="2040" spans="1:8" ht="16" x14ac:dyDescent="0.2">
      <c r="A2040" s="41" t="s">
        <v>8218</v>
      </c>
      <c r="B2040" s="41" t="s">
        <v>8219</v>
      </c>
      <c r="C2040" s="41" t="s">
        <v>3490</v>
      </c>
      <c r="D2040" s="42">
        <v>37894</v>
      </c>
      <c r="E2040" s="41">
        <v>10</v>
      </c>
      <c r="F2040" s="41">
        <v>1</v>
      </c>
      <c r="G2040" s="41" t="s">
        <v>8220</v>
      </c>
      <c r="H2040" s="41">
        <v>10</v>
      </c>
    </row>
    <row r="2041" spans="1:8" ht="16" x14ac:dyDescent="0.2">
      <c r="A2041" s="41" t="s">
        <v>8221</v>
      </c>
      <c r="B2041" s="41" t="s">
        <v>8222</v>
      </c>
      <c r="C2041" s="41" t="s">
        <v>3490</v>
      </c>
      <c r="D2041" s="42">
        <v>37753</v>
      </c>
      <c r="E2041" s="41">
        <v>1</v>
      </c>
      <c r="F2041" s="41">
        <v>1</v>
      </c>
      <c r="G2041" s="41" t="s">
        <v>8223</v>
      </c>
      <c r="H2041" s="41">
        <v>1</v>
      </c>
    </row>
    <row r="2042" spans="1:8" ht="16" x14ac:dyDescent="0.2">
      <c r="A2042" s="41" t="s">
        <v>1435</v>
      </c>
      <c r="B2042" s="41" t="s">
        <v>8224</v>
      </c>
      <c r="C2042" s="41" t="s">
        <v>3490</v>
      </c>
      <c r="D2042" s="42">
        <v>43287</v>
      </c>
      <c r="E2042" s="41">
        <v>1</v>
      </c>
      <c r="F2042" s="41">
        <v>1</v>
      </c>
      <c r="G2042" s="41" t="s">
        <v>8225</v>
      </c>
      <c r="H2042" s="41">
        <v>1</v>
      </c>
    </row>
    <row r="2043" spans="1:8" ht="16" x14ac:dyDescent="0.2">
      <c r="A2043" s="41" t="s">
        <v>1436</v>
      </c>
      <c r="B2043" s="41" t="s">
        <v>8226</v>
      </c>
      <c r="C2043" s="41" t="s">
        <v>3490</v>
      </c>
      <c r="D2043" s="42">
        <v>40224</v>
      </c>
      <c r="E2043" s="41">
        <v>10</v>
      </c>
      <c r="F2043" s="41">
        <v>1</v>
      </c>
      <c r="G2043" s="41" t="s">
        <v>8227</v>
      </c>
      <c r="H2043" s="41">
        <v>10</v>
      </c>
    </row>
    <row r="2044" spans="1:8" ht="16" x14ac:dyDescent="0.2">
      <c r="A2044" s="41" t="s">
        <v>8228</v>
      </c>
      <c r="B2044" s="41" t="s">
        <v>8229</v>
      </c>
      <c r="C2044" s="41" t="s">
        <v>3510</v>
      </c>
      <c r="D2044" s="42">
        <v>40806</v>
      </c>
      <c r="E2044" s="41">
        <v>10</v>
      </c>
      <c r="F2044" s="41">
        <v>1</v>
      </c>
      <c r="G2044" s="41" t="s">
        <v>8230</v>
      </c>
      <c r="H2044" s="41">
        <v>10</v>
      </c>
    </row>
    <row r="2045" spans="1:8" ht="16" x14ac:dyDescent="0.2">
      <c r="A2045" s="41" t="s">
        <v>1437</v>
      </c>
      <c r="B2045" s="41" t="s">
        <v>8231</v>
      </c>
      <c r="C2045" s="41" t="s">
        <v>3490</v>
      </c>
      <c r="D2045" s="42">
        <v>42682</v>
      </c>
      <c r="E2045" s="41">
        <v>2</v>
      </c>
      <c r="F2045" s="41">
        <v>1</v>
      </c>
      <c r="G2045" s="41" t="s">
        <v>8232</v>
      </c>
      <c r="H2045" s="41">
        <v>2</v>
      </c>
    </row>
    <row r="2046" spans="1:8" ht="16" x14ac:dyDescent="0.2">
      <c r="A2046" s="41" t="s">
        <v>8233</v>
      </c>
      <c r="B2046" s="41" t="s">
        <v>8234</v>
      </c>
      <c r="C2046" s="41" t="s">
        <v>3510</v>
      </c>
      <c r="D2046" s="42">
        <v>44670</v>
      </c>
      <c r="E2046" s="41">
        <v>1</v>
      </c>
      <c r="F2046" s="41">
        <v>1</v>
      </c>
      <c r="G2046" s="41" t="s">
        <v>8235</v>
      </c>
      <c r="H2046" s="41">
        <v>1</v>
      </c>
    </row>
    <row r="2047" spans="1:8" ht="16" x14ac:dyDescent="0.2">
      <c r="A2047" s="41" t="s">
        <v>1438</v>
      </c>
      <c r="B2047" s="41" t="s">
        <v>8236</v>
      </c>
      <c r="C2047" s="41" t="s">
        <v>3490</v>
      </c>
      <c r="D2047" s="42">
        <v>35928</v>
      </c>
      <c r="E2047" s="41">
        <v>1</v>
      </c>
      <c r="F2047" s="41">
        <v>1</v>
      </c>
      <c r="G2047" s="41" t="s">
        <v>8237</v>
      </c>
      <c r="H2047" s="41">
        <v>1</v>
      </c>
    </row>
    <row r="2048" spans="1:8" ht="16" x14ac:dyDescent="0.2">
      <c r="A2048" s="41" t="s">
        <v>8238</v>
      </c>
      <c r="B2048" s="41" t="s">
        <v>8239</v>
      </c>
      <c r="C2048" s="41" t="s">
        <v>3490</v>
      </c>
      <c r="D2048" s="42">
        <v>39098</v>
      </c>
      <c r="E2048" s="41">
        <v>2</v>
      </c>
      <c r="F2048" s="41">
        <v>1</v>
      </c>
      <c r="G2048" s="41" t="s">
        <v>8240</v>
      </c>
      <c r="H2048" s="41">
        <v>2</v>
      </c>
    </row>
    <row r="2049" spans="1:8" ht="16" x14ac:dyDescent="0.2">
      <c r="A2049" s="41" t="s">
        <v>1439</v>
      </c>
      <c r="B2049" s="41" t="s">
        <v>8241</v>
      </c>
      <c r="C2049" s="41" t="s">
        <v>3490</v>
      </c>
      <c r="D2049" s="42">
        <v>37830</v>
      </c>
      <c r="E2049" s="41">
        <v>10</v>
      </c>
      <c r="F2049" s="41">
        <v>1</v>
      </c>
      <c r="G2049" s="41" t="s">
        <v>8242</v>
      </c>
      <c r="H2049" s="41">
        <v>10</v>
      </c>
    </row>
    <row r="2050" spans="1:8" ht="16" x14ac:dyDescent="0.2">
      <c r="A2050" s="41" t="s">
        <v>8243</v>
      </c>
      <c r="B2050" s="41" t="s">
        <v>8244</v>
      </c>
      <c r="C2050" s="41" t="s">
        <v>3490</v>
      </c>
      <c r="D2050" s="42">
        <v>45656</v>
      </c>
      <c r="E2050" s="41">
        <v>1</v>
      </c>
      <c r="F2050" s="41">
        <v>1</v>
      </c>
      <c r="G2050" s="41" t="s">
        <v>8245</v>
      </c>
      <c r="H2050" s="41">
        <v>1</v>
      </c>
    </row>
    <row r="2051" spans="1:8" ht="16" x14ac:dyDescent="0.2">
      <c r="A2051" s="41" t="s">
        <v>1440</v>
      </c>
      <c r="B2051" s="41" t="s">
        <v>8246</v>
      </c>
      <c r="C2051" s="41" t="s">
        <v>3490</v>
      </c>
      <c r="D2051" s="42">
        <v>44705</v>
      </c>
      <c r="E2051" s="41">
        <v>10</v>
      </c>
      <c r="F2051" s="41">
        <v>1</v>
      </c>
      <c r="G2051" s="41" t="s">
        <v>8247</v>
      </c>
      <c r="H2051" s="41">
        <v>10</v>
      </c>
    </row>
    <row r="2052" spans="1:8" ht="16" x14ac:dyDescent="0.2">
      <c r="A2052" s="41" t="s">
        <v>1441</v>
      </c>
      <c r="B2052" s="41" t="s">
        <v>8248</v>
      </c>
      <c r="C2052" s="41" t="s">
        <v>3510</v>
      </c>
      <c r="D2052" s="42">
        <v>39071</v>
      </c>
      <c r="E2052" s="41">
        <v>10</v>
      </c>
      <c r="F2052" s="41">
        <v>1</v>
      </c>
      <c r="G2052" s="41" t="s">
        <v>8249</v>
      </c>
      <c r="H2052" s="41">
        <v>10</v>
      </c>
    </row>
    <row r="2053" spans="1:8" ht="16" x14ac:dyDescent="0.2">
      <c r="A2053" s="41" t="s">
        <v>1442</v>
      </c>
      <c r="B2053" s="41" t="s">
        <v>8250</v>
      </c>
      <c r="C2053" s="41" t="s">
        <v>3490</v>
      </c>
      <c r="D2053" s="42">
        <v>44662</v>
      </c>
      <c r="E2053" s="41">
        <v>10</v>
      </c>
      <c r="F2053" s="41">
        <v>1</v>
      </c>
      <c r="G2053" s="41" t="s">
        <v>8251</v>
      </c>
      <c r="H2053" s="41">
        <v>10</v>
      </c>
    </row>
    <row r="2054" spans="1:8" ht="16" x14ac:dyDescent="0.2">
      <c r="A2054" s="41" t="s">
        <v>8252</v>
      </c>
      <c r="B2054" s="41" t="s">
        <v>8253</v>
      </c>
      <c r="C2054" s="41" t="s">
        <v>3490</v>
      </c>
      <c r="D2054" s="42">
        <v>43965</v>
      </c>
      <c r="E2054" s="41">
        <v>10</v>
      </c>
      <c r="F2054" s="41">
        <v>1</v>
      </c>
      <c r="G2054" s="41" t="s">
        <v>8254</v>
      </c>
      <c r="H2054" s="41">
        <v>10</v>
      </c>
    </row>
    <row r="2055" spans="1:8" ht="16" x14ac:dyDescent="0.2">
      <c r="A2055" s="41" t="s">
        <v>1443</v>
      </c>
      <c r="B2055" s="41" t="s">
        <v>8255</v>
      </c>
      <c r="C2055" s="41" t="s">
        <v>3490</v>
      </c>
      <c r="D2055" s="42">
        <v>37533</v>
      </c>
      <c r="E2055" s="41">
        <v>1</v>
      </c>
      <c r="F2055" s="41">
        <v>1</v>
      </c>
      <c r="G2055" s="41" t="s">
        <v>8256</v>
      </c>
      <c r="H2055" s="41">
        <v>1</v>
      </c>
    </row>
    <row r="2056" spans="1:8" ht="16" x14ac:dyDescent="0.2">
      <c r="A2056" s="41" t="s">
        <v>8257</v>
      </c>
      <c r="B2056" s="41" t="s">
        <v>8258</v>
      </c>
      <c r="C2056" s="41" t="s">
        <v>3490</v>
      </c>
      <c r="D2056" s="42">
        <v>42123</v>
      </c>
      <c r="E2056" s="41">
        <v>10</v>
      </c>
      <c r="F2056" s="41">
        <v>1</v>
      </c>
      <c r="G2056" s="41" t="s">
        <v>8259</v>
      </c>
      <c r="H2056" s="41">
        <v>10</v>
      </c>
    </row>
    <row r="2057" spans="1:8" ht="16" x14ac:dyDescent="0.2">
      <c r="A2057" s="41" t="s">
        <v>1444</v>
      </c>
      <c r="B2057" s="41" t="s">
        <v>8260</v>
      </c>
      <c r="C2057" s="41" t="s">
        <v>3490</v>
      </c>
      <c r="D2057" s="42">
        <v>39520</v>
      </c>
      <c r="E2057" s="41">
        <v>1</v>
      </c>
      <c r="F2057" s="41">
        <v>1</v>
      </c>
      <c r="G2057" s="41" t="s">
        <v>8261</v>
      </c>
      <c r="H2057" s="41">
        <v>1</v>
      </c>
    </row>
    <row r="2058" spans="1:8" ht="16" x14ac:dyDescent="0.2">
      <c r="A2058" s="41" t="s">
        <v>1445</v>
      </c>
      <c r="B2058" s="41" t="s">
        <v>8262</v>
      </c>
      <c r="C2058" s="41" t="s">
        <v>3490</v>
      </c>
      <c r="D2058" s="42">
        <v>38533</v>
      </c>
      <c r="E2058" s="41">
        <v>10</v>
      </c>
      <c r="F2058" s="41">
        <v>1</v>
      </c>
      <c r="G2058" s="41" t="s">
        <v>8263</v>
      </c>
      <c r="H2058" s="41">
        <v>10</v>
      </c>
    </row>
    <row r="2059" spans="1:8" ht="16" x14ac:dyDescent="0.2">
      <c r="A2059" s="41" t="s">
        <v>1446</v>
      </c>
      <c r="B2059" s="41" t="s">
        <v>8264</v>
      </c>
      <c r="C2059" s="41" t="s">
        <v>3510</v>
      </c>
      <c r="D2059" s="42">
        <v>45385</v>
      </c>
      <c r="E2059" s="41">
        <v>10</v>
      </c>
      <c r="F2059" s="41">
        <v>1</v>
      </c>
      <c r="G2059" s="41" t="s">
        <v>8265</v>
      </c>
      <c r="H2059" s="41">
        <v>10</v>
      </c>
    </row>
    <row r="2060" spans="1:8" ht="16" x14ac:dyDescent="0.2">
      <c r="A2060" s="41" t="s">
        <v>1447</v>
      </c>
      <c r="B2060" s="41" t="s">
        <v>8266</v>
      </c>
      <c r="C2060" s="41" t="s">
        <v>3490</v>
      </c>
      <c r="D2060" s="42">
        <v>42431</v>
      </c>
      <c r="E2060" s="41">
        <v>1</v>
      </c>
      <c r="F2060" s="41">
        <v>1</v>
      </c>
      <c r="G2060" s="41" t="s">
        <v>8267</v>
      </c>
      <c r="H2060" s="41">
        <v>1</v>
      </c>
    </row>
    <row r="2061" spans="1:8" ht="16" x14ac:dyDescent="0.2">
      <c r="A2061" s="41" t="s">
        <v>1448</v>
      </c>
      <c r="B2061" s="41" t="s">
        <v>8268</v>
      </c>
      <c r="C2061" s="41" t="s">
        <v>3490</v>
      </c>
      <c r="D2061" s="42">
        <v>44453</v>
      </c>
      <c r="E2061" s="41">
        <v>1</v>
      </c>
      <c r="F2061" s="41">
        <v>1</v>
      </c>
      <c r="G2061" s="41" t="s">
        <v>8269</v>
      </c>
      <c r="H2061" s="41">
        <v>1</v>
      </c>
    </row>
    <row r="2062" spans="1:8" ht="16" x14ac:dyDescent="0.2">
      <c r="A2062" s="41" t="s">
        <v>8270</v>
      </c>
      <c r="B2062" s="41" t="s">
        <v>8271</v>
      </c>
      <c r="C2062" s="41" t="s">
        <v>3510</v>
      </c>
      <c r="D2062" s="42">
        <v>42562</v>
      </c>
      <c r="E2062" s="41">
        <v>1</v>
      </c>
      <c r="F2062" s="41">
        <v>1</v>
      </c>
      <c r="G2062" s="41" t="s">
        <v>8272</v>
      </c>
      <c r="H2062" s="41">
        <v>1</v>
      </c>
    </row>
    <row r="2063" spans="1:8" ht="16" x14ac:dyDescent="0.2">
      <c r="A2063" s="41" t="s">
        <v>1449</v>
      </c>
      <c r="B2063" s="41" t="s">
        <v>8273</v>
      </c>
      <c r="C2063" s="41" t="s">
        <v>3490</v>
      </c>
      <c r="D2063" s="42">
        <v>40889</v>
      </c>
      <c r="E2063" s="41">
        <v>1</v>
      </c>
      <c r="F2063" s="41">
        <v>1</v>
      </c>
      <c r="G2063" s="41" t="s">
        <v>8274</v>
      </c>
      <c r="H2063" s="41">
        <v>1</v>
      </c>
    </row>
    <row r="2064" spans="1:8" ht="16" x14ac:dyDescent="0.2">
      <c r="A2064" s="41" t="s">
        <v>1450</v>
      </c>
      <c r="B2064" s="41" t="s">
        <v>8275</v>
      </c>
      <c r="C2064" s="41" t="s">
        <v>3490</v>
      </c>
      <c r="D2064" s="42">
        <v>43593</v>
      </c>
      <c r="E2064" s="41">
        <v>1</v>
      </c>
      <c r="F2064" s="41">
        <v>1</v>
      </c>
      <c r="G2064" s="41" t="s">
        <v>8276</v>
      </c>
      <c r="H2064" s="41">
        <v>1</v>
      </c>
    </row>
    <row r="2065" spans="1:8" ht="16" x14ac:dyDescent="0.2">
      <c r="A2065" s="41" t="s">
        <v>8277</v>
      </c>
      <c r="B2065" s="41" t="s">
        <v>8278</v>
      </c>
      <c r="C2065" s="41" t="s">
        <v>3490</v>
      </c>
      <c r="D2065" s="42">
        <v>45895</v>
      </c>
      <c r="E2065" s="41">
        <v>10</v>
      </c>
      <c r="F2065" s="41">
        <v>1</v>
      </c>
      <c r="G2065" s="41" t="s">
        <v>8279</v>
      </c>
      <c r="H2065" s="41">
        <v>10</v>
      </c>
    </row>
    <row r="2066" spans="1:8" ht="16" x14ac:dyDescent="0.2">
      <c r="A2066" s="41" t="s">
        <v>8280</v>
      </c>
      <c r="B2066" s="41" t="s">
        <v>8281</v>
      </c>
      <c r="C2066" s="41" t="s">
        <v>3490</v>
      </c>
      <c r="D2066" s="42">
        <v>45903</v>
      </c>
      <c r="E2066" s="41">
        <v>1</v>
      </c>
      <c r="F2066" s="41">
        <v>1</v>
      </c>
      <c r="G2066" s="41" t="s">
        <v>8282</v>
      </c>
      <c r="H2066" s="41">
        <v>1</v>
      </c>
    </row>
    <row r="2067" spans="1:8" ht="16" x14ac:dyDescent="0.2">
      <c r="A2067" s="41" t="s">
        <v>1452</v>
      </c>
      <c r="B2067" s="41" t="s">
        <v>8283</v>
      </c>
      <c r="C2067" s="41" t="s">
        <v>3490</v>
      </c>
      <c r="D2067" s="42">
        <v>38701</v>
      </c>
      <c r="E2067" s="41">
        <v>2</v>
      </c>
      <c r="F2067" s="41">
        <v>1</v>
      </c>
      <c r="G2067" s="41" t="s">
        <v>8284</v>
      </c>
      <c r="H2067" s="41">
        <v>2</v>
      </c>
    </row>
    <row r="2068" spans="1:8" ht="16" x14ac:dyDescent="0.2">
      <c r="A2068" s="41" t="s">
        <v>1453</v>
      </c>
      <c r="B2068" s="41" t="s">
        <v>8285</v>
      </c>
      <c r="C2068" s="41" t="s">
        <v>3490</v>
      </c>
      <c r="D2068" s="42">
        <v>40022</v>
      </c>
      <c r="E2068" s="41">
        <v>1</v>
      </c>
      <c r="F2068" s="41">
        <v>1</v>
      </c>
      <c r="G2068" s="41" t="s">
        <v>8286</v>
      </c>
      <c r="H2068" s="41">
        <v>1</v>
      </c>
    </row>
    <row r="2069" spans="1:8" ht="16" x14ac:dyDescent="0.2">
      <c r="A2069" s="41" t="s">
        <v>3479</v>
      </c>
      <c r="B2069" s="41" t="s">
        <v>8287</v>
      </c>
      <c r="C2069" s="41" t="s">
        <v>3490</v>
      </c>
      <c r="D2069" s="42">
        <v>45583</v>
      </c>
      <c r="E2069" s="41">
        <v>10</v>
      </c>
      <c r="F2069" s="41">
        <v>1</v>
      </c>
      <c r="G2069" s="41" t="s">
        <v>8288</v>
      </c>
      <c r="H2069" s="41">
        <v>10</v>
      </c>
    </row>
    <row r="2070" spans="1:8" ht="16" x14ac:dyDescent="0.2">
      <c r="A2070" s="41" t="s">
        <v>1454</v>
      </c>
      <c r="B2070" s="41" t="s">
        <v>8289</v>
      </c>
      <c r="C2070" s="41" t="s">
        <v>3490</v>
      </c>
      <c r="D2070" s="42">
        <v>34738</v>
      </c>
      <c r="E2070" s="41">
        <v>10</v>
      </c>
      <c r="F2070" s="41">
        <v>1</v>
      </c>
      <c r="G2070" s="41" t="s">
        <v>8290</v>
      </c>
      <c r="H2070" s="41">
        <v>10</v>
      </c>
    </row>
    <row r="2071" spans="1:8" ht="16" x14ac:dyDescent="0.2">
      <c r="A2071" s="41" t="s">
        <v>8291</v>
      </c>
      <c r="B2071" s="41" t="s">
        <v>8292</v>
      </c>
      <c r="C2071" s="41" t="s">
        <v>3510</v>
      </c>
      <c r="D2071" s="42">
        <v>44362</v>
      </c>
      <c r="E2071" s="41">
        <v>10</v>
      </c>
      <c r="F2071" s="41">
        <v>1</v>
      </c>
      <c r="G2071" s="41" t="s">
        <v>8293</v>
      </c>
      <c r="H2071" s="41">
        <v>10</v>
      </c>
    </row>
    <row r="2072" spans="1:8" ht="16" x14ac:dyDescent="0.2">
      <c r="A2072" s="41" t="s">
        <v>8294</v>
      </c>
      <c r="B2072" s="41" t="s">
        <v>8295</v>
      </c>
      <c r="C2072" s="41" t="s">
        <v>3490</v>
      </c>
      <c r="D2072" s="42">
        <v>44893</v>
      </c>
      <c r="E2072" s="41">
        <v>1</v>
      </c>
      <c r="F2072" s="41">
        <v>1</v>
      </c>
      <c r="G2072" s="41" t="s">
        <v>8296</v>
      </c>
      <c r="H2072" s="41">
        <v>1</v>
      </c>
    </row>
    <row r="2073" spans="1:8" ht="16" x14ac:dyDescent="0.2">
      <c r="A2073" s="41" t="s">
        <v>1457</v>
      </c>
      <c r="B2073" s="41" t="s">
        <v>8297</v>
      </c>
      <c r="C2073" s="41" t="s">
        <v>3510</v>
      </c>
      <c r="D2073" s="42">
        <v>39650</v>
      </c>
      <c r="E2073" s="41">
        <v>1</v>
      </c>
      <c r="F2073" s="41">
        <v>1</v>
      </c>
      <c r="G2073" s="41" t="s">
        <v>8298</v>
      </c>
      <c r="H2073" s="41">
        <v>1</v>
      </c>
    </row>
    <row r="2074" spans="1:8" ht="16" x14ac:dyDescent="0.2">
      <c r="A2074" s="41" t="s">
        <v>8299</v>
      </c>
      <c r="B2074" s="41" t="s">
        <v>8300</v>
      </c>
      <c r="C2074" s="41" t="s">
        <v>3490</v>
      </c>
      <c r="D2074" s="42">
        <v>39300</v>
      </c>
      <c r="E2074" s="41">
        <v>2</v>
      </c>
      <c r="F2074" s="41">
        <v>1</v>
      </c>
      <c r="G2074" s="41" t="s">
        <v>8301</v>
      </c>
      <c r="H2074" s="41">
        <v>2</v>
      </c>
    </row>
    <row r="2075" spans="1:8" ht="16" x14ac:dyDescent="0.2">
      <c r="A2075" s="41" t="s">
        <v>1458</v>
      </c>
      <c r="B2075" s="41" t="s">
        <v>8302</v>
      </c>
      <c r="C2075" s="41" t="s">
        <v>3490</v>
      </c>
      <c r="D2075" s="42">
        <v>38413</v>
      </c>
      <c r="E2075" s="41">
        <v>2</v>
      </c>
      <c r="F2075" s="41">
        <v>1</v>
      </c>
      <c r="G2075" s="41" t="s">
        <v>8303</v>
      </c>
      <c r="H2075" s="41">
        <v>2</v>
      </c>
    </row>
    <row r="2076" spans="1:8" ht="16" x14ac:dyDescent="0.2">
      <c r="A2076" s="41" t="s">
        <v>1459</v>
      </c>
      <c r="B2076" s="41" t="s">
        <v>8304</v>
      </c>
      <c r="C2076" s="41" t="s">
        <v>3490</v>
      </c>
      <c r="D2076" s="42">
        <v>42117</v>
      </c>
      <c r="E2076" s="41">
        <v>1</v>
      </c>
      <c r="F2076" s="41">
        <v>1</v>
      </c>
      <c r="G2076" s="41" t="s">
        <v>8305</v>
      </c>
      <c r="H2076" s="41">
        <v>1</v>
      </c>
    </row>
    <row r="2077" spans="1:8" ht="16" x14ac:dyDescent="0.2">
      <c r="A2077" s="41" t="s">
        <v>8306</v>
      </c>
      <c r="B2077" s="41" t="s">
        <v>8307</v>
      </c>
      <c r="C2077" s="41" t="s">
        <v>3510</v>
      </c>
      <c r="D2077" s="42">
        <v>45049</v>
      </c>
      <c r="E2077" s="41">
        <v>10</v>
      </c>
      <c r="F2077" s="41">
        <v>1</v>
      </c>
      <c r="G2077" s="41" t="s">
        <v>8308</v>
      </c>
      <c r="H2077" s="41">
        <v>10</v>
      </c>
    </row>
    <row r="2078" spans="1:8" ht="16" x14ac:dyDescent="0.2">
      <c r="A2078" s="41" t="s">
        <v>1460</v>
      </c>
      <c r="B2078" s="41" t="s">
        <v>8309</v>
      </c>
      <c r="C2078" s="41" t="s">
        <v>3510</v>
      </c>
      <c r="D2078" s="42">
        <v>35305</v>
      </c>
      <c r="E2078" s="41">
        <v>2</v>
      </c>
      <c r="F2078" s="41">
        <v>1</v>
      </c>
      <c r="G2078" s="41" t="s">
        <v>8310</v>
      </c>
      <c r="H2078" s="41">
        <v>2</v>
      </c>
    </row>
    <row r="2079" spans="1:8" ht="16" x14ac:dyDescent="0.2">
      <c r="A2079" s="41" t="s">
        <v>8311</v>
      </c>
      <c r="B2079" s="41" t="s">
        <v>8312</v>
      </c>
      <c r="C2079" s="41" t="s">
        <v>3510</v>
      </c>
      <c r="D2079" s="42">
        <v>38793</v>
      </c>
      <c r="E2079" s="41">
        <v>10</v>
      </c>
      <c r="F2079" s="41">
        <v>1</v>
      </c>
      <c r="G2079" s="41" t="s">
        <v>8313</v>
      </c>
      <c r="H2079" s="41">
        <v>10</v>
      </c>
    </row>
    <row r="2080" spans="1:8" ht="16" x14ac:dyDescent="0.2">
      <c r="A2080" s="41" t="s">
        <v>1461</v>
      </c>
      <c r="B2080" s="41" t="s">
        <v>8314</v>
      </c>
      <c r="C2080" s="41" t="s">
        <v>3490</v>
      </c>
      <c r="D2080" s="42">
        <v>42068</v>
      </c>
      <c r="E2080" s="41">
        <v>2</v>
      </c>
      <c r="F2080" s="41">
        <v>1</v>
      </c>
      <c r="G2080" s="41" t="s">
        <v>8315</v>
      </c>
      <c r="H2080" s="41">
        <v>2</v>
      </c>
    </row>
    <row r="2081" spans="1:8" ht="16" x14ac:dyDescent="0.2">
      <c r="A2081" s="41" t="s">
        <v>8316</v>
      </c>
      <c r="B2081" s="41" t="s">
        <v>8317</v>
      </c>
      <c r="C2081" s="41" t="s">
        <v>3490</v>
      </c>
      <c r="D2081" s="42">
        <v>43753</v>
      </c>
      <c r="E2081" s="41">
        <v>2</v>
      </c>
      <c r="F2081" s="41">
        <v>1</v>
      </c>
      <c r="G2081" s="41" t="s">
        <v>8318</v>
      </c>
      <c r="H2081" s="41">
        <v>2</v>
      </c>
    </row>
    <row r="2082" spans="1:8" ht="16" x14ac:dyDescent="0.2">
      <c r="A2082" s="41" t="s">
        <v>8319</v>
      </c>
      <c r="B2082" s="41" t="s">
        <v>8320</v>
      </c>
      <c r="C2082" s="41" t="s">
        <v>3490</v>
      </c>
      <c r="D2082" s="42">
        <v>41415</v>
      </c>
      <c r="E2082" s="41">
        <v>1</v>
      </c>
      <c r="F2082" s="41">
        <v>1</v>
      </c>
      <c r="G2082" s="41" t="s">
        <v>8321</v>
      </c>
      <c r="H2082" s="41">
        <v>1</v>
      </c>
    </row>
    <row r="2083" spans="1:8" ht="16" x14ac:dyDescent="0.2">
      <c r="A2083" s="41" t="s">
        <v>1464</v>
      </c>
      <c r="B2083" s="41" t="s">
        <v>8322</v>
      </c>
      <c r="C2083" s="41" t="s">
        <v>3490</v>
      </c>
      <c r="D2083" s="42">
        <v>45152</v>
      </c>
      <c r="E2083" s="41">
        <v>10</v>
      </c>
      <c r="F2083" s="41">
        <v>1</v>
      </c>
      <c r="G2083" s="41" t="s">
        <v>8323</v>
      </c>
      <c r="H2083" s="41">
        <v>10</v>
      </c>
    </row>
    <row r="2084" spans="1:8" ht="16" x14ac:dyDescent="0.2">
      <c r="A2084" s="41" t="s">
        <v>1465</v>
      </c>
      <c r="B2084" s="41" t="s">
        <v>8324</v>
      </c>
      <c r="C2084" s="41" t="s">
        <v>3490</v>
      </c>
      <c r="D2084" s="42">
        <v>34844</v>
      </c>
      <c r="E2084" s="41">
        <v>10</v>
      </c>
      <c r="F2084" s="41">
        <v>1</v>
      </c>
      <c r="G2084" s="41" t="s">
        <v>8325</v>
      </c>
      <c r="H2084" s="41">
        <v>10</v>
      </c>
    </row>
    <row r="2085" spans="1:8" ht="16" x14ac:dyDescent="0.2">
      <c r="A2085" s="41" t="s">
        <v>1466</v>
      </c>
      <c r="B2085" s="41" t="s">
        <v>8326</v>
      </c>
      <c r="C2085" s="41" t="s">
        <v>3490</v>
      </c>
      <c r="D2085" s="42">
        <v>41325</v>
      </c>
      <c r="E2085" s="41">
        <v>10</v>
      </c>
      <c r="F2085" s="41">
        <v>1</v>
      </c>
      <c r="G2085" s="41" t="s">
        <v>8327</v>
      </c>
      <c r="H2085" s="41">
        <v>10</v>
      </c>
    </row>
    <row r="2086" spans="1:8" ht="16" x14ac:dyDescent="0.2">
      <c r="A2086" s="41" t="s">
        <v>8328</v>
      </c>
      <c r="B2086" s="41" t="s">
        <v>8329</v>
      </c>
      <c r="C2086" s="41" t="s">
        <v>3490</v>
      </c>
      <c r="D2086" s="42">
        <v>45644</v>
      </c>
      <c r="E2086" s="41">
        <v>10</v>
      </c>
      <c r="F2086" s="41">
        <v>1</v>
      </c>
      <c r="G2086" s="41" t="s">
        <v>8330</v>
      </c>
      <c r="H2086" s="41">
        <v>10</v>
      </c>
    </row>
    <row r="2087" spans="1:8" ht="16" x14ac:dyDescent="0.2">
      <c r="A2087" s="41" t="s">
        <v>1467</v>
      </c>
      <c r="B2087" s="41" t="s">
        <v>8331</v>
      </c>
      <c r="C2087" s="41" t="s">
        <v>3490</v>
      </c>
      <c r="D2087" s="42">
        <v>38980</v>
      </c>
      <c r="E2087" s="41">
        <v>10</v>
      </c>
      <c r="F2087" s="41">
        <v>1</v>
      </c>
      <c r="G2087" s="41" t="s">
        <v>8332</v>
      </c>
      <c r="H2087" s="41">
        <v>10</v>
      </c>
    </row>
    <row r="2088" spans="1:8" ht="16" x14ac:dyDescent="0.2">
      <c r="A2088" s="41" t="s">
        <v>1468</v>
      </c>
      <c r="B2088" s="41" t="s">
        <v>8333</v>
      </c>
      <c r="C2088" s="41" t="s">
        <v>3490</v>
      </c>
      <c r="D2088" s="42">
        <v>34801</v>
      </c>
      <c r="E2088" s="41">
        <v>1</v>
      </c>
      <c r="F2088" s="41">
        <v>1</v>
      </c>
      <c r="G2088" s="41" t="s">
        <v>8334</v>
      </c>
      <c r="H2088" s="41">
        <v>1</v>
      </c>
    </row>
    <row r="2089" spans="1:8" ht="16" x14ac:dyDescent="0.2">
      <c r="A2089" s="41" t="s">
        <v>1469</v>
      </c>
      <c r="B2089" s="41" t="s">
        <v>8335</v>
      </c>
      <c r="C2089" s="41" t="s">
        <v>3490</v>
      </c>
      <c r="D2089" s="42">
        <v>45174</v>
      </c>
      <c r="E2089" s="41">
        <v>10</v>
      </c>
      <c r="F2089" s="41">
        <v>1</v>
      </c>
      <c r="G2089" s="41" t="s">
        <v>8336</v>
      </c>
      <c r="H2089" s="41">
        <v>10</v>
      </c>
    </row>
    <row r="2090" spans="1:8" ht="16" x14ac:dyDescent="0.2">
      <c r="A2090" s="41" t="s">
        <v>1470</v>
      </c>
      <c r="B2090" s="41" t="s">
        <v>8337</v>
      </c>
      <c r="C2090" s="41" t="s">
        <v>3490</v>
      </c>
      <c r="D2090" s="42">
        <v>45476</v>
      </c>
      <c r="E2090" s="41">
        <v>10</v>
      </c>
      <c r="F2090" s="41">
        <v>1</v>
      </c>
      <c r="G2090" s="41" t="s">
        <v>8338</v>
      </c>
      <c r="H2090" s="41">
        <v>10</v>
      </c>
    </row>
    <row r="2091" spans="1:8" ht="16" x14ac:dyDescent="0.2">
      <c r="A2091" s="41" t="s">
        <v>1471</v>
      </c>
      <c r="B2091" s="41" t="s">
        <v>8339</v>
      </c>
      <c r="C2091" s="41" t="s">
        <v>3490</v>
      </c>
      <c r="D2091" s="42">
        <v>42124</v>
      </c>
      <c r="E2091" s="41">
        <v>10</v>
      </c>
      <c r="F2091" s="41">
        <v>1</v>
      </c>
      <c r="G2091" s="41" t="s">
        <v>8340</v>
      </c>
      <c r="H2091" s="41">
        <v>10</v>
      </c>
    </row>
    <row r="2092" spans="1:8" ht="16" x14ac:dyDescent="0.2">
      <c r="A2092" s="41" t="s">
        <v>1472</v>
      </c>
      <c r="B2092" s="41" t="s">
        <v>8341</v>
      </c>
      <c r="C2092" s="41" t="s">
        <v>3490</v>
      </c>
      <c r="D2092" s="42">
        <v>41046</v>
      </c>
      <c r="E2092" s="41">
        <v>10</v>
      </c>
      <c r="F2092" s="41">
        <v>1</v>
      </c>
      <c r="G2092" s="41" t="s">
        <v>8342</v>
      </c>
      <c r="H2092" s="41">
        <v>10</v>
      </c>
    </row>
    <row r="2093" spans="1:8" ht="16" x14ac:dyDescent="0.2">
      <c r="A2093" s="41" t="s">
        <v>1473</v>
      </c>
      <c r="B2093" s="41" t="s">
        <v>8343</v>
      </c>
      <c r="C2093" s="41" t="s">
        <v>3490</v>
      </c>
      <c r="D2093" s="42">
        <v>37869</v>
      </c>
      <c r="E2093" s="41">
        <v>10</v>
      </c>
      <c r="F2093" s="41">
        <v>1</v>
      </c>
      <c r="G2093" s="41" t="s">
        <v>8344</v>
      </c>
      <c r="H2093" s="41">
        <v>10</v>
      </c>
    </row>
    <row r="2094" spans="1:8" ht="16" x14ac:dyDescent="0.2">
      <c r="A2094" s="41" t="s">
        <v>8345</v>
      </c>
      <c r="B2094" s="41" t="s">
        <v>8346</v>
      </c>
      <c r="C2094" s="41" t="s">
        <v>3490</v>
      </c>
      <c r="D2094" s="42">
        <v>45342</v>
      </c>
      <c r="E2094" s="41">
        <v>10</v>
      </c>
      <c r="F2094" s="41">
        <v>1</v>
      </c>
      <c r="G2094" s="41" t="s">
        <v>8347</v>
      </c>
      <c r="H2094" s="41">
        <v>10</v>
      </c>
    </row>
    <row r="2095" spans="1:8" ht="16" x14ac:dyDescent="0.2">
      <c r="A2095" s="41" t="s">
        <v>1474</v>
      </c>
      <c r="B2095" s="41" t="s">
        <v>8348</v>
      </c>
      <c r="C2095" s="41" t="s">
        <v>3490</v>
      </c>
      <c r="D2095" s="42">
        <v>40714</v>
      </c>
      <c r="E2095" s="41">
        <v>10</v>
      </c>
      <c r="F2095" s="41">
        <v>1</v>
      </c>
      <c r="G2095" s="41" t="s">
        <v>8349</v>
      </c>
      <c r="H2095" s="41">
        <v>10</v>
      </c>
    </row>
    <row r="2096" spans="1:8" ht="16" x14ac:dyDescent="0.2">
      <c r="A2096" s="41" t="s">
        <v>1475</v>
      </c>
      <c r="B2096" s="41" t="s">
        <v>8350</v>
      </c>
      <c r="C2096" s="41" t="s">
        <v>3490</v>
      </c>
      <c r="D2096" s="42">
        <v>37635</v>
      </c>
      <c r="E2096" s="41">
        <v>2</v>
      </c>
      <c r="F2096" s="41">
        <v>1</v>
      </c>
      <c r="G2096" s="41" t="s">
        <v>8351</v>
      </c>
      <c r="H2096" s="41">
        <v>2</v>
      </c>
    </row>
    <row r="2097" spans="1:8" ht="16" x14ac:dyDescent="0.2">
      <c r="A2097" s="41" t="s">
        <v>8352</v>
      </c>
      <c r="B2097" s="41" t="s">
        <v>8353</v>
      </c>
      <c r="C2097" s="41" t="s">
        <v>3490</v>
      </c>
      <c r="D2097" s="42">
        <v>45593</v>
      </c>
      <c r="E2097" s="41">
        <v>10</v>
      </c>
      <c r="F2097" s="41">
        <v>1</v>
      </c>
      <c r="G2097" s="41" t="s">
        <v>8354</v>
      </c>
      <c r="H2097" s="41">
        <v>10</v>
      </c>
    </row>
    <row r="2098" spans="1:8" ht="16" x14ac:dyDescent="0.2">
      <c r="A2098" s="41" t="s">
        <v>8355</v>
      </c>
      <c r="B2098" s="41" t="s">
        <v>8356</v>
      </c>
      <c r="C2098" s="41" t="s">
        <v>3490</v>
      </c>
      <c r="D2098" s="42">
        <v>45756</v>
      </c>
      <c r="E2098" s="41">
        <v>2</v>
      </c>
      <c r="F2098" s="41">
        <v>1</v>
      </c>
      <c r="G2098" s="41" t="s">
        <v>8357</v>
      </c>
      <c r="H2098" s="41">
        <v>2</v>
      </c>
    </row>
    <row r="2099" spans="1:8" ht="16" x14ac:dyDescent="0.2">
      <c r="A2099" s="41" t="s">
        <v>1476</v>
      </c>
      <c r="B2099" s="41" t="s">
        <v>8358</v>
      </c>
      <c r="C2099" s="41" t="s">
        <v>3490</v>
      </c>
      <c r="D2099" s="42">
        <v>40464</v>
      </c>
      <c r="E2099" s="41">
        <v>2</v>
      </c>
      <c r="F2099" s="41">
        <v>1</v>
      </c>
      <c r="G2099" s="41" t="s">
        <v>8359</v>
      </c>
      <c r="H2099" s="41">
        <v>2</v>
      </c>
    </row>
    <row r="2100" spans="1:8" ht="16" x14ac:dyDescent="0.2">
      <c r="A2100" s="41" t="s">
        <v>1477</v>
      </c>
      <c r="B2100" s="41" t="s">
        <v>8360</v>
      </c>
      <c r="C2100" s="41" t="s">
        <v>3510</v>
      </c>
      <c r="D2100" s="42">
        <v>35326</v>
      </c>
      <c r="E2100" s="41">
        <v>2</v>
      </c>
      <c r="F2100" s="41">
        <v>1</v>
      </c>
      <c r="G2100" s="41" t="s">
        <v>8361</v>
      </c>
      <c r="H2100" s="41">
        <v>2</v>
      </c>
    </row>
    <row r="2101" spans="1:8" ht="16" x14ac:dyDescent="0.2">
      <c r="A2101" s="41" t="s">
        <v>1478</v>
      </c>
      <c r="B2101" s="41" t="s">
        <v>8362</v>
      </c>
      <c r="C2101" s="41" t="s">
        <v>3490</v>
      </c>
      <c r="D2101" s="42">
        <v>39111</v>
      </c>
      <c r="E2101" s="41">
        <v>10</v>
      </c>
      <c r="F2101" s="41">
        <v>1</v>
      </c>
      <c r="G2101" s="41" t="s">
        <v>8363</v>
      </c>
      <c r="H2101" s="41">
        <v>10</v>
      </c>
    </row>
    <row r="2102" spans="1:8" ht="16" x14ac:dyDescent="0.2">
      <c r="A2102" s="41" t="s">
        <v>8364</v>
      </c>
      <c r="B2102" s="41" t="s">
        <v>8365</v>
      </c>
      <c r="C2102" s="41" t="s">
        <v>3490</v>
      </c>
      <c r="D2102" s="42">
        <v>45559</v>
      </c>
      <c r="E2102" s="41">
        <v>5</v>
      </c>
      <c r="F2102" s="41">
        <v>1</v>
      </c>
      <c r="G2102" s="41" t="s">
        <v>8366</v>
      </c>
      <c r="H2102" s="41">
        <v>5</v>
      </c>
    </row>
    <row r="2103" spans="1:8" ht="16" x14ac:dyDescent="0.2">
      <c r="A2103" s="41" t="s">
        <v>1479</v>
      </c>
      <c r="B2103" s="41" t="s">
        <v>8367</v>
      </c>
      <c r="C2103" s="41" t="s">
        <v>3490</v>
      </c>
      <c r="D2103" s="42">
        <v>44216</v>
      </c>
      <c r="E2103" s="41">
        <v>10</v>
      </c>
      <c r="F2103" s="41">
        <v>1</v>
      </c>
      <c r="G2103" s="41" t="s">
        <v>8368</v>
      </c>
      <c r="H2103" s="41">
        <v>10</v>
      </c>
    </row>
    <row r="2104" spans="1:8" ht="16" x14ac:dyDescent="0.2">
      <c r="A2104" s="41" t="s">
        <v>1480</v>
      </c>
      <c r="B2104" s="41" t="s">
        <v>8369</v>
      </c>
      <c r="C2104" s="41" t="s">
        <v>3490</v>
      </c>
      <c r="D2104" s="42">
        <v>39217</v>
      </c>
      <c r="E2104" s="41">
        <v>10</v>
      </c>
      <c r="F2104" s="41">
        <v>1</v>
      </c>
      <c r="G2104" s="41" t="s">
        <v>8370</v>
      </c>
      <c r="H2104" s="41">
        <v>10</v>
      </c>
    </row>
    <row r="2105" spans="1:8" ht="16" x14ac:dyDescent="0.2">
      <c r="A2105" s="41" t="s">
        <v>8371</v>
      </c>
      <c r="B2105" s="41" t="s">
        <v>8372</v>
      </c>
      <c r="C2105" s="41" t="s">
        <v>3490</v>
      </c>
      <c r="D2105" s="42">
        <v>34829</v>
      </c>
      <c r="E2105" s="41">
        <v>10</v>
      </c>
      <c r="F2105" s="41">
        <v>1</v>
      </c>
      <c r="G2105" s="41" t="s">
        <v>8373</v>
      </c>
      <c r="H2105" s="41">
        <v>10</v>
      </c>
    </row>
    <row r="2106" spans="1:8" ht="16" x14ac:dyDescent="0.2">
      <c r="A2106" s="41" t="s">
        <v>1481</v>
      </c>
      <c r="B2106" s="41" t="s">
        <v>8374</v>
      </c>
      <c r="C2106" s="41" t="s">
        <v>3490</v>
      </c>
      <c r="D2106" s="42">
        <v>44578</v>
      </c>
      <c r="E2106" s="41">
        <v>1</v>
      </c>
      <c r="F2106" s="41">
        <v>1</v>
      </c>
      <c r="G2106" s="41" t="s">
        <v>8375</v>
      </c>
      <c r="H2106" s="41">
        <v>1</v>
      </c>
    </row>
    <row r="2107" spans="1:8" ht="16" x14ac:dyDescent="0.2">
      <c r="A2107" s="41" t="s">
        <v>1482</v>
      </c>
      <c r="B2107" s="41" t="s">
        <v>8376</v>
      </c>
      <c r="C2107" s="41" t="s">
        <v>3490</v>
      </c>
      <c r="D2107" s="42">
        <v>38496</v>
      </c>
      <c r="E2107" s="41">
        <v>5</v>
      </c>
      <c r="F2107" s="41">
        <v>1</v>
      </c>
      <c r="G2107" s="41" t="s">
        <v>8377</v>
      </c>
      <c r="H2107" s="41">
        <v>5</v>
      </c>
    </row>
    <row r="2108" spans="1:8" ht="16" x14ac:dyDescent="0.2">
      <c r="A2108" s="41" t="s">
        <v>1483</v>
      </c>
      <c r="B2108" s="41" t="s">
        <v>8378</v>
      </c>
      <c r="C2108" s="41" t="s">
        <v>3490</v>
      </c>
      <c r="D2108" s="42">
        <v>38295</v>
      </c>
      <c r="E2108" s="41">
        <v>10</v>
      </c>
      <c r="F2108" s="41">
        <v>1</v>
      </c>
      <c r="G2108" s="41" t="s">
        <v>8379</v>
      </c>
      <c r="H2108" s="41">
        <v>10</v>
      </c>
    </row>
    <row r="2109" spans="1:8" ht="16" x14ac:dyDescent="0.2">
      <c r="A2109" s="41" t="s">
        <v>8380</v>
      </c>
      <c r="B2109" s="41" t="s">
        <v>8381</v>
      </c>
      <c r="C2109" s="41" t="s">
        <v>3510</v>
      </c>
      <c r="D2109" s="42">
        <v>40441</v>
      </c>
      <c r="E2109" s="41">
        <v>10</v>
      </c>
      <c r="F2109" s="41">
        <v>1</v>
      </c>
      <c r="G2109" s="41" t="s">
        <v>8382</v>
      </c>
      <c r="H2109" s="41">
        <v>10</v>
      </c>
    </row>
    <row r="2110" spans="1:8" ht="16" x14ac:dyDescent="0.2">
      <c r="A2110" s="41" t="s">
        <v>1484</v>
      </c>
      <c r="B2110" s="41" t="s">
        <v>8383</v>
      </c>
      <c r="C2110" s="41" t="s">
        <v>3490</v>
      </c>
      <c r="D2110" s="42">
        <v>37959</v>
      </c>
      <c r="E2110" s="41">
        <v>1</v>
      </c>
      <c r="F2110" s="41">
        <v>1</v>
      </c>
      <c r="G2110" s="41" t="s">
        <v>8384</v>
      </c>
      <c r="H2110" s="41">
        <v>1</v>
      </c>
    </row>
    <row r="2111" spans="1:8" ht="16" x14ac:dyDescent="0.2">
      <c r="A2111" s="41" t="s">
        <v>1485</v>
      </c>
      <c r="B2111" s="41" t="s">
        <v>8385</v>
      </c>
      <c r="C2111" s="41" t="s">
        <v>3490</v>
      </c>
      <c r="D2111" s="42">
        <v>38936</v>
      </c>
      <c r="E2111" s="41">
        <v>10</v>
      </c>
      <c r="F2111" s="41">
        <v>1</v>
      </c>
      <c r="G2111" s="41" t="s">
        <v>8386</v>
      </c>
      <c r="H2111" s="41">
        <v>10</v>
      </c>
    </row>
    <row r="2112" spans="1:8" ht="16" x14ac:dyDescent="0.2">
      <c r="A2112" s="41" t="s">
        <v>1486</v>
      </c>
      <c r="B2112" s="41" t="s">
        <v>8387</v>
      </c>
      <c r="C2112" s="41" t="s">
        <v>3490</v>
      </c>
      <c r="D2112" s="42">
        <v>45082</v>
      </c>
      <c r="E2112" s="41">
        <v>2</v>
      </c>
      <c r="F2112" s="41">
        <v>1</v>
      </c>
      <c r="G2112" s="41" t="s">
        <v>8388</v>
      </c>
      <c r="H2112" s="41">
        <v>2</v>
      </c>
    </row>
    <row r="2113" spans="1:8" ht="16" x14ac:dyDescent="0.2">
      <c r="A2113" s="41" t="s">
        <v>8389</v>
      </c>
      <c r="B2113" s="41" t="s">
        <v>8390</v>
      </c>
      <c r="C2113" s="41" t="s">
        <v>3490</v>
      </c>
      <c r="D2113" s="42">
        <v>44727</v>
      </c>
      <c r="E2113" s="41">
        <v>10</v>
      </c>
      <c r="F2113" s="41">
        <v>1</v>
      </c>
      <c r="G2113" s="41" t="s">
        <v>8391</v>
      </c>
      <c r="H2113" s="41">
        <v>10</v>
      </c>
    </row>
    <row r="2114" spans="1:8" ht="16" x14ac:dyDescent="0.2">
      <c r="A2114" s="41" t="s">
        <v>1487</v>
      </c>
      <c r="B2114" s="41" t="s">
        <v>8392</v>
      </c>
      <c r="C2114" s="41" t="s">
        <v>3490</v>
      </c>
      <c r="D2114" s="42">
        <v>36623</v>
      </c>
      <c r="E2114" s="41">
        <v>10</v>
      </c>
      <c r="F2114" s="41">
        <v>1</v>
      </c>
      <c r="G2114" s="41" t="s">
        <v>8393</v>
      </c>
      <c r="H2114" s="41">
        <v>10</v>
      </c>
    </row>
    <row r="2115" spans="1:8" ht="16" x14ac:dyDescent="0.2">
      <c r="A2115" s="41" t="s">
        <v>1488</v>
      </c>
      <c r="B2115" s="41" t="s">
        <v>8394</v>
      </c>
      <c r="C2115" s="41" t="s">
        <v>3490</v>
      </c>
      <c r="D2115" s="42">
        <v>40274</v>
      </c>
      <c r="E2115" s="41">
        <v>10</v>
      </c>
      <c r="F2115" s="41">
        <v>1</v>
      </c>
      <c r="G2115" s="41" t="s">
        <v>8395</v>
      </c>
      <c r="H2115" s="41">
        <v>10</v>
      </c>
    </row>
    <row r="2116" spans="1:8" ht="16" x14ac:dyDescent="0.2">
      <c r="A2116" s="41" t="s">
        <v>8396</v>
      </c>
      <c r="B2116" s="41" t="s">
        <v>8397</v>
      </c>
      <c r="C2116" s="41" t="s">
        <v>3490</v>
      </c>
      <c r="D2116" s="42">
        <v>34738</v>
      </c>
      <c r="E2116" s="41">
        <v>10</v>
      </c>
      <c r="F2116" s="41">
        <v>1</v>
      </c>
      <c r="G2116" s="41" t="s">
        <v>8398</v>
      </c>
      <c r="H2116" s="41">
        <v>10</v>
      </c>
    </row>
    <row r="2117" spans="1:8" ht="16" x14ac:dyDescent="0.2">
      <c r="A2117" s="41" t="s">
        <v>1489</v>
      </c>
      <c r="B2117" s="41" t="s">
        <v>8399</v>
      </c>
      <c r="C2117" s="41" t="s">
        <v>3490</v>
      </c>
      <c r="D2117" s="42">
        <v>44424</v>
      </c>
      <c r="E2117" s="41">
        <v>5</v>
      </c>
      <c r="F2117" s="41">
        <v>1</v>
      </c>
      <c r="G2117" s="41" t="s">
        <v>8400</v>
      </c>
      <c r="H2117" s="41">
        <v>5</v>
      </c>
    </row>
    <row r="2118" spans="1:8" ht="16" x14ac:dyDescent="0.2">
      <c r="A2118" s="41" t="s">
        <v>1490</v>
      </c>
      <c r="B2118" s="41" t="s">
        <v>8401</v>
      </c>
      <c r="C2118" s="41" t="s">
        <v>3490</v>
      </c>
      <c r="D2118" s="42">
        <v>40772</v>
      </c>
      <c r="E2118" s="41">
        <v>2</v>
      </c>
      <c r="F2118" s="41">
        <v>1</v>
      </c>
      <c r="G2118" s="41" t="s">
        <v>8402</v>
      </c>
      <c r="H2118" s="41">
        <v>2</v>
      </c>
    </row>
    <row r="2119" spans="1:8" ht="16" x14ac:dyDescent="0.2">
      <c r="A2119" s="41" t="s">
        <v>8403</v>
      </c>
      <c r="B2119" s="41" t="s">
        <v>8404</v>
      </c>
      <c r="C2119" s="41" t="s">
        <v>3797</v>
      </c>
      <c r="D2119" s="42">
        <v>40780</v>
      </c>
      <c r="E2119" s="41">
        <v>10</v>
      </c>
      <c r="F2119" s="41">
        <v>1</v>
      </c>
      <c r="G2119" s="41" t="s">
        <v>8405</v>
      </c>
      <c r="H2119" s="41">
        <v>10</v>
      </c>
    </row>
    <row r="2120" spans="1:8" ht="16" x14ac:dyDescent="0.2">
      <c r="A2120" s="41" t="s">
        <v>8406</v>
      </c>
      <c r="B2120" s="41" t="s">
        <v>8407</v>
      </c>
      <c r="C2120" s="41" t="s">
        <v>3490</v>
      </c>
      <c r="D2120" s="42">
        <v>42842</v>
      </c>
      <c r="E2120" s="41">
        <v>10</v>
      </c>
      <c r="F2120" s="41">
        <v>1</v>
      </c>
      <c r="G2120" s="41" t="s">
        <v>8408</v>
      </c>
      <c r="H2120" s="41">
        <v>10</v>
      </c>
    </row>
    <row r="2121" spans="1:8" ht="16" x14ac:dyDescent="0.2">
      <c r="A2121" s="41" t="s">
        <v>1492</v>
      </c>
      <c r="B2121" s="41" t="s">
        <v>8409</v>
      </c>
      <c r="C2121" s="41" t="s">
        <v>3490</v>
      </c>
      <c r="D2121" s="42">
        <v>35011</v>
      </c>
      <c r="E2121" s="41">
        <v>2</v>
      </c>
      <c r="F2121" s="41">
        <v>1</v>
      </c>
      <c r="G2121" s="41" t="s">
        <v>8410</v>
      </c>
      <c r="H2121" s="41">
        <v>2</v>
      </c>
    </row>
    <row r="2122" spans="1:8" ht="16" x14ac:dyDescent="0.2">
      <c r="A2122" s="41" t="s">
        <v>1493</v>
      </c>
      <c r="B2122" s="41" t="s">
        <v>8411</v>
      </c>
      <c r="C2122" s="41" t="s">
        <v>3490</v>
      </c>
      <c r="D2122" s="42">
        <v>36579</v>
      </c>
      <c r="E2122" s="41">
        <v>5</v>
      </c>
      <c r="F2122" s="41">
        <v>1</v>
      </c>
      <c r="G2122" s="41" t="s">
        <v>8412</v>
      </c>
      <c r="H2122" s="41">
        <v>5</v>
      </c>
    </row>
    <row r="2123" spans="1:8" ht="16" x14ac:dyDescent="0.2">
      <c r="A2123" s="41" t="s">
        <v>1494</v>
      </c>
      <c r="B2123" s="41" t="s">
        <v>8413</v>
      </c>
      <c r="C2123" s="41" t="s">
        <v>3490</v>
      </c>
      <c r="D2123" s="42">
        <v>41768</v>
      </c>
      <c r="E2123" s="41">
        <v>10</v>
      </c>
      <c r="F2123" s="41">
        <v>1</v>
      </c>
      <c r="G2123" s="41" t="s">
        <v>8414</v>
      </c>
      <c r="H2123" s="41">
        <v>10</v>
      </c>
    </row>
    <row r="2124" spans="1:8" ht="16" x14ac:dyDescent="0.2">
      <c r="A2124" s="41" t="s">
        <v>8415</v>
      </c>
      <c r="B2124" s="41" t="s">
        <v>8416</v>
      </c>
      <c r="C2124" s="41" t="s">
        <v>3490</v>
      </c>
      <c r="D2124" s="42">
        <v>44047</v>
      </c>
      <c r="E2124" s="41">
        <v>10</v>
      </c>
      <c r="F2124" s="41">
        <v>1</v>
      </c>
      <c r="G2124" s="41" t="s">
        <v>8417</v>
      </c>
      <c r="H2124" s="41">
        <v>10</v>
      </c>
    </row>
    <row r="2125" spans="1:8" ht="16" x14ac:dyDescent="0.2">
      <c r="A2125" s="41" t="s">
        <v>1495</v>
      </c>
      <c r="B2125" s="41" t="s">
        <v>8418</v>
      </c>
      <c r="C2125" s="41" t="s">
        <v>3490</v>
      </c>
      <c r="D2125" s="42">
        <v>39295</v>
      </c>
      <c r="E2125" s="41">
        <v>10</v>
      </c>
      <c r="F2125" s="41">
        <v>1</v>
      </c>
      <c r="G2125" s="41" t="s">
        <v>8419</v>
      </c>
      <c r="H2125" s="41">
        <v>10</v>
      </c>
    </row>
    <row r="2126" spans="1:8" ht="16" x14ac:dyDescent="0.2">
      <c r="A2126" s="41" t="s">
        <v>1496</v>
      </c>
      <c r="B2126" s="41" t="s">
        <v>8420</v>
      </c>
      <c r="C2126" s="41" t="s">
        <v>3490</v>
      </c>
      <c r="D2126" s="42">
        <v>36908</v>
      </c>
      <c r="E2126" s="41">
        <v>2</v>
      </c>
      <c r="F2126" s="41">
        <v>1</v>
      </c>
      <c r="G2126" s="41" t="s">
        <v>8421</v>
      </c>
      <c r="H2126" s="41">
        <v>2</v>
      </c>
    </row>
    <row r="2127" spans="1:8" ht="16" x14ac:dyDescent="0.2">
      <c r="A2127" s="41" t="s">
        <v>1498</v>
      </c>
      <c r="B2127" s="41" t="s">
        <v>8422</v>
      </c>
      <c r="C2127" s="41" t="s">
        <v>3490</v>
      </c>
      <c r="D2127" s="42">
        <v>38420</v>
      </c>
      <c r="E2127" s="41">
        <v>10</v>
      </c>
      <c r="F2127" s="41">
        <v>1</v>
      </c>
      <c r="G2127" s="41" t="s">
        <v>8423</v>
      </c>
      <c r="H2127" s="41">
        <v>10</v>
      </c>
    </row>
    <row r="2128" spans="1:8" ht="16" x14ac:dyDescent="0.2">
      <c r="A2128" s="41" t="s">
        <v>8424</v>
      </c>
      <c r="B2128" s="41" t="s">
        <v>8425</v>
      </c>
      <c r="C2128" s="41" t="s">
        <v>3490</v>
      </c>
      <c r="D2128" s="42">
        <v>43500</v>
      </c>
      <c r="E2128" s="41">
        <v>10</v>
      </c>
      <c r="F2128" s="41">
        <v>1</v>
      </c>
      <c r="G2128" s="41" t="s">
        <v>8426</v>
      </c>
      <c r="H2128" s="41">
        <v>10</v>
      </c>
    </row>
    <row r="2129" spans="1:8" ht="16" x14ac:dyDescent="0.2">
      <c r="A2129" s="41" t="s">
        <v>1499</v>
      </c>
      <c r="B2129" s="41" t="s">
        <v>8427</v>
      </c>
      <c r="C2129" s="41" t="s">
        <v>3490</v>
      </c>
      <c r="D2129" s="42">
        <v>38104</v>
      </c>
      <c r="E2129" s="41">
        <v>10</v>
      </c>
      <c r="F2129" s="41">
        <v>1</v>
      </c>
      <c r="G2129" s="41" t="s">
        <v>8428</v>
      </c>
      <c r="H2129" s="41">
        <v>10</v>
      </c>
    </row>
    <row r="2130" spans="1:8" ht="16" x14ac:dyDescent="0.2">
      <c r="A2130" s="41" t="s">
        <v>8429</v>
      </c>
      <c r="B2130" s="41" t="s">
        <v>8430</v>
      </c>
      <c r="C2130" s="41" t="s">
        <v>3490</v>
      </c>
      <c r="D2130" s="42">
        <v>45551</v>
      </c>
      <c r="E2130" s="41">
        <v>1</v>
      </c>
      <c r="F2130" s="41">
        <v>1</v>
      </c>
      <c r="G2130" s="41" t="s">
        <v>8431</v>
      </c>
      <c r="H2130" s="41">
        <v>1</v>
      </c>
    </row>
    <row r="2131" spans="1:8" ht="16" x14ac:dyDescent="0.2">
      <c r="A2131" s="41" t="s">
        <v>8432</v>
      </c>
      <c r="B2131" s="41" t="s">
        <v>8433</v>
      </c>
      <c r="C2131" s="41" t="s">
        <v>3510</v>
      </c>
      <c r="D2131" s="42">
        <v>40773</v>
      </c>
      <c r="E2131" s="41">
        <v>2</v>
      </c>
      <c r="F2131" s="41">
        <v>1</v>
      </c>
      <c r="G2131" s="41" t="s">
        <v>8434</v>
      </c>
      <c r="H2131" s="41">
        <v>2</v>
      </c>
    </row>
    <row r="2132" spans="1:8" ht="16" x14ac:dyDescent="0.2">
      <c r="A2132" s="41" t="s">
        <v>1500</v>
      </c>
      <c r="B2132" s="41" t="s">
        <v>8435</v>
      </c>
      <c r="C2132" s="41" t="s">
        <v>3490</v>
      </c>
      <c r="D2132" s="42">
        <v>45159</v>
      </c>
      <c r="E2132" s="41">
        <v>10</v>
      </c>
      <c r="F2132" s="41">
        <v>1</v>
      </c>
      <c r="G2132" s="41" t="s">
        <v>8436</v>
      </c>
      <c r="H2132" s="41">
        <v>10</v>
      </c>
    </row>
    <row r="2133" spans="1:8" ht="16" x14ac:dyDescent="0.2">
      <c r="A2133" s="41" t="s">
        <v>1501</v>
      </c>
      <c r="B2133" s="41" t="s">
        <v>8437</v>
      </c>
      <c r="C2133" s="41" t="s">
        <v>3490</v>
      </c>
      <c r="D2133" s="42">
        <v>45145</v>
      </c>
      <c r="E2133" s="41">
        <v>10</v>
      </c>
      <c r="F2133" s="41">
        <v>1</v>
      </c>
      <c r="G2133" s="41" t="s">
        <v>8438</v>
      </c>
      <c r="H2133" s="41">
        <v>10</v>
      </c>
    </row>
    <row r="2134" spans="1:8" ht="16" x14ac:dyDescent="0.2">
      <c r="A2134" s="41" t="s">
        <v>1502</v>
      </c>
      <c r="B2134" s="41" t="s">
        <v>8439</v>
      </c>
      <c r="C2134" s="41" t="s">
        <v>3490</v>
      </c>
      <c r="D2134" s="42">
        <v>45197</v>
      </c>
      <c r="E2134" s="41">
        <v>1</v>
      </c>
      <c r="F2134" s="41">
        <v>1</v>
      </c>
      <c r="G2134" s="41" t="s">
        <v>8440</v>
      </c>
      <c r="H2134" s="41">
        <v>1</v>
      </c>
    </row>
    <row r="2135" spans="1:8" ht="16" x14ac:dyDescent="0.2">
      <c r="A2135" s="41" t="s">
        <v>1503</v>
      </c>
      <c r="B2135" s="41" t="s">
        <v>8441</v>
      </c>
      <c r="C2135" s="41" t="s">
        <v>3490</v>
      </c>
      <c r="D2135" s="42">
        <v>38545</v>
      </c>
      <c r="E2135" s="41">
        <v>2</v>
      </c>
      <c r="F2135" s="41">
        <v>1</v>
      </c>
      <c r="G2135" s="41" t="s">
        <v>8442</v>
      </c>
      <c r="H2135" s="41">
        <v>2</v>
      </c>
    </row>
    <row r="2136" spans="1:8" ht="16" x14ac:dyDescent="0.2">
      <c r="A2136" s="41" t="s">
        <v>1504</v>
      </c>
      <c r="B2136" s="41" t="s">
        <v>8443</v>
      </c>
      <c r="C2136" s="41" t="s">
        <v>3490</v>
      </c>
      <c r="D2136" s="42">
        <v>44441</v>
      </c>
      <c r="E2136" s="41">
        <v>10</v>
      </c>
      <c r="F2136" s="41">
        <v>1</v>
      </c>
      <c r="G2136" s="41" t="s">
        <v>8444</v>
      </c>
      <c r="H2136" s="41">
        <v>10</v>
      </c>
    </row>
    <row r="2137" spans="1:8" ht="16" x14ac:dyDescent="0.2">
      <c r="A2137" s="41" t="s">
        <v>1505</v>
      </c>
      <c r="B2137" s="41" t="s">
        <v>8445</v>
      </c>
      <c r="C2137" s="41" t="s">
        <v>3490</v>
      </c>
      <c r="D2137" s="42">
        <v>45191</v>
      </c>
      <c r="E2137" s="41">
        <v>1</v>
      </c>
      <c r="F2137" s="41">
        <v>1</v>
      </c>
      <c r="G2137" s="41" t="s">
        <v>8446</v>
      </c>
      <c r="H2137" s="41">
        <v>1</v>
      </c>
    </row>
    <row r="2138" spans="1:8" ht="16" x14ac:dyDescent="0.2">
      <c r="A2138" s="41" t="s">
        <v>1506</v>
      </c>
      <c r="B2138" s="41" t="s">
        <v>8447</v>
      </c>
      <c r="C2138" s="41" t="s">
        <v>3490</v>
      </c>
      <c r="D2138" s="42">
        <v>36047</v>
      </c>
      <c r="E2138" s="41">
        <v>1</v>
      </c>
      <c r="F2138" s="41">
        <v>1</v>
      </c>
      <c r="G2138" s="41" t="s">
        <v>8448</v>
      </c>
      <c r="H2138" s="41">
        <v>1</v>
      </c>
    </row>
    <row r="2139" spans="1:8" ht="16" x14ac:dyDescent="0.2">
      <c r="A2139" s="41" t="s">
        <v>8449</v>
      </c>
      <c r="B2139" s="41" t="s">
        <v>8450</v>
      </c>
      <c r="C2139" s="41" t="s">
        <v>3510</v>
      </c>
      <c r="D2139" s="42">
        <v>40532</v>
      </c>
      <c r="E2139" s="41">
        <v>1</v>
      </c>
      <c r="F2139" s="41">
        <v>1</v>
      </c>
      <c r="G2139" s="41" t="s">
        <v>8451</v>
      </c>
      <c r="H2139" s="41">
        <v>1</v>
      </c>
    </row>
    <row r="2140" spans="1:8" ht="16" x14ac:dyDescent="0.2">
      <c r="A2140" s="41" t="s">
        <v>1507</v>
      </c>
      <c r="B2140" s="41" t="s">
        <v>8452</v>
      </c>
      <c r="C2140" s="41" t="s">
        <v>3490</v>
      </c>
      <c r="D2140" s="42">
        <v>39092</v>
      </c>
      <c r="E2140" s="41">
        <v>1</v>
      </c>
      <c r="F2140" s="41">
        <v>1</v>
      </c>
      <c r="G2140" s="41" t="s">
        <v>8453</v>
      </c>
      <c r="H2140" s="41">
        <v>1</v>
      </c>
    </row>
    <row r="2141" spans="1:8" ht="16" x14ac:dyDescent="0.2">
      <c r="A2141" s="41" t="s">
        <v>8454</v>
      </c>
      <c r="B2141" s="41" t="s">
        <v>8455</v>
      </c>
      <c r="C2141" s="41" t="s">
        <v>3490</v>
      </c>
      <c r="D2141" s="42">
        <v>35256</v>
      </c>
      <c r="E2141" s="41">
        <v>10</v>
      </c>
      <c r="F2141" s="41">
        <v>1</v>
      </c>
      <c r="G2141" s="41" t="s">
        <v>8456</v>
      </c>
      <c r="H2141" s="41">
        <v>10</v>
      </c>
    </row>
    <row r="2142" spans="1:8" ht="16" x14ac:dyDescent="0.2">
      <c r="A2142" s="41" t="s">
        <v>8457</v>
      </c>
      <c r="B2142" s="41" t="s">
        <v>8458</v>
      </c>
      <c r="C2142" s="41" t="s">
        <v>3510</v>
      </c>
      <c r="D2142" s="42">
        <v>39202</v>
      </c>
      <c r="E2142" s="41">
        <v>10</v>
      </c>
      <c r="F2142" s="41">
        <v>1</v>
      </c>
      <c r="G2142" s="41" t="s">
        <v>8459</v>
      </c>
      <c r="H2142" s="41">
        <v>10</v>
      </c>
    </row>
    <row r="2143" spans="1:8" ht="16" x14ac:dyDescent="0.2">
      <c r="A2143" s="41" t="s">
        <v>1508</v>
      </c>
      <c r="B2143" s="41" t="s">
        <v>8460</v>
      </c>
      <c r="C2143" s="41" t="s">
        <v>3490</v>
      </c>
      <c r="D2143" s="42">
        <v>37811</v>
      </c>
      <c r="E2143" s="41">
        <v>2</v>
      </c>
      <c r="F2143" s="41">
        <v>1</v>
      </c>
      <c r="G2143" s="41" t="s">
        <v>8461</v>
      </c>
      <c r="H2143" s="41">
        <v>2</v>
      </c>
    </row>
    <row r="2144" spans="1:8" ht="16" x14ac:dyDescent="0.2">
      <c r="A2144" s="41" t="s">
        <v>1509</v>
      </c>
      <c r="B2144" s="41" t="s">
        <v>8462</v>
      </c>
      <c r="C2144" s="41" t="s">
        <v>3490</v>
      </c>
      <c r="D2144" s="42">
        <v>42093</v>
      </c>
      <c r="E2144" s="41">
        <v>1</v>
      </c>
      <c r="F2144" s="41">
        <v>1</v>
      </c>
      <c r="G2144" s="41" t="s">
        <v>8463</v>
      </c>
      <c r="H2144" s="41">
        <v>1</v>
      </c>
    </row>
    <row r="2145" spans="1:8" ht="16" x14ac:dyDescent="0.2">
      <c r="A2145" s="41" t="s">
        <v>1510</v>
      </c>
      <c r="B2145" s="41" t="s">
        <v>8464</v>
      </c>
      <c r="C2145" s="41" t="s">
        <v>3490</v>
      </c>
      <c r="D2145" s="42">
        <v>39722</v>
      </c>
      <c r="E2145" s="41">
        <v>5</v>
      </c>
      <c r="F2145" s="41">
        <v>1</v>
      </c>
      <c r="G2145" s="41" t="s">
        <v>8465</v>
      </c>
      <c r="H2145" s="41">
        <v>5</v>
      </c>
    </row>
    <row r="2146" spans="1:8" ht="16" x14ac:dyDescent="0.2">
      <c r="A2146" s="41" t="s">
        <v>1511</v>
      </c>
      <c r="B2146" s="41" t="s">
        <v>8466</v>
      </c>
      <c r="C2146" s="41" t="s">
        <v>3490</v>
      </c>
      <c r="D2146" s="42">
        <v>44890</v>
      </c>
      <c r="E2146" s="41">
        <v>10</v>
      </c>
      <c r="F2146" s="41">
        <v>1</v>
      </c>
      <c r="G2146" s="41" t="s">
        <v>8467</v>
      </c>
      <c r="H2146" s="41">
        <v>10</v>
      </c>
    </row>
    <row r="2147" spans="1:8" ht="16" x14ac:dyDescent="0.2">
      <c r="A2147" s="41" t="s">
        <v>1512</v>
      </c>
      <c r="B2147" s="41" t="s">
        <v>8468</v>
      </c>
      <c r="C2147" s="41" t="s">
        <v>3510</v>
      </c>
      <c r="D2147" s="42">
        <v>44544</v>
      </c>
      <c r="E2147" s="41">
        <v>10</v>
      </c>
      <c r="F2147" s="41">
        <v>1</v>
      </c>
      <c r="G2147" s="41" t="s">
        <v>8469</v>
      </c>
      <c r="H2147" s="41">
        <v>10</v>
      </c>
    </row>
    <row r="2148" spans="1:8" ht="16" x14ac:dyDescent="0.2">
      <c r="A2148" s="41" t="s">
        <v>8470</v>
      </c>
      <c r="B2148" s="41" t="s">
        <v>8471</v>
      </c>
      <c r="C2148" s="41" t="s">
        <v>3490</v>
      </c>
      <c r="D2148" s="42">
        <v>34969</v>
      </c>
      <c r="E2148" s="41">
        <v>10</v>
      </c>
      <c r="F2148" s="41">
        <v>1</v>
      </c>
      <c r="G2148" s="41" t="s">
        <v>8472</v>
      </c>
      <c r="H2148" s="41">
        <v>10</v>
      </c>
    </row>
    <row r="2149" spans="1:8" ht="16" x14ac:dyDescent="0.2">
      <c r="A2149" s="41" t="s">
        <v>1513</v>
      </c>
      <c r="B2149" s="41" t="s">
        <v>8473</v>
      </c>
      <c r="C2149" s="41" t="s">
        <v>3490</v>
      </c>
      <c r="D2149" s="42">
        <v>43696</v>
      </c>
      <c r="E2149" s="41">
        <v>10</v>
      </c>
      <c r="F2149" s="41">
        <v>1</v>
      </c>
      <c r="G2149" s="41" t="s">
        <v>8474</v>
      </c>
      <c r="H2149" s="41">
        <v>10</v>
      </c>
    </row>
    <row r="2150" spans="1:8" ht="16" x14ac:dyDescent="0.2">
      <c r="A2150" s="41" t="s">
        <v>1514</v>
      </c>
      <c r="B2150" s="41" t="s">
        <v>8475</v>
      </c>
      <c r="C2150" s="41" t="s">
        <v>3490</v>
      </c>
      <c r="D2150" s="42">
        <v>41240</v>
      </c>
      <c r="E2150" s="41">
        <v>10</v>
      </c>
      <c r="F2150" s="41">
        <v>1</v>
      </c>
      <c r="G2150" s="41" t="s">
        <v>8476</v>
      </c>
      <c r="H2150" s="41">
        <v>10</v>
      </c>
    </row>
    <row r="2151" spans="1:8" ht="16" x14ac:dyDescent="0.2">
      <c r="A2151" s="41" t="s">
        <v>1515</v>
      </c>
      <c r="B2151" s="41" t="s">
        <v>8477</v>
      </c>
      <c r="C2151" s="41" t="s">
        <v>3490</v>
      </c>
      <c r="D2151" s="42">
        <v>34801</v>
      </c>
      <c r="E2151" s="41">
        <v>10</v>
      </c>
      <c r="F2151" s="41">
        <v>1</v>
      </c>
      <c r="G2151" s="41" t="s">
        <v>8478</v>
      </c>
      <c r="H2151" s="41">
        <v>10</v>
      </c>
    </row>
    <row r="2152" spans="1:8" ht="16" x14ac:dyDescent="0.2">
      <c r="A2152" s="41" t="s">
        <v>1516</v>
      </c>
      <c r="B2152" s="41" t="s">
        <v>8479</v>
      </c>
      <c r="C2152" s="41" t="s">
        <v>3490</v>
      </c>
      <c r="D2152" s="42">
        <v>36634</v>
      </c>
      <c r="E2152" s="41">
        <v>1</v>
      </c>
      <c r="F2152" s="41">
        <v>1</v>
      </c>
      <c r="G2152" s="41" t="s">
        <v>8480</v>
      </c>
      <c r="H2152" s="41">
        <v>1</v>
      </c>
    </row>
    <row r="2153" spans="1:8" ht="16" x14ac:dyDescent="0.2">
      <c r="A2153" s="41" t="s">
        <v>1517</v>
      </c>
      <c r="B2153" s="41" t="s">
        <v>8481</v>
      </c>
      <c r="C2153" s="41" t="s">
        <v>3490</v>
      </c>
      <c r="D2153" s="42">
        <v>40130</v>
      </c>
      <c r="E2153" s="41">
        <v>10</v>
      </c>
      <c r="F2153" s="41">
        <v>1</v>
      </c>
      <c r="G2153" s="41" t="s">
        <v>8482</v>
      </c>
      <c r="H2153" s="4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AF2997"/>
  <sheetViews>
    <sheetView zoomScale="184" zoomScaleNormal="184" workbookViewId="0">
      <pane ySplit="1" topLeftCell="A1277" activePane="bottomLeft" state="frozen"/>
      <selection pane="bottomLeft" activeCell="A1296" sqref="A1296"/>
    </sheetView>
  </sheetViews>
  <sheetFormatPr baseColWidth="10" defaultColWidth="12.6640625" defaultRowHeight="15.75" customHeight="1" x14ac:dyDescent="0.15"/>
  <cols>
    <col min="1" max="1" width="50.5" customWidth="1"/>
    <col min="5" max="5" width="14.1640625" customWidth="1"/>
  </cols>
  <sheetData>
    <row r="1" spans="1:32" x14ac:dyDescent="0.2">
      <c r="A1" s="20" t="s">
        <v>1531</v>
      </c>
      <c r="B1" s="20" t="s">
        <v>1532</v>
      </c>
      <c r="E1" s="23"/>
      <c r="G1" s="2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">
      <c r="A2" s="21" t="s">
        <v>1729</v>
      </c>
      <c r="B2" s="21" t="s">
        <v>0</v>
      </c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">
      <c r="A3" s="21" t="s">
        <v>1730</v>
      </c>
      <c r="B3" s="21" t="s">
        <v>1</v>
      </c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21" t="s">
        <v>1731</v>
      </c>
      <c r="B4" s="21" t="s">
        <v>2</v>
      </c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21" t="s">
        <v>1732</v>
      </c>
      <c r="B5" s="21" t="s">
        <v>3</v>
      </c>
      <c r="G5" s="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21" t="s">
        <v>1733</v>
      </c>
      <c r="B6" s="21" t="s">
        <v>4</v>
      </c>
      <c r="G6" s="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21" t="s">
        <v>1734</v>
      </c>
      <c r="B7" s="21" t="s">
        <v>5</v>
      </c>
      <c r="G7" s="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21" t="s">
        <v>1735</v>
      </c>
      <c r="B8" s="21" t="s">
        <v>6</v>
      </c>
      <c r="G8" s="2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21" t="s">
        <v>1736</v>
      </c>
      <c r="B9" s="21" t="s">
        <v>7</v>
      </c>
      <c r="G9" s="2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2">
      <c r="A10" s="21" t="s">
        <v>1737</v>
      </c>
      <c r="B10" s="21" t="s">
        <v>8</v>
      </c>
      <c r="G10" s="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2">
      <c r="A11" s="21" t="s">
        <v>1738</v>
      </c>
      <c r="B11" s="21" t="s">
        <v>9</v>
      </c>
      <c r="G11" s="2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2">
      <c r="A12" s="21" t="s">
        <v>1739</v>
      </c>
      <c r="B12" s="21" t="s">
        <v>10</v>
      </c>
      <c r="G12" s="2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2">
      <c r="A13" s="21" t="s">
        <v>1740</v>
      </c>
      <c r="B13" s="21" t="s">
        <v>11</v>
      </c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2">
      <c r="A14" s="21" t="s">
        <v>1741</v>
      </c>
      <c r="B14" s="21" t="s">
        <v>12</v>
      </c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">
      <c r="A15" s="21" t="s">
        <v>1742</v>
      </c>
      <c r="B15" s="21" t="s">
        <v>13</v>
      </c>
      <c r="G15" s="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">
      <c r="A16" s="21" t="s">
        <v>1743</v>
      </c>
      <c r="B16" s="21" t="s">
        <v>14</v>
      </c>
      <c r="G16" s="2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">
      <c r="A17" s="21" t="s">
        <v>1744</v>
      </c>
      <c r="B17" s="21" t="s">
        <v>15</v>
      </c>
      <c r="G17" s="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">
      <c r="A18" s="21" t="s">
        <v>1745</v>
      </c>
      <c r="B18" s="21" t="s">
        <v>16</v>
      </c>
      <c r="G18" s="2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">
      <c r="A19" s="21" t="s">
        <v>1746</v>
      </c>
      <c r="B19" s="21" t="s">
        <v>17</v>
      </c>
      <c r="G19" s="2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">
      <c r="A20" s="21" t="s">
        <v>1747</v>
      </c>
      <c r="B20" s="21" t="s">
        <v>18</v>
      </c>
      <c r="G20" s="2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">
      <c r="A21" s="21" t="s">
        <v>1748</v>
      </c>
      <c r="B21" s="21" t="s">
        <v>19</v>
      </c>
      <c r="G21" s="2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">
      <c r="A22" s="21" t="s">
        <v>1749</v>
      </c>
      <c r="B22" s="21" t="s">
        <v>20</v>
      </c>
      <c r="G22" s="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">
      <c r="A23" s="21" t="s">
        <v>1750</v>
      </c>
      <c r="B23" s="21" t="s">
        <v>21</v>
      </c>
      <c r="G23" s="2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">
      <c r="A24" s="21" t="s">
        <v>1751</v>
      </c>
      <c r="B24" s="21" t="s">
        <v>22</v>
      </c>
      <c r="G24" s="2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">
      <c r="A25" s="21" t="s">
        <v>1752</v>
      </c>
      <c r="B25" s="21" t="s">
        <v>23</v>
      </c>
      <c r="G25" s="2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">
      <c r="A26" s="21" t="s">
        <v>1753</v>
      </c>
      <c r="B26" s="21" t="s">
        <v>24</v>
      </c>
      <c r="G26" s="2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">
      <c r="A27" s="21" t="s">
        <v>1754</v>
      </c>
      <c r="B27" s="21" t="s">
        <v>25</v>
      </c>
      <c r="G27" s="2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">
      <c r="A28" s="21" t="s">
        <v>1755</v>
      </c>
      <c r="B28" s="21" t="s">
        <v>26</v>
      </c>
      <c r="G28" s="2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">
      <c r="A29" s="21" t="s">
        <v>1756</v>
      </c>
      <c r="B29" s="21" t="s">
        <v>27</v>
      </c>
      <c r="G29" s="2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">
      <c r="A30" s="21" t="s">
        <v>1757</v>
      </c>
      <c r="B30" s="21" t="s">
        <v>28</v>
      </c>
      <c r="G30" s="2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">
      <c r="A31" s="21" t="s">
        <v>1758</v>
      </c>
      <c r="B31" s="21" t="s">
        <v>29</v>
      </c>
      <c r="G31" s="2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">
      <c r="A32" s="21" t="s">
        <v>1759</v>
      </c>
      <c r="B32" s="21" t="s">
        <v>30</v>
      </c>
      <c r="G32" s="2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">
      <c r="A33" s="21" t="s">
        <v>1760</v>
      </c>
      <c r="B33" s="21" t="s">
        <v>1562</v>
      </c>
      <c r="G33" s="2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">
      <c r="A34" s="21" t="s">
        <v>1761</v>
      </c>
      <c r="B34" s="21" t="s">
        <v>31</v>
      </c>
      <c r="G34" s="2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">
      <c r="A35" s="21" t="s">
        <v>1762</v>
      </c>
      <c r="B35" s="21" t="s">
        <v>1536</v>
      </c>
      <c r="G35" s="2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">
      <c r="A36" s="21" t="s">
        <v>1763</v>
      </c>
      <c r="B36" s="21" t="s">
        <v>1537</v>
      </c>
      <c r="G36" s="2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">
      <c r="A37" s="21" t="s">
        <v>1764</v>
      </c>
      <c r="B37" s="21" t="s">
        <v>32</v>
      </c>
      <c r="G37" s="2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">
      <c r="A38" s="21" t="s">
        <v>1765</v>
      </c>
      <c r="B38" s="21" t="s">
        <v>33</v>
      </c>
      <c r="G38" s="2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">
      <c r="A39" s="21" t="s">
        <v>1766</v>
      </c>
      <c r="B39" s="21" t="s">
        <v>34</v>
      </c>
      <c r="G39" s="2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">
      <c r="A40" s="21" t="s">
        <v>1767</v>
      </c>
      <c r="B40" s="21" t="s">
        <v>35</v>
      </c>
      <c r="G40" s="2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">
      <c r="A41" s="21" t="s">
        <v>1768</v>
      </c>
      <c r="B41" s="21" t="s">
        <v>36</v>
      </c>
      <c r="G41" s="2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">
      <c r="A42" s="21" t="s">
        <v>1769</v>
      </c>
      <c r="B42" s="21" t="s">
        <v>37</v>
      </c>
      <c r="G42" s="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">
      <c r="A43" s="21" t="s">
        <v>1770</v>
      </c>
      <c r="B43" s="21" t="s">
        <v>38</v>
      </c>
      <c r="G43" s="2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">
      <c r="A44" s="21" t="s">
        <v>1771</v>
      </c>
      <c r="B44" s="21" t="s">
        <v>39</v>
      </c>
      <c r="G44" s="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2">
      <c r="A45" s="21" t="s">
        <v>1772</v>
      </c>
      <c r="B45" s="21" t="s">
        <v>40</v>
      </c>
      <c r="G45" s="2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2">
      <c r="A46" s="21" t="s">
        <v>1773</v>
      </c>
      <c r="B46" s="21" t="s">
        <v>41</v>
      </c>
      <c r="G46" s="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2">
      <c r="A47" s="21" t="s">
        <v>1774</v>
      </c>
      <c r="B47" s="21" t="s">
        <v>42</v>
      </c>
      <c r="G47" s="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2">
      <c r="A48" s="21" t="s">
        <v>1775</v>
      </c>
      <c r="B48" s="21" t="s">
        <v>1534</v>
      </c>
      <c r="G48" s="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2">
      <c r="A49" s="21" t="s">
        <v>1776</v>
      </c>
      <c r="B49" s="21" t="s">
        <v>43</v>
      </c>
      <c r="G49" s="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2">
      <c r="A50" s="21" t="s">
        <v>1777</v>
      </c>
      <c r="B50" s="21" t="s">
        <v>44</v>
      </c>
      <c r="G50" s="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2">
      <c r="A51" s="21" t="s">
        <v>1778</v>
      </c>
      <c r="B51" s="21" t="s">
        <v>45</v>
      </c>
      <c r="G51" s="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2">
      <c r="A52" s="21" t="s">
        <v>1779</v>
      </c>
      <c r="B52" s="21" t="s">
        <v>1541</v>
      </c>
      <c r="G52" s="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2">
      <c r="A53" s="21" t="s">
        <v>1780</v>
      </c>
      <c r="B53" s="21" t="s">
        <v>46</v>
      </c>
      <c r="G53" s="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2">
      <c r="A54" s="21" t="s">
        <v>1781</v>
      </c>
      <c r="B54" s="21" t="s">
        <v>47</v>
      </c>
      <c r="G54" s="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2">
      <c r="A55" s="21" t="s">
        <v>1782</v>
      </c>
      <c r="B55" s="21" t="s">
        <v>48</v>
      </c>
      <c r="G55" s="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2">
      <c r="A56" s="21" t="s">
        <v>1783</v>
      </c>
      <c r="B56" s="21" t="s">
        <v>1539</v>
      </c>
      <c r="G56" s="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2">
      <c r="A57" s="21" t="s">
        <v>1784</v>
      </c>
      <c r="B57" s="21" t="s">
        <v>49</v>
      </c>
      <c r="G57" s="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2">
      <c r="A58" s="21" t="s">
        <v>1785</v>
      </c>
      <c r="B58" s="21" t="s">
        <v>50</v>
      </c>
      <c r="G58" s="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2">
      <c r="A59" s="21" t="s">
        <v>1786</v>
      </c>
      <c r="B59" s="21" t="s">
        <v>51</v>
      </c>
      <c r="G59" s="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2">
      <c r="A60" s="21" t="s">
        <v>1787</v>
      </c>
      <c r="B60" s="21" t="s">
        <v>52</v>
      </c>
      <c r="G60" s="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2">
      <c r="A61" s="21" t="s">
        <v>1788</v>
      </c>
      <c r="B61" s="21" t="s">
        <v>53</v>
      </c>
      <c r="G61" s="2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2">
      <c r="A62" s="21" t="s">
        <v>1789</v>
      </c>
      <c r="B62" s="21" t="s">
        <v>54</v>
      </c>
      <c r="G62" s="2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2">
      <c r="A63" s="21" t="s">
        <v>1790</v>
      </c>
      <c r="B63" s="21" t="s">
        <v>55</v>
      </c>
      <c r="G63" s="2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2">
      <c r="A64" s="21" t="s">
        <v>1791</v>
      </c>
      <c r="B64" s="21" t="s">
        <v>56</v>
      </c>
      <c r="G64" s="2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2">
      <c r="A65" s="21" t="s">
        <v>1792</v>
      </c>
      <c r="B65" s="21" t="s">
        <v>57</v>
      </c>
      <c r="G65" s="2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2">
      <c r="A66" s="21" t="s">
        <v>1793</v>
      </c>
      <c r="B66" s="21" t="s">
        <v>1542</v>
      </c>
      <c r="G66" s="2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2">
      <c r="A67" s="21" t="s">
        <v>1794</v>
      </c>
      <c r="B67" s="21" t="s">
        <v>58</v>
      </c>
      <c r="G67" s="2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2">
      <c r="A68" s="21" t="s">
        <v>1795</v>
      </c>
      <c r="B68" s="21" t="s">
        <v>59</v>
      </c>
      <c r="G68" s="2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2">
      <c r="A69" s="21" t="s">
        <v>1796</v>
      </c>
      <c r="B69" s="21" t="s">
        <v>1571</v>
      </c>
      <c r="G69" s="2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2">
      <c r="A70" s="21" t="s">
        <v>1797</v>
      </c>
      <c r="B70" s="21" t="s">
        <v>60</v>
      </c>
      <c r="G70" s="2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2">
      <c r="A71" s="21" t="s">
        <v>1798</v>
      </c>
      <c r="B71" s="21" t="s">
        <v>61</v>
      </c>
      <c r="G71" s="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2">
      <c r="A72" s="21" t="s">
        <v>1799</v>
      </c>
      <c r="B72" s="21" t="s">
        <v>62</v>
      </c>
      <c r="G72" s="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2">
      <c r="A73" s="21" t="s">
        <v>1800</v>
      </c>
      <c r="B73" s="21" t="s">
        <v>1543</v>
      </c>
      <c r="G73" s="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2">
      <c r="A74" s="21" t="s">
        <v>1801</v>
      </c>
      <c r="B74" s="21" t="s">
        <v>63</v>
      </c>
      <c r="G74" s="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2">
      <c r="A75" s="21" t="s">
        <v>1802</v>
      </c>
      <c r="B75" s="21" t="s">
        <v>64</v>
      </c>
      <c r="G75" s="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2">
      <c r="A76" s="21" t="s">
        <v>1803</v>
      </c>
      <c r="B76" s="21" t="s">
        <v>65</v>
      </c>
      <c r="G76" s="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2">
      <c r="A77" s="21" t="s">
        <v>1804</v>
      </c>
      <c r="B77" s="21" t="s">
        <v>66</v>
      </c>
      <c r="G77" s="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2">
      <c r="A78" s="21" t="s">
        <v>1805</v>
      </c>
      <c r="B78" s="21" t="s">
        <v>67</v>
      </c>
      <c r="G78" s="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2">
      <c r="A79" s="21" t="s">
        <v>1806</v>
      </c>
      <c r="B79" s="21" t="s">
        <v>1544</v>
      </c>
      <c r="G79" s="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2">
      <c r="A80" s="21" t="s">
        <v>1807</v>
      </c>
      <c r="B80" s="21" t="s">
        <v>68</v>
      </c>
      <c r="G80" s="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2">
      <c r="A81" s="21" t="s">
        <v>1808</v>
      </c>
      <c r="B81" s="21" t="s">
        <v>1545</v>
      </c>
      <c r="G81" s="2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2">
      <c r="A82" s="21" t="s">
        <v>1809</v>
      </c>
      <c r="B82" s="21" t="s">
        <v>69</v>
      </c>
      <c r="G82" s="2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">
      <c r="A83" s="21" t="s">
        <v>1810</v>
      </c>
      <c r="B83" s="21" t="s">
        <v>70</v>
      </c>
      <c r="G83" s="2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">
      <c r="A84" s="21" t="s">
        <v>1811</v>
      </c>
      <c r="B84" s="21" t="s">
        <v>71</v>
      </c>
      <c r="G84" s="2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">
      <c r="A85" s="21" t="s">
        <v>1812</v>
      </c>
      <c r="B85" s="21" t="s">
        <v>72</v>
      </c>
      <c r="G85" s="2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">
      <c r="A86" s="21" t="s">
        <v>1813</v>
      </c>
      <c r="B86" s="21" t="s">
        <v>73</v>
      </c>
      <c r="G86" s="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">
      <c r="A87" s="21" t="s">
        <v>1814</v>
      </c>
      <c r="B87" s="21" t="s">
        <v>74</v>
      </c>
      <c r="G87" s="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">
      <c r="A88" s="21" t="s">
        <v>1815</v>
      </c>
      <c r="B88" s="21" t="s">
        <v>75</v>
      </c>
      <c r="G88" s="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">
      <c r="A89" s="21" t="s">
        <v>1816</v>
      </c>
      <c r="B89" s="21" t="s">
        <v>76</v>
      </c>
      <c r="G89" s="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">
      <c r="A90" s="21" t="s">
        <v>1817</v>
      </c>
      <c r="B90" s="21" t="s">
        <v>77</v>
      </c>
      <c r="G90" s="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">
      <c r="A91" s="21" t="s">
        <v>1818</v>
      </c>
      <c r="B91" s="21" t="s">
        <v>78</v>
      </c>
      <c r="G91" s="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">
      <c r="A92" s="21" t="s">
        <v>1819</v>
      </c>
      <c r="B92" s="21" t="s">
        <v>79</v>
      </c>
      <c r="G92" s="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">
      <c r="A93" s="21" t="s">
        <v>1820</v>
      </c>
      <c r="B93" s="21" t="s">
        <v>80</v>
      </c>
      <c r="G93" s="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">
      <c r="A94" s="21" t="s">
        <v>1821</v>
      </c>
      <c r="B94" s="21" t="s">
        <v>81</v>
      </c>
      <c r="G94" s="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">
      <c r="A95" s="21" t="s">
        <v>1822</v>
      </c>
      <c r="B95" s="21" t="s">
        <v>82</v>
      </c>
      <c r="G95" s="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">
      <c r="A96" s="21" t="s">
        <v>1823</v>
      </c>
      <c r="B96" s="21" t="s">
        <v>83</v>
      </c>
      <c r="G96" s="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">
      <c r="A97" s="21" t="s">
        <v>1824</v>
      </c>
      <c r="B97" s="21" t="s">
        <v>84</v>
      </c>
      <c r="G97" s="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">
      <c r="A98" s="21" t="s">
        <v>1825</v>
      </c>
      <c r="B98" s="21" t="s">
        <v>85</v>
      </c>
      <c r="G98" s="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">
      <c r="A99" s="21" t="s">
        <v>1826</v>
      </c>
      <c r="B99" s="21" t="s">
        <v>86</v>
      </c>
      <c r="G99" s="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">
      <c r="A100" s="21" t="s">
        <v>1827</v>
      </c>
      <c r="B100" s="21" t="s">
        <v>87</v>
      </c>
      <c r="G100" s="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2">
      <c r="A101" s="21" t="s">
        <v>1828</v>
      </c>
      <c r="B101" s="21" t="s">
        <v>1650</v>
      </c>
      <c r="G101" s="2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2">
      <c r="A102" s="21" t="s">
        <v>1829</v>
      </c>
      <c r="B102" s="21" t="s">
        <v>88</v>
      </c>
      <c r="G102" s="2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2">
      <c r="A103" s="21" t="s">
        <v>1830</v>
      </c>
      <c r="B103" s="21" t="s">
        <v>89</v>
      </c>
      <c r="G103" s="2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2">
      <c r="A104" s="21" t="s">
        <v>1831</v>
      </c>
      <c r="B104" s="21" t="s">
        <v>90</v>
      </c>
      <c r="G104" s="2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2">
      <c r="A105" s="21" t="s">
        <v>1832</v>
      </c>
      <c r="B105" s="21" t="s">
        <v>91</v>
      </c>
      <c r="G105" s="2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2">
      <c r="A106" s="21" t="s">
        <v>1833</v>
      </c>
      <c r="B106" s="21" t="s">
        <v>92</v>
      </c>
      <c r="G106" s="2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2">
      <c r="A107" s="21" t="s">
        <v>1834</v>
      </c>
      <c r="B107" s="21" t="s">
        <v>93</v>
      </c>
      <c r="G107" s="2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2">
      <c r="A108" s="21" t="s">
        <v>1835</v>
      </c>
      <c r="B108" s="21" t="s">
        <v>94</v>
      </c>
      <c r="G108" s="2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2">
      <c r="A109" s="21" t="s">
        <v>1836</v>
      </c>
      <c r="B109" s="21" t="s">
        <v>1546</v>
      </c>
      <c r="G109" s="2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2">
      <c r="A110" s="21" t="s">
        <v>1837</v>
      </c>
      <c r="B110" s="21" t="s">
        <v>95</v>
      </c>
      <c r="G110" s="2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2">
      <c r="A111" s="21" t="s">
        <v>1838</v>
      </c>
      <c r="B111" s="21" t="s">
        <v>96</v>
      </c>
      <c r="G111" s="2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2">
      <c r="A112" s="21" t="s">
        <v>1839</v>
      </c>
      <c r="B112" s="21" t="s">
        <v>97</v>
      </c>
      <c r="G112" s="2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2">
      <c r="A113" s="21" t="s">
        <v>1840</v>
      </c>
      <c r="B113" s="21" t="s">
        <v>98</v>
      </c>
      <c r="G113" s="2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2">
      <c r="A114" s="21" t="s">
        <v>1841</v>
      </c>
      <c r="B114" s="21" t="s">
        <v>99</v>
      </c>
      <c r="G114" s="2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2">
      <c r="A115" s="21" t="s">
        <v>1842</v>
      </c>
      <c r="B115" s="21" t="s">
        <v>100</v>
      </c>
      <c r="G115" s="2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2">
      <c r="A116" s="21" t="s">
        <v>1843</v>
      </c>
      <c r="B116" s="21" t="s">
        <v>101</v>
      </c>
      <c r="G116" s="2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2">
      <c r="A117" s="21" t="s">
        <v>1844</v>
      </c>
      <c r="B117" s="21" t="s">
        <v>102</v>
      </c>
      <c r="G117" s="2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2">
      <c r="A118" s="21" t="s">
        <v>1845</v>
      </c>
      <c r="B118" s="21" t="s">
        <v>103</v>
      </c>
      <c r="G118" s="2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2">
      <c r="A119" s="21" t="s">
        <v>1846</v>
      </c>
      <c r="B119" s="21" t="s">
        <v>104</v>
      </c>
      <c r="G119" s="2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2">
      <c r="A120" s="21" t="s">
        <v>1847</v>
      </c>
      <c r="B120" s="21" t="s">
        <v>105</v>
      </c>
      <c r="G120" s="2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2">
      <c r="A121" s="21" t="s">
        <v>1848</v>
      </c>
      <c r="B121" s="21" t="s">
        <v>106</v>
      </c>
      <c r="G121" s="2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2">
      <c r="A122" s="21" t="s">
        <v>1849</v>
      </c>
      <c r="B122" s="21" t="s">
        <v>107</v>
      </c>
      <c r="G122" s="2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2">
      <c r="A123" s="21" t="s">
        <v>1850</v>
      </c>
      <c r="B123" s="21" t="s">
        <v>108</v>
      </c>
      <c r="G123" s="2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2">
      <c r="A124" s="21" t="s">
        <v>1851</v>
      </c>
      <c r="B124" s="21" t="s">
        <v>109</v>
      </c>
      <c r="G124" s="2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2">
      <c r="A125" s="21" t="s">
        <v>1852</v>
      </c>
      <c r="B125" s="21" t="s">
        <v>110</v>
      </c>
      <c r="G125" s="2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2">
      <c r="A126" s="21" t="s">
        <v>1853</v>
      </c>
      <c r="B126" s="21" t="s">
        <v>111</v>
      </c>
      <c r="G126" s="2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2">
      <c r="A127" s="21" t="s">
        <v>1854</v>
      </c>
      <c r="B127" s="21" t="s">
        <v>1548</v>
      </c>
      <c r="G127" s="2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2">
      <c r="A128" s="21" t="s">
        <v>1855</v>
      </c>
      <c r="B128" s="21" t="s">
        <v>1547</v>
      </c>
      <c r="G128" s="2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2">
      <c r="A129" s="21" t="s">
        <v>1856</v>
      </c>
      <c r="B129" s="21" t="s">
        <v>112</v>
      </c>
      <c r="G129" s="2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2">
      <c r="A130" s="21" t="s">
        <v>1857</v>
      </c>
      <c r="B130" s="21" t="s">
        <v>113</v>
      </c>
      <c r="G130" s="2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2">
      <c r="A131" s="21" t="s">
        <v>1858</v>
      </c>
      <c r="B131" s="21" t="s">
        <v>114</v>
      </c>
      <c r="G131" s="2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2">
      <c r="A132" s="21" t="s">
        <v>1859</v>
      </c>
      <c r="B132" s="21" t="s">
        <v>115</v>
      </c>
      <c r="G132" s="2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2">
      <c r="A133" s="21" t="s">
        <v>1860</v>
      </c>
      <c r="B133" s="21" t="s">
        <v>116</v>
      </c>
      <c r="G133" s="2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2">
      <c r="A134" s="21" t="s">
        <v>1861</v>
      </c>
      <c r="B134" s="21" t="s">
        <v>1697</v>
      </c>
      <c r="G134" s="2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2">
      <c r="A135" s="21" t="s">
        <v>1862</v>
      </c>
      <c r="B135" s="21" t="s">
        <v>1538</v>
      </c>
      <c r="G135" s="2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2">
      <c r="A136" s="21" t="s">
        <v>1863</v>
      </c>
      <c r="B136" s="21" t="s">
        <v>117</v>
      </c>
      <c r="G136" s="2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2">
      <c r="A137" s="21" t="s">
        <v>1864</v>
      </c>
      <c r="B137" s="21" t="s">
        <v>118</v>
      </c>
      <c r="G137" s="2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2">
      <c r="A138" s="21" t="s">
        <v>1865</v>
      </c>
      <c r="B138" s="21" t="s">
        <v>119</v>
      </c>
      <c r="G138" s="2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2">
      <c r="A139" s="21" t="s">
        <v>1866</v>
      </c>
      <c r="B139" s="21" t="s">
        <v>120</v>
      </c>
      <c r="G139" s="2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2">
      <c r="A140" s="21" t="s">
        <v>1867</v>
      </c>
      <c r="B140" s="21" t="s">
        <v>121</v>
      </c>
      <c r="G140" s="2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2">
      <c r="A141" s="21" t="s">
        <v>1868</v>
      </c>
      <c r="B141" s="21" t="s">
        <v>122</v>
      </c>
      <c r="G141" s="2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2">
      <c r="A142" s="21" t="s">
        <v>1869</v>
      </c>
      <c r="B142" s="21" t="s">
        <v>123</v>
      </c>
      <c r="G142" s="2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2">
      <c r="A143" s="21" t="s">
        <v>1870</v>
      </c>
      <c r="B143" s="21" t="s">
        <v>124</v>
      </c>
      <c r="G143" s="2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2">
      <c r="A144" s="21" t="s">
        <v>1871</v>
      </c>
      <c r="B144" s="21" t="s">
        <v>125</v>
      </c>
      <c r="G144" s="2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2">
      <c r="A145" s="21" t="s">
        <v>1872</v>
      </c>
      <c r="B145" s="21" t="s">
        <v>126</v>
      </c>
      <c r="G145" s="2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2">
      <c r="A146" s="21" t="s">
        <v>1873</v>
      </c>
      <c r="B146" s="21" t="s">
        <v>1549</v>
      </c>
      <c r="G146" s="2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2">
      <c r="A147" s="21" t="s">
        <v>1874</v>
      </c>
      <c r="B147" s="21" t="s">
        <v>127</v>
      </c>
      <c r="G147" s="2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2">
      <c r="A148" s="21" t="s">
        <v>1875</v>
      </c>
      <c r="B148" s="21" t="s">
        <v>128</v>
      </c>
      <c r="G148" s="2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2">
      <c r="A149" s="21" t="s">
        <v>1876</v>
      </c>
      <c r="B149" s="21" t="s">
        <v>129</v>
      </c>
      <c r="G149" s="2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2">
      <c r="A150" s="21" t="s">
        <v>1877</v>
      </c>
      <c r="B150" s="21" t="s">
        <v>130</v>
      </c>
      <c r="G150" s="2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2">
      <c r="A151" s="21" t="s">
        <v>1878</v>
      </c>
      <c r="B151" s="21" t="s">
        <v>131</v>
      </c>
      <c r="G151" s="2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2">
      <c r="A152" s="21" t="s">
        <v>1879</v>
      </c>
      <c r="B152" s="21" t="s">
        <v>132</v>
      </c>
      <c r="G152" s="2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2">
      <c r="A153" s="21" t="s">
        <v>1880</v>
      </c>
      <c r="B153" s="21" t="s">
        <v>133</v>
      </c>
      <c r="G153" s="2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2">
      <c r="A154" s="21" t="s">
        <v>1881</v>
      </c>
      <c r="B154" s="21" t="s">
        <v>134</v>
      </c>
      <c r="G154" s="2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2">
      <c r="A155" s="21" t="s">
        <v>1882</v>
      </c>
      <c r="B155" s="21" t="s">
        <v>135</v>
      </c>
      <c r="G155" s="2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2">
      <c r="A156" s="21" t="s">
        <v>1883</v>
      </c>
      <c r="B156" s="21" t="s">
        <v>136</v>
      </c>
      <c r="G156" s="2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2">
      <c r="A157" s="21" t="s">
        <v>1884</v>
      </c>
      <c r="B157" s="21" t="s">
        <v>137</v>
      </c>
      <c r="G157" s="2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2">
      <c r="A158" s="21" t="s">
        <v>1885</v>
      </c>
      <c r="B158" s="21" t="s">
        <v>1611</v>
      </c>
      <c r="G158" s="2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2">
      <c r="A159" s="21" t="s">
        <v>1886</v>
      </c>
      <c r="B159" s="21" t="s">
        <v>138</v>
      </c>
      <c r="G159" s="2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2">
      <c r="A160" s="21" t="s">
        <v>1887</v>
      </c>
      <c r="B160" s="21" t="s">
        <v>139</v>
      </c>
      <c r="G160" s="2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2">
      <c r="A161" s="21" t="s">
        <v>1888</v>
      </c>
      <c r="B161" s="21" t="s">
        <v>140</v>
      </c>
      <c r="G161" s="2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2">
      <c r="A162" s="21" t="s">
        <v>1889</v>
      </c>
      <c r="B162" s="21" t="s">
        <v>1550</v>
      </c>
      <c r="G162" s="2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2">
      <c r="A163" s="21" t="s">
        <v>1890</v>
      </c>
      <c r="B163" s="21" t="s">
        <v>141</v>
      </c>
      <c r="G163" s="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2">
      <c r="A164" s="21" t="s">
        <v>1891</v>
      </c>
      <c r="B164" s="21" t="s">
        <v>142</v>
      </c>
      <c r="G164" s="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2">
      <c r="A165" s="21" t="s">
        <v>1892</v>
      </c>
      <c r="B165" s="21" t="s">
        <v>143</v>
      </c>
      <c r="G165" s="2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2">
      <c r="A166" s="21" t="s">
        <v>1893</v>
      </c>
      <c r="B166" s="21" t="s">
        <v>144</v>
      </c>
      <c r="G166" s="2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2">
      <c r="A167" s="21" t="s">
        <v>1894</v>
      </c>
      <c r="B167" s="21" t="s">
        <v>145</v>
      </c>
      <c r="G167" s="2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2">
      <c r="A168" s="21" t="s">
        <v>1895</v>
      </c>
      <c r="B168" s="21" t="s">
        <v>146</v>
      </c>
      <c r="G168" s="2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2">
      <c r="A169" s="21" t="s">
        <v>1896</v>
      </c>
      <c r="B169" s="21" t="s">
        <v>147</v>
      </c>
      <c r="G169" s="2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2">
      <c r="A170" s="21" t="s">
        <v>1897</v>
      </c>
      <c r="B170" s="21" t="s">
        <v>148</v>
      </c>
      <c r="G170" s="2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2">
      <c r="A171" s="21" t="s">
        <v>1898</v>
      </c>
      <c r="B171" s="21" t="s">
        <v>149</v>
      </c>
      <c r="G171" s="2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2">
      <c r="A172" s="21" t="s">
        <v>1899</v>
      </c>
      <c r="B172" s="21" t="s">
        <v>1551</v>
      </c>
      <c r="G172" s="2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2">
      <c r="A173" s="21" t="s">
        <v>1900</v>
      </c>
      <c r="B173" s="21" t="s">
        <v>150</v>
      </c>
      <c r="G173" s="2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2">
      <c r="A174" s="21" t="s">
        <v>1901</v>
      </c>
      <c r="B174" s="21" t="s">
        <v>151</v>
      </c>
      <c r="G174" s="2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2">
      <c r="A175" s="21" t="s">
        <v>1902</v>
      </c>
      <c r="B175" s="21" t="s">
        <v>152</v>
      </c>
      <c r="G175" s="2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2">
      <c r="A176" s="21" t="s">
        <v>1903</v>
      </c>
      <c r="B176" s="21" t="s">
        <v>153</v>
      </c>
      <c r="G176" s="2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2">
      <c r="A177" s="21" t="s">
        <v>1904</v>
      </c>
      <c r="B177" s="21" t="s">
        <v>154</v>
      </c>
      <c r="G177" s="2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2">
      <c r="A178" s="21" t="s">
        <v>1905</v>
      </c>
      <c r="B178" s="21" t="s">
        <v>155</v>
      </c>
      <c r="G178" s="2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2">
      <c r="A179" s="21" t="s">
        <v>1906</v>
      </c>
      <c r="B179" s="21" t="s">
        <v>156</v>
      </c>
      <c r="G179" s="2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2">
      <c r="A180" s="21" t="s">
        <v>1907</v>
      </c>
      <c r="B180" s="21" t="s">
        <v>157</v>
      </c>
      <c r="G180" s="2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2">
      <c r="A181" s="21" t="s">
        <v>1908</v>
      </c>
      <c r="B181" s="21" t="s">
        <v>158</v>
      </c>
      <c r="G181" s="2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2">
      <c r="A182" s="21" t="s">
        <v>1909</v>
      </c>
      <c r="B182" s="21" t="s">
        <v>159</v>
      </c>
      <c r="G182" s="2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2">
      <c r="A183" s="21" t="s">
        <v>1910</v>
      </c>
      <c r="B183" s="21" t="s">
        <v>160</v>
      </c>
      <c r="G183" s="2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2">
      <c r="A184" s="21" t="s">
        <v>1911</v>
      </c>
      <c r="B184" s="21" t="s">
        <v>161</v>
      </c>
      <c r="G184" s="2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2">
      <c r="A185" s="21" t="s">
        <v>1912</v>
      </c>
      <c r="B185" s="21" t="s">
        <v>162</v>
      </c>
      <c r="G185" s="2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2">
      <c r="A186" s="21" t="s">
        <v>1913</v>
      </c>
      <c r="B186" s="21" t="s">
        <v>163</v>
      </c>
      <c r="G186" s="2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2">
      <c r="A187" s="21" t="s">
        <v>1914</v>
      </c>
      <c r="B187" s="21" t="s">
        <v>164</v>
      </c>
      <c r="G187" s="2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2">
      <c r="A188" s="21" t="s">
        <v>1915</v>
      </c>
      <c r="B188" s="21" t="s">
        <v>165</v>
      </c>
      <c r="G188" s="2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2">
      <c r="A189" s="21" t="s">
        <v>1916</v>
      </c>
      <c r="B189" s="21" t="s">
        <v>166</v>
      </c>
      <c r="G189" s="2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2">
      <c r="A190" s="21" t="s">
        <v>1917</v>
      </c>
      <c r="B190" s="21" t="s">
        <v>167</v>
      </c>
      <c r="G190" s="2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2">
      <c r="A191" s="21" t="s">
        <v>1918</v>
      </c>
      <c r="B191" s="21" t="s">
        <v>168</v>
      </c>
      <c r="G191" s="2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2">
      <c r="A192" s="21" t="s">
        <v>1919</v>
      </c>
      <c r="B192" s="21" t="s">
        <v>169</v>
      </c>
      <c r="G192" s="2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2">
      <c r="A193" s="21" t="s">
        <v>1920</v>
      </c>
      <c r="B193" s="21" t="s">
        <v>170</v>
      </c>
      <c r="G193" s="2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2">
      <c r="A194" s="21" t="s">
        <v>1921</v>
      </c>
      <c r="B194" s="21" t="s">
        <v>171</v>
      </c>
      <c r="G194" s="2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2">
      <c r="A195" s="21" t="s">
        <v>1922</v>
      </c>
      <c r="B195" s="21" t="s">
        <v>172</v>
      </c>
      <c r="G195" s="2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2">
      <c r="A196" s="21" t="s">
        <v>1923</v>
      </c>
      <c r="B196" s="21" t="s">
        <v>173</v>
      </c>
      <c r="G196" s="2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2">
      <c r="A197" s="21" t="s">
        <v>1924</v>
      </c>
      <c r="B197" s="21" t="s">
        <v>174</v>
      </c>
      <c r="G197" s="2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2">
      <c r="A198" s="21" t="s">
        <v>1925</v>
      </c>
      <c r="B198" s="21" t="s">
        <v>175</v>
      </c>
      <c r="G198" s="2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2">
      <c r="A199" s="21" t="s">
        <v>1926</v>
      </c>
      <c r="B199" s="21" t="s">
        <v>176</v>
      </c>
      <c r="G199" s="2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2">
      <c r="A200" s="21" t="s">
        <v>1927</v>
      </c>
      <c r="B200" s="21" t="s">
        <v>177</v>
      </c>
      <c r="G200" s="2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2">
      <c r="A201" s="21" t="s">
        <v>1928</v>
      </c>
      <c r="B201" s="21" t="s">
        <v>178</v>
      </c>
      <c r="G201" s="2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2">
      <c r="A202" s="21" t="s">
        <v>1929</v>
      </c>
      <c r="B202" s="21" t="s">
        <v>179</v>
      </c>
      <c r="G202" s="2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x14ac:dyDescent="0.2">
      <c r="A203" s="21" t="s">
        <v>1930</v>
      </c>
      <c r="B203" s="21" t="s">
        <v>1553</v>
      </c>
      <c r="G203" s="2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x14ac:dyDescent="0.2">
      <c r="A204" s="21" t="s">
        <v>1931</v>
      </c>
      <c r="B204" s="21" t="s">
        <v>180</v>
      </c>
      <c r="G204" s="2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x14ac:dyDescent="0.2">
      <c r="A205" s="21" t="s">
        <v>1932</v>
      </c>
      <c r="B205" s="21" t="s">
        <v>181</v>
      </c>
      <c r="G205" s="2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x14ac:dyDescent="0.2">
      <c r="A206" s="21" t="s">
        <v>1933</v>
      </c>
      <c r="B206" s="21" t="s">
        <v>1554</v>
      </c>
      <c r="G206" s="2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x14ac:dyDescent="0.2">
      <c r="A207" s="21" t="s">
        <v>1934</v>
      </c>
      <c r="B207" s="21" t="s">
        <v>1555</v>
      </c>
      <c r="G207" s="2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x14ac:dyDescent="0.2">
      <c r="A208" s="21" t="s">
        <v>1935</v>
      </c>
      <c r="B208" s="21" t="s">
        <v>182</v>
      </c>
      <c r="G208" s="2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x14ac:dyDescent="0.2">
      <c r="A209" s="21" t="s">
        <v>1936</v>
      </c>
      <c r="B209" s="21" t="s">
        <v>183</v>
      </c>
      <c r="G209" s="2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x14ac:dyDescent="0.2">
      <c r="A210" s="21" t="s">
        <v>1937</v>
      </c>
      <c r="B210" s="21" t="s">
        <v>184</v>
      </c>
      <c r="G210" s="2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x14ac:dyDescent="0.2">
      <c r="A211" s="21" t="s">
        <v>1938</v>
      </c>
      <c r="B211" s="21" t="s">
        <v>185</v>
      </c>
      <c r="G211" s="2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x14ac:dyDescent="0.2">
      <c r="A212" s="21" t="s">
        <v>1939</v>
      </c>
      <c r="B212" s="21" t="s">
        <v>186</v>
      </c>
      <c r="G212" s="2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x14ac:dyDescent="0.2">
      <c r="A213" s="21" t="s">
        <v>1940</v>
      </c>
      <c r="B213" s="21" t="s">
        <v>187</v>
      </c>
      <c r="G213" s="2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x14ac:dyDescent="0.2">
      <c r="A214" s="21" t="s">
        <v>1941</v>
      </c>
      <c r="B214" s="21" t="s">
        <v>188</v>
      </c>
      <c r="G214" s="2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x14ac:dyDescent="0.2">
      <c r="A215" s="21" t="s">
        <v>1942</v>
      </c>
      <c r="B215" s="21" t="s">
        <v>189</v>
      </c>
      <c r="G215" s="2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x14ac:dyDescent="0.2">
      <c r="A216" s="21" t="s">
        <v>1943</v>
      </c>
      <c r="B216" s="21" t="s">
        <v>1556</v>
      </c>
      <c r="G216" s="2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x14ac:dyDescent="0.2">
      <c r="A217" s="21" t="s">
        <v>1944</v>
      </c>
      <c r="B217" s="21" t="s">
        <v>190</v>
      </c>
      <c r="G217" s="2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x14ac:dyDescent="0.2">
      <c r="A218" s="21" t="s">
        <v>1945</v>
      </c>
      <c r="B218" s="21" t="s">
        <v>191</v>
      </c>
      <c r="G218" s="2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x14ac:dyDescent="0.2">
      <c r="A219" s="21" t="s">
        <v>1946</v>
      </c>
      <c r="B219" s="21" t="s">
        <v>192</v>
      </c>
      <c r="G219" s="2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x14ac:dyDescent="0.2">
      <c r="A220" s="21" t="s">
        <v>1947</v>
      </c>
      <c r="B220" s="21" t="s">
        <v>193</v>
      </c>
      <c r="G220" s="2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x14ac:dyDescent="0.2">
      <c r="A221" s="21" t="s">
        <v>1948</v>
      </c>
      <c r="B221" s="21" t="s">
        <v>194</v>
      </c>
      <c r="G221" s="2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x14ac:dyDescent="0.2">
      <c r="A222" s="21" t="s">
        <v>1949</v>
      </c>
      <c r="B222" s="21" t="s">
        <v>195</v>
      </c>
      <c r="G222" s="2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x14ac:dyDescent="0.2">
      <c r="A223" s="21" t="s">
        <v>1950</v>
      </c>
      <c r="B223" s="21" t="s">
        <v>1560</v>
      </c>
      <c r="G223" s="2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x14ac:dyDescent="0.2">
      <c r="A224" s="21" t="s">
        <v>1951</v>
      </c>
      <c r="B224" s="21" t="s">
        <v>1557</v>
      </c>
      <c r="G224" s="2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x14ac:dyDescent="0.2">
      <c r="A225" s="21" t="s">
        <v>1952</v>
      </c>
      <c r="B225" s="21" t="s">
        <v>196</v>
      </c>
      <c r="G225" s="2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x14ac:dyDescent="0.2">
      <c r="A226" s="21" t="s">
        <v>1953</v>
      </c>
      <c r="B226" s="21" t="s">
        <v>197</v>
      </c>
      <c r="G226" s="2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x14ac:dyDescent="0.2">
      <c r="A227" s="21" t="s">
        <v>1954</v>
      </c>
      <c r="B227" s="21" t="s">
        <v>198</v>
      </c>
      <c r="G227" s="2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x14ac:dyDescent="0.2">
      <c r="A228" s="21" t="s">
        <v>1955</v>
      </c>
      <c r="B228" s="21" t="s">
        <v>199</v>
      </c>
      <c r="G228" s="2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x14ac:dyDescent="0.2">
      <c r="A229" s="21" t="s">
        <v>1956</v>
      </c>
      <c r="B229" s="21" t="s">
        <v>200</v>
      </c>
      <c r="G229" s="2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x14ac:dyDescent="0.2">
      <c r="A230" s="21" t="s">
        <v>1957</v>
      </c>
      <c r="B230" s="21" t="s">
        <v>201</v>
      </c>
      <c r="G230" s="2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x14ac:dyDescent="0.2">
      <c r="A231" s="21" t="s">
        <v>1958</v>
      </c>
      <c r="B231" s="21" t="s">
        <v>202</v>
      </c>
      <c r="G231" s="2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x14ac:dyDescent="0.2">
      <c r="A232" s="21" t="s">
        <v>1959</v>
      </c>
      <c r="B232" s="21" t="s">
        <v>203</v>
      </c>
      <c r="G232" s="2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x14ac:dyDescent="0.2">
      <c r="A233" s="21" t="s">
        <v>1960</v>
      </c>
      <c r="B233" s="21" t="s">
        <v>1558</v>
      </c>
      <c r="G233" s="2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x14ac:dyDescent="0.2">
      <c r="A234" s="21" t="s">
        <v>1961</v>
      </c>
      <c r="B234" s="21" t="s">
        <v>204</v>
      </c>
      <c r="G234" s="2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x14ac:dyDescent="0.2">
      <c r="A235" s="21" t="s">
        <v>1962</v>
      </c>
      <c r="B235" s="21" t="s">
        <v>1552</v>
      </c>
      <c r="G235" s="2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x14ac:dyDescent="0.2">
      <c r="A236" s="21" t="s">
        <v>1963</v>
      </c>
      <c r="B236" s="21" t="s">
        <v>205</v>
      </c>
      <c r="G236" s="2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x14ac:dyDescent="0.2">
      <c r="A237" s="21" t="s">
        <v>1964</v>
      </c>
      <c r="B237" s="21" t="s">
        <v>206</v>
      </c>
      <c r="G237" s="2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x14ac:dyDescent="0.2">
      <c r="A238" s="21" t="s">
        <v>1965</v>
      </c>
      <c r="B238" s="21" t="s">
        <v>207</v>
      </c>
      <c r="G238" s="2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x14ac:dyDescent="0.2">
      <c r="A239" s="21" t="s">
        <v>1966</v>
      </c>
      <c r="B239" s="21" t="s">
        <v>208</v>
      </c>
      <c r="G239" s="2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x14ac:dyDescent="0.2">
      <c r="A240" s="21" t="s">
        <v>1967</v>
      </c>
      <c r="B240" s="21" t="s">
        <v>1559</v>
      </c>
      <c r="G240" s="2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x14ac:dyDescent="0.2">
      <c r="A241" s="21" t="s">
        <v>1968</v>
      </c>
      <c r="B241" s="21" t="s">
        <v>209</v>
      </c>
      <c r="G241" s="2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x14ac:dyDescent="0.2">
      <c r="A242" s="21" t="s">
        <v>1969</v>
      </c>
      <c r="B242" s="21" t="s">
        <v>210</v>
      </c>
      <c r="G242" s="2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x14ac:dyDescent="0.2">
      <c r="A243" s="21" t="s">
        <v>1970</v>
      </c>
      <c r="B243" s="21" t="s">
        <v>211</v>
      </c>
      <c r="G243" s="2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x14ac:dyDescent="0.2">
      <c r="A244" s="21" t="s">
        <v>1971</v>
      </c>
      <c r="B244" s="21" t="s">
        <v>212</v>
      </c>
      <c r="G244" s="2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x14ac:dyDescent="0.2">
      <c r="A245" s="21" t="s">
        <v>1972</v>
      </c>
      <c r="B245" s="21" t="s">
        <v>213</v>
      </c>
      <c r="G245" s="2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x14ac:dyDescent="0.2">
      <c r="A246" s="21" t="s">
        <v>1973</v>
      </c>
      <c r="B246" s="21" t="s">
        <v>214</v>
      </c>
      <c r="G246" s="2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x14ac:dyDescent="0.2">
      <c r="A247" s="21" t="s">
        <v>1974</v>
      </c>
      <c r="B247" s="21" t="s">
        <v>215</v>
      </c>
      <c r="G247" s="2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x14ac:dyDescent="0.2">
      <c r="A248" s="21" t="s">
        <v>1975</v>
      </c>
      <c r="B248" s="21" t="s">
        <v>216</v>
      </c>
      <c r="G248" s="2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x14ac:dyDescent="0.2">
      <c r="A249" s="21" t="s">
        <v>1976</v>
      </c>
      <c r="B249" s="21" t="s">
        <v>217</v>
      </c>
      <c r="G249" s="2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x14ac:dyDescent="0.2">
      <c r="A250" s="21" t="s">
        <v>1977</v>
      </c>
      <c r="B250" s="21" t="s">
        <v>218</v>
      </c>
      <c r="G250" s="2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x14ac:dyDescent="0.2">
      <c r="A251" s="21" t="s">
        <v>1978</v>
      </c>
      <c r="B251" s="21" t="s">
        <v>219</v>
      </c>
      <c r="G251" s="2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x14ac:dyDescent="0.2">
      <c r="A252" s="21" t="s">
        <v>1979</v>
      </c>
      <c r="B252" s="21" t="s">
        <v>220</v>
      </c>
      <c r="G252" s="2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x14ac:dyDescent="0.2">
      <c r="A253" s="21" t="s">
        <v>1980</v>
      </c>
      <c r="B253" s="21" t="s">
        <v>221</v>
      </c>
      <c r="G253" s="2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x14ac:dyDescent="0.2">
      <c r="A254" s="21" t="s">
        <v>1981</v>
      </c>
      <c r="B254" s="21" t="s">
        <v>222</v>
      </c>
      <c r="G254" s="2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x14ac:dyDescent="0.2">
      <c r="A255" s="21" t="s">
        <v>1982</v>
      </c>
      <c r="B255" s="21" t="s">
        <v>223</v>
      </c>
      <c r="G255" s="2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x14ac:dyDescent="0.2">
      <c r="A256" s="21" t="s">
        <v>1983</v>
      </c>
      <c r="B256" s="21" t="s">
        <v>224</v>
      </c>
      <c r="G256" s="2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x14ac:dyDescent="0.2">
      <c r="A257" s="21" t="s">
        <v>1984</v>
      </c>
      <c r="B257" s="21" t="s">
        <v>225</v>
      </c>
      <c r="G257" s="2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x14ac:dyDescent="0.2">
      <c r="A258" s="21" t="s">
        <v>1985</v>
      </c>
      <c r="B258" s="21" t="s">
        <v>226</v>
      </c>
      <c r="G258" s="2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x14ac:dyDescent="0.2">
      <c r="A259" s="21" t="s">
        <v>1986</v>
      </c>
      <c r="B259" s="21" t="s">
        <v>227</v>
      </c>
      <c r="G259" s="2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x14ac:dyDescent="0.2">
      <c r="A260" s="21" t="s">
        <v>1987</v>
      </c>
      <c r="B260" s="21" t="s">
        <v>228</v>
      </c>
      <c r="G260" s="2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x14ac:dyDescent="0.2">
      <c r="A261" s="21" t="s">
        <v>1988</v>
      </c>
      <c r="B261" s="21" t="s">
        <v>229</v>
      </c>
      <c r="G261" s="2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x14ac:dyDescent="0.2">
      <c r="A262" s="21" t="s">
        <v>1989</v>
      </c>
      <c r="B262" s="21" t="s">
        <v>230</v>
      </c>
      <c r="G262" s="2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x14ac:dyDescent="0.2">
      <c r="A263" s="21" t="s">
        <v>1990</v>
      </c>
      <c r="B263" s="21" t="s">
        <v>231</v>
      </c>
      <c r="G263" s="2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x14ac:dyDescent="0.2">
      <c r="A264" s="21" t="s">
        <v>1991</v>
      </c>
      <c r="B264" s="21" t="s">
        <v>232</v>
      </c>
      <c r="G264" s="2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x14ac:dyDescent="0.2">
      <c r="A265" s="21" t="s">
        <v>1992</v>
      </c>
      <c r="B265" s="21" t="s">
        <v>233</v>
      </c>
      <c r="G265" s="2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x14ac:dyDescent="0.2">
      <c r="A266" s="21" t="s">
        <v>1993</v>
      </c>
      <c r="B266" s="21" t="s">
        <v>234</v>
      </c>
      <c r="G266" s="2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x14ac:dyDescent="0.2">
      <c r="A267" s="21" t="s">
        <v>1994</v>
      </c>
      <c r="B267" s="21" t="s">
        <v>235</v>
      </c>
      <c r="G267" s="2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x14ac:dyDescent="0.2">
      <c r="A268" s="21" t="s">
        <v>1995</v>
      </c>
      <c r="B268" s="21" t="s">
        <v>1561</v>
      </c>
      <c r="G268" s="2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x14ac:dyDescent="0.2">
      <c r="A269" s="21" t="s">
        <v>1996</v>
      </c>
      <c r="B269" s="21" t="s">
        <v>236</v>
      </c>
      <c r="G269" s="2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x14ac:dyDescent="0.2">
      <c r="A270" s="21" t="s">
        <v>1997</v>
      </c>
      <c r="B270" s="21" t="s">
        <v>237</v>
      </c>
      <c r="G270" s="2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x14ac:dyDescent="0.2">
      <c r="A271" s="21" t="s">
        <v>1998</v>
      </c>
      <c r="B271" s="21" t="s">
        <v>238</v>
      </c>
      <c r="G271" s="2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x14ac:dyDescent="0.2">
      <c r="A272" s="21" t="s">
        <v>1999</v>
      </c>
      <c r="B272" s="21" t="s">
        <v>239</v>
      </c>
      <c r="G272" s="2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x14ac:dyDescent="0.2">
      <c r="A273" s="21" t="s">
        <v>2000</v>
      </c>
      <c r="B273" s="21" t="s">
        <v>240</v>
      </c>
      <c r="G273" s="2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x14ac:dyDescent="0.2">
      <c r="A274" s="21" t="s">
        <v>2001</v>
      </c>
      <c r="B274" s="21" t="s">
        <v>241</v>
      </c>
      <c r="G274" s="2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x14ac:dyDescent="0.2">
      <c r="A275" s="21" t="s">
        <v>2002</v>
      </c>
      <c r="B275" s="21" t="s">
        <v>242</v>
      </c>
      <c r="G275" s="2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x14ac:dyDescent="0.2">
      <c r="A276" s="21" t="s">
        <v>2003</v>
      </c>
      <c r="B276" s="21" t="s">
        <v>243</v>
      </c>
      <c r="G276" s="2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x14ac:dyDescent="0.2">
      <c r="A277" s="21" t="s">
        <v>2004</v>
      </c>
      <c r="B277" s="21" t="s">
        <v>244</v>
      </c>
      <c r="G277" s="2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x14ac:dyDescent="0.2">
      <c r="A278" s="21" t="s">
        <v>2005</v>
      </c>
      <c r="B278" s="21" t="s">
        <v>245</v>
      </c>
      <c r="G278" s="2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x14ac:dyDescent="0.2">
      <c r="A279" s="21" t="s">
        <v>2006</v>
      </c>
      <c r="B279" s="21" t="s">
        <v>246</v>
      </c>
      <c r="G279" s="2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x14ac:dyDescent="0.2">
      <c r="A280" s="21" t="s">
        <v>2007</v>
      </c>
      <c r="B280" s="21" t="s">
        <v>247</v>
      </c>
      <c r="G280" s="2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x14ac:dyDescent="0.2">
      <c r="A281" s="21" t="s">
        <v>2008</v>
      </c>
      <c r="B281" s="21" t="s">
        <v>248</v>
      </c>
      <c r="G281" s="2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x14ac:dyDescent="0.2">
      <c r="A282" s="21" t="s">
        <v>2009</v>
      </c>
      <c r="B282" s="21" t="s">
        <v>249</v>
      </c>
      <c r="G282" s="2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x14ac:dyDescent="0.2">
      <c r="A283" s="21" t="s">
        <v>2010</v>
      </c>
      <c r="B283" s="21" t="s">
        <v>1563</v>
      </c>
      <c r="G283" s="2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x14ac:dyDescent="0.2">
      <c r="A284" s="21" t="s">
        <v>2011</v>
      </c>
      <c r="B284" s="21" t="s">
        <v>250</v>
      </c>
      <c r="G284" s="2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x14ac:dyDescent="0.2">
      <c r="A285" s="21" t="s">
        <v>2012</v>
      </c>
      <c r="B285" s="21" t="s">
        <v>251</v>
      </c>
      <c r="G285" s="2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x14ac:dyDescent="0.2">
      <c r="A286" s="21" t="s">
        <v>2013</v>
      </c>
      <c r="B286" s="21" t="s">
        <v>252</v>
      </c>
      <c r="G286" s="2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x14ac:dyDescent="0.2">
      <c r="A287" s="21" t="s">
        <v>2014</v>
      </c>
      <c r="B287" s="21" t="s">
        <v>253</v>
      </c>
      <c r="G287" s="2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x14ac:dyDescent="0.2">
      <c r="A288" s="21" t="s">
        <v>2015</v>
      </c>
      <c r="B288" s="21" t="s">
        <v>254</v>
      </c>
      <c r="G288" s="2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x14ac:dyDescent="0.2">
      <c r="A289" s="21" t="s">
        <v>2016</v>
      </c>
      <c r="B289" s="21" t="s">
        <v>255</v>
      </c>
      <c r="G289" s="2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x14ac:dyDescent="0.2">
      <c r="A290" s="21" t="s">
        <v>2017</v>
      </c>
      <c r="B290" s="21" t="s">
        <v>256</v>
      </c>
      <c r="G290" s="2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x14ac:dyDescent="0.2">
      <c r="A291" s="21" t="s">
        <v>2018</v>
      </c>
      <c r="B291" s="21" t="s">
        <v>257</v>
      </c>
      <c r="G291" s="2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x14ac:dyDescent="0.2">
      <c r="A292" s="21" t="s">
        <v>2019</v>
      </c>
      <c r="B292" s="21" t="s">
        <v>258</v>
      </c>
      <c r="G292" s="2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x14ac:dyDescent="0.2">
      <c r="A293" s="21" t="s">
        <v>2020</v>
      </c>
      <c r="B293" s="21" t="s">
        <v>259</v>
      </c>
      <c r="G293" s="2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x14ac:dyDescent="0.2">
      <c r="A294" s="21" t="s">
        <v>2021</v>
      </c>
      <c r="B294" s="21" t="s">
        <v>260</v>
      </c>
      <c r="G294" s="2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x14ac:dyDescent="0.2">
      <c r="A295" s="21" t="s">
        <v>2022</v>
      </c>
      <c r="B295" s="21" t="s">
        <v>261</v>
      </c>
      <c r="G295" s="2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x14ac:dyDescent="0.2">
      <c r="A296" s="21" t="s">
        <v>2023</v>
      </c>
      <c r="B296" s="21" t="s">
        <v>262</v>
      </c>
      <c r="G296" s="2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x14ac:dyDescent="0.2">
      <c r="A297" s="21" t="s">
        <v>2024</v>
      </c>
      <c r="B297" s="21" t="s">
        <v>263</v>
      </c>
      <c r="G297" s="2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x14ac:dyDescent="0.2">
      <c r="A298" s="21" t="s">
        <v>2025</v>
      </c>
      <c r="B298" s="21" t="s">
        <v>264</v>
      </c>
      <c r="G298" s="2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x14ac:dyDescent="0.2">
      <c r="A299" s="21" t="s">
        <v>2026</v>
      </c>
      <c r="B299" s="21" t="s">
        <v>265</v>
      </c>
      <c r="G299" s="2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x14ac:dyDescent="0.2">
      <c r="A300" s="21" t="s">
        <v>2027</v>
      </c>
      <c r="B300" s="21" t="s">
        <v>266</v>
      </c>
      <c r="G300" s="2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x14ac:dyDescent="0.2">
      <c r="A301" s="21" t="s">
        <v>2028</v>
      </c>
      <c r="B301" s="21" t="s">
        <v>267</v>
      </c>
      <c r="G301" s="2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x14ac:dyDescent="0.2">
      <c r="A302" s="21" t="s">
        <v>2029</v>
      </c>
      <c r="B302" s="21" t="s">
        <v>268</v>
      </c>
      <c r="G302" s="2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x14ac:dyDescent="0.2">
      <c r="A303" s="21" t="s">
        <v>2030</v>
      </c>
      <c r="B303" s="21" t="s">
        <v>269</v>
      </c>
      <c r="G303" s="2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x14ac:dyDescent="0.2">
      <c r="A304" s="21" t="s">
        <v>2031</v>
      </c>
      <c r="B304" s="21" t="s">
        <v>270</v>
      </c>
      <c r="G304" s="2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x14ac:dyDescent="0.2">
      <c r="A305" s="21" t="s">
        <v>2032</v>
      </c>
      <c r="B305" s="21" t="s">
        <v>271</v>
      </c>
      <c r="G305" s="2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x14ac:dyDescent="0.2">
      <c r="A306" s="21" t="s">
        <v>2033</v>
      </c>
      <c r="B306" s="21" t="s">
        <v>272</v>
      </c>
      <c r="G306" s="2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x14ac:dyDescent="0.2">
      <c r="A307" s="21" t="s">
        <v>2034</v>
      </c>
      <c r="B307" s="21" t="s">
        <v>273</v>
      </c>
      <c r="G307" s="2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x14ac:dyDescent="0.2">
      <c r="A308" s="21" t="s">
        <v>2035</v>
      </c>
      <c r="B308" s="21" t="s">
        <v>274</v>
      </c>
      <c r="G308" s="2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x14ac:dyDescent="0.2">
      <c r="A309" s="21" t="s">
        <v>2036</v>
      </c>
      <c r="B309" s="21" t="s">
        <v>275</v>
      </c>
      <c r="G309" s="2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x14ac:dyDescent="0.2">
      <c r="A310" s="21" t="s">
        <v>2037</v>
      </c>
      <c r="B310" s="21" t="s">
        <v>276</v>
      </c>
      <c r="G310" s="2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x14ac:dyDescent="0.2">
      <c r="A311" s="21" t="s">
        <v>2038</v>
      </c>
      <c r="B311" s="21" t="s">
        <v>277</v>
      </c>
      <c r="G311" s="2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x14ac:dyDescent="0.2">
      <c r="A312" s="21" t="s">
        <v>2039</v>
      </c>
      <c r="B312" s="21" t="s">
        <v>278</v>
      </c>
      <c r="G312" s="2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x14ac:dyDescent="0.2">
      <c r="A313" s="21" t="s">
        <v>2040</v>
      </c>
      <c r="B313" s="21" t="s">
        <v>279</v>
      </c>
      <c r="G313" s="2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x14ac:dyDescent="0.2">
      <c r="A314" s="21" t="s">
        <v>2041</v>
      </c>
      <c r="B314" s="21" t="s">
        <v>280</v>
      </c>
      <c r="G314" s="2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x14ac:dyDescent="0.2">
      <c r="A315" s="21" t="s">
        <v>2042</v>
      </c>
      <c r="B315" s="21" t="s">
        <v>281</v>
      </c>
      <c r="G315" s="2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x14ac:dyDescent="0.2">
      <c r="A316" s="21" t="s">
        <v>2043</v>
      </c>
      <c r="B316" s="21" t="s">
        <v>282</v>
      </c>
      <c r="G316" s="2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x14ac:dyDescent="0.2">
      <c r="A317" s="21" t="s">
        <v>2044</v>
      </c>
      <c r="B317" s="21" t="s">
        <v>283</v>
      </c>
      <c r="G317" s="2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x14ac:dyDescent="0.2">
      <c r="A318" s="21" t="s">
        <v>2045</v>
      </c>
      <c r="B318" s="21" t="s">
        <v>284</v>
      </c>
      <c r="G318" s="2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x14ac:dyDescent="0.2">
      <c r="A319" s="21" t="s">
        <v>2046</v>
      </c>
      <c r="B319" s="21" t="s">
        <v>285</v>
      </c>
      <c r="G319" s="2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x14ac:dyDescent="0.2">
      <c r="A320" s="21" t="s">
        <v>2047</v>
      </c>
      <c r="B320" s="21" t="s">
        <v>286</v>
      </c>
      <c r="G320" s="2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x14ac:dyDescent="0.2">
      <c r="A321" s="21" t="s">
        <v>2048</v>
      </c>
      <c r="B321" s="21" t="s">
        <v>287</v>
      </c>
      <c r="G321" s="2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x14ac:dyDescent="0.2">
      <c r="A322" s="21" t="s">
        <v>2049</v>
      </c>
      <c r="B322" s="21" t="s">
        <v>288</v>
      </c>
      <c r="G322" s="2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x14ac:dyDescent="0.2">
      <c r="A323" s="21" t="s">
        <v>2050</v>
      </c>
      <c r="B323" s="21" t="s">
        <v>289</v>
      </c>
      <c r="G323" s="2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x14ac:dyDescent="0.2">
      <c r="A324" s="21" t="s">
        <v>2051</v>
      </c>
      <c r="B324" s="21" t="s">
        <v>290</v>
      </c>
      <c r="G324" s="2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x14ac:dyDescent="0.2">
      <c r="A325" s="21" t="s">
        <v>2052</v>
      </c>
      <c r="B325" s="21" t="s">
        <v>291</v>
      </c>
      <c r="G325" s="2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x14ac:dyDescent="0.2">
      <c r="A326" s="21" t="s">
        <v>2053</v>
      </c>
      <c r="B326" s="21" t="s">
        <v>292</v>
      </c>
      <c r="G326" s="2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x14ac:dyDescent="0.2">
      <c r="A327" s="21" t="s">
        <v>2054</v>
      </c>
      <c r="B327" s="21" t="s">
        <v>293</v>
      </c>
      <c r="G327" s="2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x14ac:dyDescent="0.2">
      <c r="A328" s="21" t="s">
        <v>2055</v>
      </c>
      <c r="B328" s="21" t="s">
        <v>294</v>
      </c>
      <c r="G328" s="2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x14ac:dyDescent="0.2">
      <c r="A329" s="21" t="s">
        <v>2056</v>
      </c>
      <c r="B329" s="21" t="s">
        <v>295</v>
      </c>
      <c r="G329" s="2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x14ac:dyDescent="0.2">
      <c r="A330" s="21" t="s">
        <v>2057</v>
      </c>
      <c r="B330" s="21" t="s">
        <v>296</v>
      </c>
      <c r="G330" s="2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x14ac:dyDescent="0.2">
      <c r="A331" s="21" t="s">
        <v>2058</v>
      </c>
      <c r="B331" s="21" t="s">
        <v>297</v>
      </c>
      <c r="G331" s="2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x14ac:dyDescent="0.2">
      <c r="A332" s="21" t="s">
        <v>2059</v>
      </c>
      <c r="B332" s="21" t="s">
        <v>298</v>
      </c>
      <c r="G332" s="2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x14ac:dyDescent="0.2">
      <c r="A333" s="21" t="s">
        <v>2060</v>
      </c>
      <c r="B333" s="21" t="s">
        <v>299</v>
      </c>
      <c r="G333" s="2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x14ac:dyDescent="0.2">
      <c r="A334" s="21" t="s">
        <v>2061</v>
      </c>
      <c r="B334" s="21" t="s">
        <v>1565</v>
      </c>
      <c r="G334" s="2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x14ac:dyDescent="0.2">
      <c r="A335" s="21" t="s">
        <v>2062</v>
      </c>
      <c r="B335" s="21" t="s">
        <v>300</v>
      </c>
      <c r="G335" s="2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x14ac:dyDescent="0.2">
      <c r="A336" s="21" t="s">
        <v>2063</v>
      </c>
      <c r="B336" s="21" t="s">
        <v>301</v>
      </c>
      <c r="G336" s="2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x14ac:dyDescent="0.2">
      <c r="A337" s="21" t="s">
        <v>2064</v>
      </c>
      <c r="B337" s="21" t="s">
        <v>302</v>
      </c>
      <c r="G337" s="2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x14ac:dyDescent="0.2">
      <c r="A338" s="21" t="s">
        <v>2065</v>
      </c>
      <c r="B338" s="21" t="s">
        <v>303</v>
      </c>
      <c r="G338" s="2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x14ac:dyDescent="0.2">
      <c r="A339" s="21" t="s">
        <v>2066</v>
      </c>
      <c r="B339" s="21" t="s">
        <v>304</v>
      </c>
      <c r="G339" s="2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x14ac:dyDescent="0.2">
      <c r="A340" s="21" t="s">
        <v>2067</v>
      </c>
      <c r="B340" s="21" t="s">
        <v>305</v>
      </c>
      <c r="G340" s="2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x14ac:dyDescent="0.2">
      <c r="A341" s="21" t="s">
        <v>2068</v>
      </c>
      <c r="B341" s="21" t="s">
        <v>306</v>
      </c>
      <c r="G341" s="2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x14ac:dyDescent="0.2">
      <c r="A342" s="21" t="s">
        <v>2069</v>
      </c>
      <c r="B342" s="21" t="s">
        <v>307</v>
      </c>
      <c r="G342" s="2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x14ac:dyDescent="0.2">
      <c r="A343" s="21" t="s">
        <v>2070</v>
      </c>
      <c r="B343" s="21" t="s">
        <v>308</v>
      </c>
      <c r="G343" s="2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x14ac:dyDescent="0.2">
      <c r="A344" s="21" t="s">
        <v>2071</v>
      </c>
      <c r="B344" s="21" t="s">
        <v>309</v>
      </c>
      <c r="G344" s="2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x14ac:dyDescent="0.2">
      <c r="A345" s="21" t="s">
        <v>2072</v>
      </c>
      <c r="B345" s="21" t="s">
        <v>310</v>
      </c>
      <c r="G345" s="2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x14ac:dyDescent="0.2">
      <c r="A346" s="21" t="s">
        <v>2073</v>
      </c>
      <c r="B346" s="21" t="s">
        <v>311</v>
      </c>
      <c r="G346" s="2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x14ac:dyDescent="0.2">
      <c r="A347" s="21" t="s">
        <v>2074</v>
      </c>
      <c r="B347" s="21" t="s">
        <v>312</v>
      </c>
      <c r="G347" s="2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x14ac:dyDescent="0.2">
      <c r="A348" s="21" t="s">
        <v>2075</v>
      </c>
      <c r="B348" s="21" t="s">
        <v>313</v>
      </c>
      <c r="G348" s="2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x14ac:dyDescent="0.2">
      <c r="A349" s="21" t="s">
        <v>2076</v>
      </c>
      <c r="B349" s="21" t="s">
        <v>314</v>
      </c>
      <c r="G349" s="2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x14ac:dyDescent="0.2">
      <c r="A350" s="21" t="s">
        <v>2077</v>
      </c>
      <c r="B350" s="21" t="s">
        <v>1566</v>
      </c>
      <c r="G350" s="2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x14ac:dyDescent="0.2">
      <c r="A351" s="21" t="s">
        <v>2078</v>
      </c>
      <c r="B351" s="21" t="s">
        <v>315</v>
      </c>
      <c r="G351" s="2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x14ac:dyDescent="0.2">
      <c r="A352" s="21" t="s">
        <v>2079</v>
      </c>
      <c r="B352" s="21" t="s">
        <v>316</v>
      </c>
      <c r="G352" s="2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x14ac:dyDescent="0.2">
      <c r="A353" s="21" t="s">
        <v>2080</v>
      </c>
      <c r="B353" s="21" t="s">
        <v>317</v>
      </c>
      <c r="G353" s="2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x14ac:dyDescent="0.2">
      <c r="A354" s="21" t="s">
        <v>2081</v>
      </c>
      <c r="B354" s="21" t="s">
        <v>1567</v>
      </c>
      <c r="G354" s="2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x14ac:dyDescent="0.2">
      <c r="A355" s="21" t="s">
        <v>2082</v>
      </c>
      <c r="B355" s="21" t="s">
        <v>318</v>
      </c>
      <c r="G355" s="2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x14ac:dyDescent="0.2">
      <c r="A356" s="21" t="s">
        <v>2083</v>
      </c>
      <c r="B356" s="21" t="s">
        <v>319</v>
      </c>
      <c r="G356" s="2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x14ac:dyDescent="0.2">
      <c r="A357" s="21" t="s">
        <v>2084</v>
      </c>
      <c r="B357" s="21" t="s">
        <v>320</v>
      </c>
      <c r="G357" s="2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x14ac:dyDescent="0.2">
      <c r="A358" s="21" t="s">
        <v>2085</v>
      </c>
      <c r="B358" s="21" t="s">
        <v>321</v>
      </c>
      <c r="G358" s="2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x14ac:dyDescent="0.2">
      <c r="A359" s="21" t="s">
        <v>2086</v>
      </c>
      <c r="B359" s="21" t="s">
        <v>322</v>
      </c>
      <c r="G359" s="2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x14ac:dyDescent="0.2">
      <c r="A360" s="21" t="s">
        <v>2087</v>
      </c>
      <c r="B360" s="21" t="s">
        <v>323</v>
      </c>
      <c r="G360" s="2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x14ac:dyDescent="0.2">
      <c r="A361" s="21" t="s">
        <v>2088</v>
      </c>
      <c r="B361" s="21" t="s">
        <v>324</v>
      </c>
      <c r="G361" s="2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x14ac:dyDescent="0.2">
      <c r="A362" s="21" t="s">
        <v>2089</v>
      </c>
      <c r="B362" s="21" t="s">
        <v>325</v>
      </c>
      <c r="G362" s="2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x14ac:dyDescent="0.2">
      <c r="A363" s="21" t="s">
        <v>2090</v>
      </c>
      <c r="B363" s="21" t="s">
        <v>326</v>
      </c>
      <c r="G363" s="2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x14ac:dyDescent="0.2">
      <c r="A364" s="21" t="s">
        <v>2091</v>
      </c>
      <c r="B364" s="21" t="s">
        <v>327</v>
      </c>
      <c r="G364" s="2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x14ac:dyDescent="0.2">
      <c r="A365" s="21" t="s">
        <v>2092</v>
      </c>
      <c r="B365" s="21" t="s">
        <v>328</v>
      </c>
      <c r="G365" s="2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x14ac:dyDescent="0.2">
      <c r="A366" s="21" t="s">
        <v>2093</v>
      </c>
      <c r="B366" s="21" t="s">
        <v>1637</v>
      </c>
      <c r="G366" s="2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x14ac:dyDescent="0.2">
      <c r="A367" s="21" t="s">
        <v>2094</v>
      </c>
      <c r="B367" s="21" t="s">
        <v>329</v>
      </c>
      <c r="G367" s="2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x14ac:dyDescent="0.2">
      <c r="A368" s="21" t="s">
        <v>2095</v>
      </c>
      <c r="B368" s="21" t="s">
        <v>330</v>
      </c>
      <c r="G368" s="2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x14ac:dyDescent="0.2">
      <c r="A369" s="21" t="s">
        <v>2096</v>
      </c>
      <c r="B369" s="21" t="s">
        <v>331</v>
      </c>
      <c r="G369" s="2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x14ac:dyDescent="0.2">
      <c r="A370" s="21" t="s">
        <v>2097</v>
      </c>
      <c r="B370" s="21" t="s">
        <v>332</v>
      </c>
      <c r="G370" s="2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x14ac:dyDescent="0.2">
      <c r="A371" s="21" t="s">
        <v>2098</v>
      </c>
      <c r="B371" s="21" t="s">
        <v>333</v>
      </c>
      <c r="G371" s="2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x14ac:dyDescent="0.2">
      <c r="A372" s="21" t="s">
        <v>2099</v>
      </c>
      <c r="B372" s="21" t="s">
        <v>334</v>
      </c>
      <c r="G372" s="2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x14ac:dyDescent="0.2">
      <c r="A373" s="21" t="s">
        <v>2100</v>
      </c>
      <c r="B373" s="21" t="s">
        <v>335</v>
      </c>
      <c r="G373" s="2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x14ac:dyDescent="0.2">
      <c r="A374" s="21" t="s">
        <v>2101</v>
      </c>
      <c r="B374" s="21" t="s">
        <v>336</v>
      </c>
      <c r="G374" s="2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x14ac:dyDescent="0.2">
      <c r="A375" s="21" t="s">
        <v>2102</v>
      </c>
      <c r="B375" s="21" t="s">
        <v>337</v>
      </c>
      <c r="G375" s="2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x14ac:dyDescent="0.2">
      <c r="A376" s="21" t="s">
        <v>2103</v>
      </c>
      <c r="B376" s="21" t="s">
        <v>338</v>
      </c>
      <c r="G376" s="2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x14ac:dyDescent="0.2">
      <c r="A377" s="21" t="s">
        <v>2104</v>
      </c>
      <c r="B377" s="21" t="s">
        <v>339</v>
      </c>
      <c r="G377" s="2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x14ac:dyDescent="0.2">
      <c r="A378" s="21" t="s">
        <v>2105</v>
      </c>
      <c r="B378" s="21" t="s">
        <v>340</v>
      </c>
      <c r="G378" s="2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x14ac:dyDescent="0.2">
      <c r="A379" s="21" t="s">
        <v>2106</v>
      </c>
      <c r="B379" s="21" t="s">
        <v>341</v>
      </c>
      <c r="G379" s="2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x14ac:dyDescent="0.2">
      <c r="A380" s="21" t="s">
        <v>2107</v>
      </c>
      <c r="B380" s="21" t="s">
        <v>342</v>
      </c>
      <c r="G380" s="2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x14ac:dyDescent="0.2">
      <c r="A381" s="21" t="s">
        <v>2108</v>
      </c>
      <c r="B381" s="21" t="s">
        <v>343</v>
      </c>
      <c r="G381" s="2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x14ac:dyDescent="0.2">
      <c r="A382" s="21" t="s">
        <v>2109</v>
      </c>
      <c r="B382" s="21" t="s">
        <v>344</v>
      </c>
      <c r="G382" s="2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x14ac:dyDescent="0.2">
      <c r="A383" s="21" t="s">
        <v>2110</v>
      </c>
      <c r="B383" s="21" t="s">
        <v>345</v>
      </c>
      <c r="G383" s="2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x14ac:dyDescent="0.2">
      <c r="A384" s="21" t="s">
        <v>2111</v>
      </c>
      <c r="B384" s="21" t="s">
        <v>346</v>
      </c>
      <c r="G384" s="2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x14ac:dyDescent="0.2">
      <c r="A385" s="21" t="s">
        <v>2112</v>
      </c>
      <c r="B385" s="21" t="s">
        <v>347</v>
      </c>
      <c r="G385" s="2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x14ac:dyDescent="0.2">
      <c r="A386" s="21" t="s">
        <v>2113</v>
      </c>
      <c r="B386" s="21" t="s">
        <v>348</v>
      </c>
      <c r="G386" s="2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x14ac:dyDescent="0.2">
      <c r="A387" s="21" t="s">
        <v>2114</v>
      </c>
      <c r="B387" s="21" t="s">
        <v>349</v>
      </c>
      <c r="G387" s="2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x14ac:dyDescent="0.2">
      <c r="A388" s="21" t="s">
        <v>2115</v>
      </c>
      <c r="B388" s="21" t="s">
        <v>350</v>
      </c>
      <c r="G388" s="2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x14ac:dyDescent="0.2">
      <c r="A389" s="21" t="s">
        <v>2116</v>
      </c>
      <c r="B389" s="21" t="s">
        <v>351</v>
      </c>
      <c r="G389" s="2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x14ac:dyDescent="0.2">
      <c r="A390" s="21" t="s">
        <v>2117</v>
      </c>
      <c r="B390" s="21" t="s">
        <v>1569</v>
      </c>
      <c r="G390" s="2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x14ac:dyDescent="0.2">
      <c r="A391" s="21" t="s">
        <v>2118</v>
      </c>
      <c r="B391" s="21" t="s">
        <v>1572</v>
      </c>
      <c r="G391" s="2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x14ac:dyDescent="0.2">
      <c r="A392" s="21" t="s">
        <v>2119</v>
      </c>
      <c r="B392" s="21" t="s">
        <v>352</v>
      </c>
      <c r="G392" s="2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x14ac:dyDescent="0.2">
      <c r="A393" s="21" t="s">
        <v>2120</v>
      </c>
      <c r="B393" s="21" t="s">
        <v>353</v>
      </c>
      <c r="G393" s="2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x14ac:dyDescent="0.2">
      <c r="A394" s="21" t="s">
        <v>2121</v>
      </c>
      <c r="B394" s="21" t="s">
        <v>354</v>
      </c>
      <c r="G394" s="2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x14ac:dyDescent="0.2">
      <c r="A395" s="21" t="s">
        <v>2122</v>
      </c>
      <c r="B395" s="21" t="s">
        <v>355</v>
      </c>
      <c r="G395" s="2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x14ac:dyDescent="0.2">
      <c r="A396" s="21" t="s">
        <v>2123</v>
      </c>
      <c r="B396" s="21" t="s">
        <v>356</v>
      </c>
      <c r="G396" s="2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x14ac:dyDescent="0.2">
      <c r="A397" s="21" t="s">
        <v>2124</v>
      </c>
      <c r="B397" s="21" t="s">
        <v>357</v>
      </c>
      <c r="G397" s="2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x14ac:dyDescent="0.2">
      <c r="A398" s="21" t="s">
        <v>2125</v>
      </c>
      <c r="B398" s="21" t="s">
        <v>358</v>
      </c>
      <c r="G398" s="2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x14ac:dyDescent="0.2">
      <c r="A399" s="21" t="s">
        <v>2126</v>
      </c>
      <c r="B399" s="21" t="s">
        <v>359</v>
      </c>
      <c r="G399" s="2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x14ac:dyDescent="0.2">
      <c r="A400" s="21" t="s">
        <v>2127</v>
      </c>
      <c r="B400" s="21" t="s">
        <v>360</v>
      </c>
      <c r="G400" s="2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x14ac:dyDescent="0.2">
      <c r="A401" s="21" t="s">
        <v>2128</v>
      </c>
      <c r="B401" s="21" t="s">
        <v>361</v>
      </c>
      <c r="G401" s="2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x14ac:dyDescent="0.2">
      <c r="A402" s="21" t="s">
        <v>2129</v>
      </c>
      <c r="B402" s="21" t="s">
        <v>362</v>
      </c>
      <c r="G402" s="2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x14ac:dyDescent="0.2">
      <c r="A403" s="21" t="s">
        <v>2130</v>
      </c>
      <c r="B403" s="21" t="s">
        <v>363</v>
      </c>
      <c r="G403" s="2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x14ac:dyDescent="0.2">
      <c r="A404" s="21" t="s">
        <v>2131</v>
      </c>
      <c r="B404" s="21" t="s">
        <v>1570</v>
      </c>
      <c r="G404" s="2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x14ac:dyDescent="0.2">
      <c r="A405" s="21" t="s">
        <v>2132</v>
      </c>
      <c r="B405" s="21" t="s">
        <v>364</v>
      </c>
      <c r="G405" s="2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x14ac:dyDescent="0.2">
      <c r="A406" s="21" t="s">
        <v>2133</v>
      </c>
      <c r="B406" s="21" t="s">
        <v>365</v>
      </c>
      <c r="G406" s="2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x14ac:dyDescent="0.2">
      <c r="A407" s="21" t="s">
        <v>2134</v>
      </c>
      <c r="B407" s="21" t="s">
        <v>366</v>
      </c>
      <c r="G407" s="2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x14ac:dyDescent="0.2">
      <c r="A408" s="21" t="s">
        <v>2135</v>
      </c>
      <c r="B408" s="21" t="s">
        <v>367</v>
      </c>
      <c r="G408" s="2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x14ac:dyDescent="0.2">
      <c r="A409" s="21" t="s">
        <v>2136</v>
      </c>
      <c r="B409" s="21" t="s">
        <v>368</v>
      </c>
      <c r="G409" s="2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x14ac:dyDescent="0.2">
      <c r="A410" s="21" t="s">
        <v>2137</v>
      </c>
      <c r="B410" s="21" t="s">
        <v>369</v>
      </c>
      <c r="G410" s="2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x14ac:dyDescent="0.2">
      <c r="A411" s="21" t="s">
        <v>2138</v>
      </c>
      <c r="B411" s="21" t="s">
        <v>370</v>
      </c>
      <c r="G411" s="2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x14ac:dyDescent="0.2">
      <c r="A412" s="21" t="s">
        <v>2139</v>
      </c>
      <c r="B412" s="21" t="s">
        <v>371</v>
      </c>
      <c r="G412" s="2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x14ac:dyDescent="0.2">
      <c r="A413" s="21" t="s">
        <v>2140</v>
      </c>
      <c r="B413" s="21" t="s">
        <v>372</v>
      </c>
      <c r="G413" s="2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x14ac:dyDescent="0.2">
      <c r="A414" s="21" t="s">
        <v>2141</v>
      </c>
      <c r="B414" s="21" t="s">
        <v>373</v>
      </c>
      <c r="G414" s="2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x14ac:dyDescent="0.2">
      <c r="A415" s="21" t="s">
        <v>2142</v>
      </c>
      <c r="B415" s="21" t="s">
        <v>374</v>
      </c>
      <c r="G415" s="2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x14ac:dyDescent="0.2">
      <c r="A416" s="21" t="s">
        <v>2143</v>
      </c>
      <c r="B416" s="21" t="s">
        <v>375</v>
      </c>
      <c r="G416" s="2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x14ac:dyDescent="0.2">
      <c r="A417" s="21" t="s">
        <v>2144</v>
      </c>
      <c r="B417" s="21" t="s">
        <v>376</v>
      </c>
      <c r="G417" s="2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x14ac:dyDescent="0.2">
      <c r="A418" s="21" t="s">
        <v>2145</v>
      </c>
      <c r="B418" s="21" t="s">
        <v>1573</v>
      </c>
      <c r="G418" s="2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x14ac:dyDescent="0.2">
      <c r="A419" s="21" t="s">
        <v>2146</v>
      </c>
      <c r="B419" s="21" t="s">
        <v>377</v>
      </c>
      <c r="G419" s="2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x14ac:dyDescent="0.2">
      <c r="A420" s="21" t="s">
        <v>2147</v>
      </c>
      <c r="B420" s="21" t="s">
        <v>378</v>
      </c>
      <c r="G420" s="2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x14ac:dyDescent="0.2">
      <c r="A421" s="21" t="s">
        <v>2148</v>
      </c>
      <c r="B421" s="21" t="s">
        <v>379</v>
      </c>
      <c r="G421" s="2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x14ac:dyDescent="0.2">
      <c r="A422" s="21" t="s">
        <v>2149</v>
      </c>
      <c r="B422" s="21" t="s">
        <v>380</v>
      </c>
      <c r="G422" s="2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x14ac:dyDescent="0.2">
      <c r="A423" s="21" t="s">
        <v>2150</v>
      </c>
      <c r="B423" s="21" t="s">
        <v>381</v>
      </c>
      <c r="G423" s="2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x14ac:dyDescent="0.2">
      <c r="A424" s="21" t="s">
        <v>2151</v>
      </c>
      <c r="B424" s="21" t="s">
        <v>1574</v>
      </c>
      <c r="G424" s="2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x14ac:dyDescent="0.2">
      <c r="A425" s="21" t="s">
        <v>2152</v>
      </c>
      <c r="B425" s="21" t="s">
        <v>382</v>
      </c>
      <c r="G425" s="2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x14ac:dyDescent="0.2">
      <c r="A426" s="21" t="s">
        <v>2153</v>
      </c>
      <c r="B426" s="21" t="s">
        <v>383</v>
      </c>
      <c r="G426" s="2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x14ac:dyDescent="0.2">
      <c r="A427" s="21" t="s">
        <v>2154</v>
      </c>
      <c r="B427" s="21" t="s">
        <v>384</v>
      </c>
      <c r="G427" s="2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x14ac:dyDescent="0.2">
      <c r="A428" s="21" t="s">
        <v>2155</v>
      </c>
      <c r="B428" s="21" t="s">
        <v>385</v>
      </c>
      <c r="G428" s="2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x14ac:dyDescent="0.2">
      <c r="A429" s="21" t="s">
        <v>2156</v>
      </c>
      <c r="B429" s="21" t="s">
        <v>386</v>
      </c>
      <c r="G429" s="2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x14ac:dyDescent="0.2">
      <c r="A430" s="21" t="s">
        <v>2157</v>
      </c>
      <c r="B430" s="21" t="s">
        <v>1575</v>
      </c>
      <c r="G430" s="2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x14ac:dyDescent="0.2">
      <c r="A431" s="21" t="s">
        <v>2158</v>
      </c>
      <c r="B431" s="21" t="s">
        <v>387</v>
      </c>
      <c r="G431" s="2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x14ac:dyDescent="0.2">
      <c r="A432" s="21" t="s">
        <v>2159</v>
      </c>
      <c r="B432" s="21" t="s">
        <v>388</v>
      </c>
      <c r="G432" s="2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x14ac:dyDescent="0.2">
      <c r="A433" s="21" t="s">
        <v>2160</v>
      </c>
      <c r="B433" s="21" t="s">
        <v>389</v>
      </c>
      <c r="G433" s="2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x14ac:dyDescent="0.2">
      <c r="A434" s="21" t="s">
        <v>2161</v>
      </c>
      <c r="B434" s="21" t="s">
        <v>390</v>
      </c>
      <c r="G434" s="2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x14ac:dyDescent="0.2">
      <c r="A435" s="21" t="s">
        <v>2162</v>
      </c>
      <c r="B435" s="21" t="s">
        <v>391</v>
      </c>
      <c r="G435" s="2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x14ac:dyDescent="0.2">
      <c r="A436" s="21" t="s">
        <v>2163</v>
      </c>
      <c r="B436" s="21" t="s">
        <v>392</v>
      </c>
      <c r="G436" s="2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x14ac:dyDescent="0.2">
      <c r="A437" s="21" t="s">
        <v>2164</v>
      </c>
      <c r="B437" s="21" t="s">
        <v>393</v>
      </c>
      <c r="G437" s="2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x14ac:dyDescent="0.2">
      <c r="A438" s="21" t="s">
        <v>2165</v>
      </c>
      <c r="B438" s="21" t="s">
        <v>394</v>
      </c>
      <c r="G438" s="2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x14ac:dyDescent="0.2">
      <c r="A439" s="21" t="s">
        <v>2166</v>
      </c>
      <c r="B439" s="21" t="s">
        <v>395</v>
      </c>
      <c r="G439" s="2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x14ac:dyDescent="0.2">
      <c r="A440" s="21" t="s">
        <v>2167</v>
      </c>
      <c r="B440" s="21" t="s">
        <v>396</v>
      </c>
      <c r="G440" s="2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x14ac:dyDescent="0.2">
      <c r="A441" s="21" t="s">
        <v>2168</v>
      </c>
      <c r="B441" s="21" t="s">
        <v>397</v>
      </c>
      <c r="G441" s="2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x14ac:dyDescent="0.2">
      <c r="A442" s="21" t="s">
        <v>2169</v>
      </c>
      <c r="B442" s="21" t="s">
        <v>398</v>
      </c>
      <c r="G442" s="2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x14ac:dyDescent="0.2">
      <c r="A443" s="21" t="s">
        <v>2170</v>
      </c>
      <c r="B443" s="21" t="s">
        <v>399</v>
      </c>
      <c r="G443" s="2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x14ac:dyDescent="0.2">
      <c r="A444" s="21" t="s">
        <v>2171</v>
      </c>
      <c r="B444" s="21" t="s">
        <v>400</v>
      </c>
      <c r="G444" s="2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x14ac:dyDescent="0.2">
      <c r="A445" s="21" t="s">
        <v>2172</v>
      </c>
      <c r="B445" s="21" t="s">
        <v>401</v>
      </c>
      <c r="G445" s="2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x14ac:dyDescent="0.2">
      <c r="A446" s="21" t="s">
        <v>2173</v>
      </c>
      <c r="B446" s="21" t="s">
        <v>402</v>
      </c>
      <c r="G446" s="2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x14ac:dyDescent="0.2">
      <c r="A447" s="21" t="s">
        <v>2174</v>
      </c>
      <c r="B447" s="21" t="s">
        <v>403</v>
      </c>
      <c r="G447" s="2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x14ac:dyDescent="0.2">
      <c r="A448" s="21" t="s">
        <v>2175</v>
      </c>
      <c r="B448" s="21" t="s">
        <v>404</v>
      </c>
      <c r="G448" s="2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x14ac:dyDescent="0.2">
      <c r="A449" s="21" t="s">
        <v>2176</v>
      </c>
      <c r="B449" s="21" t="s">
        <v>405</v>
      </c>
      <c r="G449" s="2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x14ac:dyDescent="0.2">
      <c r="A450" s="21" t="s">
        <v>2177</v>
      </c>
      <c r="B450" s="21" t="s">
        <v>406</v>
      </c>
      <c r="G450" s="2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x14ac:dyDescent="0.2">
      <c r="A451" s="21" t="s">
        <v>2178</v>
      </c>
      <c r="B451" s="21" t="s">
        <v>407</v>
      </c>
      <c r="G451" s="2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x14ac:dyDescent="0.2">
      <c r="A452" s="21" t="s">
        <v>2179</v>
      </c>
      <c r="B452" s="21" t="s">
        <v>408</v>
      </c>
      <c r="G452" s="2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x14ac:dyDescent="0.2">
      <c r="A453" s="21" t="s">
        <v>2180</v>
      </c>
      <c r="B453" s="21" t="s">
        <v>409</v>
      </c>
      <c r="G453" s="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x14ac:dyDescent="0.2">
      <c r="A454" s="21" t="s">
        <v>2181</v>
      </c>
      <c r="B454" s="21" t="s">
        <v>410</v>
      </c>
      <c r="G454" s="2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x14ac:dyDescent="0.2">
      <c r="A455" s="21" t="s">
        <v>2182</v>
      </c>
      <c r="B455" s="21" t="s">
        <v>411</v>
      </c>
      <c r="G455" s="2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x14ac:dyDescent="0.2">
      <c r="A456" s="21" t="s">
        <v>2183</v>
      </c>
      <c r="B456" s="21" t="s">
        <v>412</v>
      </c>
      <c r="G456" s="2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x14ac:dyDescent="0.2">
      <c r="A457" s="21" t="s">
        <v>2184</v>
      </c>
      <c r="B457" s="21" t="s">
        <v>413</v>
      </c>
      <c r="G457" s="2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x14ac:dyDescent="0.2">
      <c r="A458" s="21" t="s">
        <v>2185</v>
      </c>
      <c r="B458" s="21" t="s">
        <v>414</v>
      </c>
      <c r="G458" s="2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x14ac:dyDescent="0.2">
      <c r="A459" s="21" t="s">
        <v>2186</v>
      </c>
      <c r="B459" s="21" t="s">
        <v>415</v>
      </c>
      <c r="G459" s="2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x14ac:dyDescent="0.2">
      <c r="A460" s="21" t="s">
        <v>2187</v>
      </c>
      <c r="B460" s="21" t="s">
        <v>416</v>
      </c>
      <c r="G460" s="2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x14ac:dyDescent="0.2">
      <c r="A461" s="21" t="s">
        <v>2188</v>
      </c>
      <c r="B461" s="21" t="s">
        <v>417</v>
      </c>
      <c r="G461" s="2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x14ac:dyDescent="0.2">
      <c r="A462" s="21" t="s">
        <v>2189</v>
      </c>
      <c r="B462" s="21" t="s">
        <v>418</v>
      </c>
      <c r="G462" s="2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x14ac:dyDescent="0.2">
      <c r="A463" s="21" t="s">
        <v>2190</v>
      </c>
      <c r="B463" s="21" t="s">
        <v>1579</v>
      </c>
      <c r="G463" s="2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x14ac:dyDescent="0.2">
      <c r="A464" s="21" t="s">
        <v>2191</v>
      </c>
      <c r="B464" s="21" t="s">
        <v>419</v>
      </c>
      <c r="G464" s="2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x14ac:dyDescent="0.2">
      <c r="A465" s="21" t="s">
        <v>2192</v>
      </c>
      <c r="B465" s="21" t="s">
        <v>420</v>
      </c>
      <c r="G465" s="2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x14ac:dyDescent="0.2">
      <c r="A466" s="21" t="s">
        <v>2193</v>
      </c>
      <c r="B466" s="21" t="s">
        <v>421</v>
      </c>
      <c r="G466" s="2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x14ac:dyDescent="0.2">
      <c r="A467" s="21" t="s">
        <v>2194</v>
      </c>
      <c r="B467" s="21" t="s">
        <v>422</v>
      </c>
      <c r="G467" s="2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x14ac:dyDescent="0.2">
      <c r="A468" s="21" t="s">
        <v>2195</v>
      </c>
      <c r="B468" s="21" t="s">
        <v>423</v>
      </c>
      <c r="G468" s="2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x14ac:dyDescent="0.2">
      <c r="A469" s="21" t="s">
        <v>2196</v>
      </c>
      <c r="B469" s="21" t="s">
        <v>1608</v>
      </c>
      <c r="G469" s="2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x14ac:dyDescent="0.2">
      <c r="A470" s="21" t="s">
        <v>2197</v>
      </c>
      <c r="B470" s="21" t="s">
        <v>424</v>
      </c>
      <c r="G470" s="2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x14ac:dyDescent="0.2">
      <c r="A471" s="21" t="s">
        <v>2198</v>
      </c>
      <c r="B471" s="21" t="s">
        <v>425</v>
      </c>
      <c r="G471" s="2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x14ac:dyDescent="0.2">
      <c r="A472" s="21" t="s">
        <v>2199</v>
      </c>
      <c r="B472" s="21" t="s">
        <v>426</v>
      </c>
      <c r="G472" s="2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x14ac:dyDescent="0.2">
      <c r="A473" s="21" t="s">
        <v>2200</v>
      </c>
      <c r="B473" s="21" t="s">
        <v>427</v>
      </c>
      <c r="G473" s="2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x14ac:dyDescent="0.2">
      <c r="A474" s="21" t="s">
        <v>2201</v>
      </c>
      <c r="B474" s="21" t="s">
        <v>1580</v>
      </c>
      <c r="G474" s="2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x14ac:dyDescent="0.2">
      <c r="A475" s="21" t="s">
        <v>2202</v>
      </c>
      <c r="B475" s="21" t="s">
        <v>428</v>
      </c>
      <c r="G475" s="2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x14ac:dyDescent="0.2">
      <c r="A476" s="21" t="s">
        <v>2203</v>
      </c>
      <c r="B476" s="21" t="s">
        <v>429</v>
      </c>
      <c r="G476" s="2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x14ac:dyDescent="0.2">
      <c r="A477" s="21" t="s">
        <v>2204</v>
      </c>
      <c r="B477" s="21" t="s">
        <v>430</v>
      </c>
      <c r="G477" s="2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x14ac:dyDescent="0.2">
      <c r="A478" s="21" t="s">
        <v>2205</v>
      </c>
      <c r="B478" s="21" t="s">
        <v>431</v>
      </c>
      <c r="G478" s="2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x14ac:dyDescent="0.2">
      <c r="A479" s="21" t="s">
        <v>2206</v>
      </c>
      <c r="B479" s="21" t="s">
        <v>1726</v>
      </c>
      <c r="G479" s="2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x14ac:dyDescent="0.2">
      <c r="A480" s="21" t="s">
        <v>2207</v>
      </c>
      <c r="B480" s="21" t="s">
        <v>1581</v>
      </c>
      <c r="G480" s="2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x14ac:dyDescent="0.2">
      <c r="A481" s="21" t="s">
        <v>2208</v>
      </c>
      <c r="B481" s="21" t="s">
        <v>432</v>
      </c>
      <c r="G481" s="2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x14ac:dyDescent="0.2">
      <c r="A482" s="21" t="s">
        <v>2209</v>
      </c>
      <c r="B482" s="21" t="s">
        <v>433</v>
      </c>
      <c r="G482" s="2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x14ac:dyDescent="0.2">
      <c r="A483" s="21" t="s">
        <v>2210</v>
      </c>
      <c r="B483" s="21" t="s">
        <v>434</v>
      </c>
      <c r="G483" s="2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x14ac:dyDescent="0.2">
      <c r="A484" s="21" t="s">
        <v>2211</v>
      </c>
      <c r="B484" s="21" t="s">
        <v>435</v>
      </c>
      <c r="G484" s="2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x14ac:dyDescent="0.2">
      <c r="A485" s="21" t="s">
        <v>2212</v>
      </c>
      <c r="B485" s="21" t="s">
        <v>436</v>
      </c>
      <c r="G485" s="2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x14ac:dyDescent="0.2">
      <c r="A486" s="21" t="s">
        <v>2213</v>
      </c>
      <c r="B486" s="21" t="s">
        <v>437</v>
      </c>
      <c r="G486" s="2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x14ac:dyDescent="0.2">
      <c r="A487" s="21" t="s">
        <v>2214</v>
      </c>
      <c r="B487" s="21" t="s">
        <v>438</v>
      </c>
      <c r="G487" s="2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x14ac:dyDescent="0.2">
      <c r="A488" s="21" t="s">
        <v>2215</v>
      </c>
      <c r="B488" s="21" t="s">
        <v>439</v>
      </c>
      <c r="G488" s="2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x14ac:dyDescent="0.2">
      <c r="A489" s="21" t="s">
        <v>2216</v>
      </c>
      <c r="B489" s="21" t="s">
        <v>440</v>
      </c>
      <c r="G489" s="2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x14ac:dyDescent="0.2">
      <c r="A490" s="21" t="s">
        <v>2217</v>
      </c>
      <c r="B490" s="21" t="s">
        <v>441</v>
      </c>
      <c r="G490" s="2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x14ac:dyDescent="0.2">
      <c r="A491" s="21" t="s">
        <v>2218</v>
      </c>
      <c r="B491" s="21" t="s">
        <v>442</v>
      </c>
      <c r="G491" s="2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x14ac:dyDescent="0.2">
      <c r="A492" s="21" t="s">
        <v>2219</v>
      </c>
      <c r="B492" s="21" t="s">
        <v>443</v>
      </c>
      <c r="G492" s="2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x14ac:dyDescent="0.2">
      <c r="A493" s="21" t="s">
        <v>2220</v>
      </c>
      <c r="B493" s="21" t="s">
        <v>444</v>
      </c>
      <c r="G493" s="2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x14ac:dyDescent="0.2">
      <c r="A494" s="21" t="s">
        <v>2221</v>
      </c>
      <c r="B494" s="21" t="s">
        <v>445</v>
      </c>
      <c r="G494" s="2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x14ac:dyDescent="0.2">
      <c r="A495" s="21" t="s">
        <v>2222</v>
      </c>
      <c r="B495" s="21" t="s">
        <v>446</v>
      </c>
      <c r="G495" s="2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x14ac:dyDescent="0.2">
      <c r="A496" s="21" t="s">
        <v>2223</v>
      </c>
      <c r="B496" s="21" t="s">
        <v>447</v>
      </c>
      <c r="G496" s="2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x14ac:dyDescent="0.2">
      <c r="A497" s="21" t="s">
        <v>2224</v>
      </c>
      <c r="B497" s="21" t="s">
        <v>448</v>
      </c>
      <c r="G497" s="2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x14ac:dyDescent="0.2">
      <c r="A498" s="21" t="s">
        <v>2225</v>
      </c>
      <c r="B498" s="21" t="s">
        <v>449</v>
      </c>
      <c r="G498" s="2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x14ac:dyDescent="0.2">
      <c r="A499" s="21" t="s">
        <v>2226</v>
      </c>
      <c r="B499" s="21" t="s">
        <v>450</v>
      </c>
      <c r="G499" s="2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x14ac:dyDescent="0.2">
      <c r="A500" s="21" t="s">
        <v>2227</v>
      </c>
      <c r="B500" s="21" t="s">
        <v>451</v>
      </c>
      <c r="G500" s="2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x14ac:dyDescent="0.2">
      <c r="A501" s="21" t="s">
        <v>2228</v>
      </c>
      <c r="B501" s="21" t="s">
        <v>1568</v>
      </c>
      <c r="G501" s="2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x14ac:dyDescent="0.2">
      <c r="A502" s="21" t="s">
        <v>2229</v>
      </c>
      <c r="B502" s="21" t="s">
        <v>452</v>
      </c>
      <c r="G502" s="2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x14ac:dyDescent="0.2">
      <c r="A503" s="21" t="s">
        <v>2230</v>
      </c>
      <c r="B503" s="21" t="s">
        <v>453</v>
      </c>
      <c r="G503" s="2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x14ac:dyDescent="0.2">
      <c r="A504" s="21" t="s">
        <v>2231</v>
      </c>
      <c r="B504" s="21" t="s">
        <v>1582</v>
      </c>
      <c r="G504" s="2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x14ac:dyDescent="0.2">
      <c r="A505" s="21" t="s">
        <v>2232</v>
      </c>
      <c r="B505" s="21" t="s">
        <v>454</v>
      </c>
      <c r="G505" s="2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x14ac:dyDescent="0.2">
      <c r="A506" s="21" t="s">
        <v>2233</v>
      </c>
      <c r="B506" s="21" t="s">
        <v>455</v>
      </c>
      <c r="G506" s="2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x14ac:dyDescent="0.2">
      <c r="A507" s="21" t="s">
        <v>2234</v>
      </c>
      <c r="B507" s="21" t="s">
        <v>456</v>
      </c>
      <c r="G507" s="2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x14ac:dyDescent="0.2">
      <c r="A508" s="21" t="s">
        <v>2235</v>
      </c>
      <c r="B508" s="21" t="s">
        <v>457</v>
      </c>
      <c r="G508" s="2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x14ac:dyDescent="0.2">
      <c r="A509" s="21" t="s">
        <v>2236</v>
      </c>
      <c r="B509" s="21" t="s">
        <v>458</v>
      </c>
      <c r="G509" s="2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x14ac:dyDescent="0.2">
      <c r="A510" s="21" t="s">
        <v>2237</v>
      </c>
      <c r="B510" s="21" t="s">
        <v>459</v>
      </c>
      <c r="G510" s="2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x14ac:dyDescent="0.2">
      <c r="A511" s="21" t="s">
        <v>2238</v>
      </c>
      <c r="B511" s="21" t="s">
        <v>460</v>
      </c>
      <c r="G511" s="2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x14ac:dyDescent="0.2">
      <c r="A512" s="21" t="s">
        <v>2239</v>
      </c>
      <c r="B512" s="21" t="s">
        <v>461</v>
      </c>
      <c r="G512" s="2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x14ac:dyDescent="0.2">
      <c r="A513" s="21" t="s">
        <v>2240</v>
      </c>
      <c r="B513" s="21" t="s">
        <v>462</v>
      </c>
      <c r="G513" s="2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x14ac:dyDescent="0.2">
      <c r="A514" s="21" t="s">
        <v>2241</v>
      </c>
      <c r="B514" s="21" t="s">
        <v>463</v>
      </c>
      <c r="G514" s="2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x14ac:dyDescent="0.2">
      <c r="A515" s="21" t="s">
        <v>2242</v>
      </c>
      <c r="B515" s="21" t="s">
        <v>464</v>
      </c>
      <c r="G515" s="2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x14ac:dyDescent="0.2">
      <c r="A516" s="21" t="s">
        <v>2243</v>
      </c>
      <c r="B516" s="21" t="s">
        <v>465</v>
      </c>
      <c r="G516" s="2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x14ac:dyDescent="0.2">
      <c r="A517" s="21" t="s">
        <v>2244</v>
      </c>
      <c r="B517" s="21" t="s">
        <v>466</v>
      </c>
      <c r="G517" s="2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x14ac:dyDescent="0.2">
      <c r="A518" s="21" t="s">
        <v>2245</v>
      </c>
      <c r="B518" s="21" t="s">
        <v>467</v>
      </c>
      <c r="G518" s="2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x14ac:dyDescent="0.2">
      <c r="A519" s="21" t="s">
        <v>2246</v>
      </c>
      <c r="B519" s="21" t="s">
        <v>1583</v>
      </c>
      <c r="G519" s="2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x14ac:dyDescent="0.2">
      <c r="A520" s="21" t="s">
        <v>2247</v>
      </c>
      <c r="B520" s="21" t="s">
        <v>468</v>
      </c>
      <c r="G520" s="2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x14ac:dyDescent="0.2">
      <c r="A521" s="21" t="s">
        <v>2248</v>
      </c>
      <c r="B521" s="21" t="s">
        <v>469</v>
      </c>
      <c r="G521" s="2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x14ac:dyDescent="0.2">
      <c r="A522" s="21" t="s">
        <v>2249</v>
      </c>
      <c r="B522" s="21" t="s">
        <v>470</v>
      </c>
      <c r="G522" s="2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x14ac:dyDescent="0.2">
      <c r="A523" s="21" t="s">
        <v>2250</v>
      </c>
      <c r="B523" s="21" t="s">
        <v>1584</v>
      </c>
      <c r="G523" s="2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x14ac:dyDescent="0.2">
      <c r="A524" s="21" t="s">
        <v>2251</v>
      </c>
      <c r="B524" s="21" t="s">
        <v>471</v>
      </c>
      <c r="G524" s="2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x14ac:dyDescent="0.2">
      <c r="A525" s="21" t="s">
        <v>2252</v>
      </c>
      <c r="B525" s="21" t="s">
        <v>472</v>
      </c>
      <c r="G525" s="2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x14ac:dyDescent="0.2">
      <c r="A526" s="21" t="s">
        <v>2253</v>
      </c>
      <c r="B526" s="21" t="s">
        <v>473</v>
      </c>
      <c r="G526" s="2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x14ac:dyDescent="0.2">
      <c r="A527" s="21" t="s">
        <v>2254</v>
      </c>
      <c r="B527" s="21" t="s">
        <v>474</v>
      </c>
      <c r="G527" s="2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x14ac:dyDescent="0.2">
      <c r="A528" s="21" t="s">
        <v>2255</v>
      </c>
      <c r="B528" s="21" t="s">
        <v>475</v>
      </c>
      <c r="G528" s="2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x14ac:dyDescent="0.2">
      <c r="A529" s="21" t="s">
        <v>2256</v>
      </c>
      <c r="B529" s="21" t="s">
        <v>476</v>
      </c>
      <c r="G529" s="2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x14ac:dyDescent="0.2">
      <c r="A530" s="21" t="s">
        <v>2257</v>
      </c>
      <c r="B530" s="21" t="s">
        <v>477</v>
      </c>
      <c r="G530" s="2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x14ac:dyDescent="0.2">
      <c r="A531" s="21" t="s">
        <v>2258</v>
      </c>
      <c r="B531" s="21" t="s">
        <v>478</v>
      </c>
      <c r="G531" s="2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x14ac:dyDescent="0.2">
      <c r="A532" s="21" t="s">
        <v>2259</v>
      </c>
      <c r="B532" s="21" t="s">
        <v>479</v>
      </c>
      <c r="G532" s="2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x14ac:dyDescent="0.2">
      <c r="A533" s="21" t="s">
        <v>2260</v>
      </c>
      <c r="B533" s="21" t="s">
        <v>480</v>
      </c>
      <c r="G533" s="2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x14ac:dyDescent="0.2">
      <c r="A534" s="21" t="s">
        <v>2261</v>
      </c>
      <c r="B534" s="21" t="s">
        <v>481</v>
      </c>
      <c r="G534" s="2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x14ac:dyDescent="0.2">
      <c r="A535" s="21" t="s">
        <v>2262</v>
      </c>
      <c r="B535" s="21" t="s">
        <v>482</v>
      </c>
      <c r="G535" s="2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x14ac:dyDescent="0.2">
      <c r="A536" s="21" t="s">
        <v>2263</v>
      </c>
      <c r="B536" s="21" t="s">
        <v>483</v>
      </c>
      <c r="G536" s="2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x14ac:dyDescent="0.2">
      <c r="A537" s="21" t="s">
        <v>2264</v>
      </c>
      <c r="B537" s="21" t="s">
        <v>484</v>
      </c>
      <c r="G537" s="2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x14ac:dyDescent="0.2">
      <c r="A538" s="21" t="s">
        <v>2265</v>
      </c>
      <c r="B538" s="21" t="s">
        <v>485</v>
      </c>
      <c r="G538" s="2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x14ac:dyDescent="0.2">
      <c r="A539" s="21" t="s">
        <v>2266</v>
      </c>
      <c r="B539" s="21" t="s">
        <v>486</v>
      </c>
      <c r="G539" s="2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x14ac:dyDescent="0.2">
      <c r="A540" s="21" t="s">
        <v>2267</v>
      </c>
      <c r="B540" s="21" t="s">
        <v>487</v>
      </c>
      <c r="G540" s="2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x14ac:dyDescent="0.2">
      <c r="A541" s="21" t="s">
        <v>2268</v>
      </c>
      <c r="B541" s="21" t="s">
        <v>1585</v>
      </c>
      <c r="G541" s="2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x14ac:dyDescent="0.2">
      <c r="A542" s="21" t="s">
        <v>2269</v>
      </c>
      <c r="B542" s="21" t="s">
        <v>488</v>
      </c>
      <c r="G542" s="2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x14ac:dyDescent="0.2">
      <c r="A543" s="21" t="s">
        <v>2270</v>
      </c>
      <c r="B543" s="21" t="s">
        <v>489</v>
      </c>
      <c r="G543" s="2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x14ac:dyDescent="0.2">
      <c r="A544" s="21" t="s">
        <v>2271</v>
      </c>
      <c r="B544" s="21" t="s">
        <v>490</v>
      </c>
      <c r="G544" s="2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x14ac:dyDescent="0.2">
      <c r="A545" s="21" t="s">
        <v>2272</v>
      </c>
      <c r="B545" s="21" t="s">
        <v>491</v>
      </c>
      <c r="G545" s="2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x14ac:dyDescent="0.2">
      <c r="A546" s="21" t="s">
        <v>2273</v>
      </c>
      <c r="B546" s="21" t="s">
        <v>492</v>
      </c>
      <c r="G546" s="2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x14ac:dyDescent="0.2">
      <c r="A547" s="21" t="s">
        <v>2274</v>
      </c>
      <c r="B547" s="21" t="s">
        <v>493</v>
      </c>
      <c r="G547" s="2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x14ac:dyDescent="0.2">
      <c r="A548" s="21" t="s">
        <v>2275</v>
      </c>
      <c r="B548" s="21" t="s">
        <v>494</v>
      </c>
      <c r="G548" s="2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x14ac:dyDescent="0.2">
      <c r="A549" s="21" t="s">
        <v>2276</v>
      </c>
      <c r="B549" s="21" t="s">
        <v>495</v>
      </c>
      <c r="G549" s="2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x14ac:dyDescent="0.2">
      <c r="A550" s="21" t="s">
        <v>2277</v>
      </c>
      <c r="B550" s="21" t="s">
        <v>1587</v>
      </c>
      <c r="G550" s="2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x14ac:dyDescent="0.2">
      <c r="A551" s="21" t="s">
        <v>2278</v>
      </c>
      <c r="B551" s="21" t="s">
        <v>496</v>
      </c>
      <c r="G551" s="2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x14ac:dyDescent="0.2">
      <c r="A552" s="21" t="s">
        <v>2279</v>
      </c>
      <c r="B552" s="21" t="s">
        <v>497</v>
      </c>
      <c r="G552" s="2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x14ac:dyDescent="0.2">
      <c r="A553" s="21" t="s">
        <v>2280</v>
      </c>
      <c r="B553" s="21" t="s">
        <v>498</v>
      </c>
      <c r="G553" s="2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x14ac:dyDescent="0.2">
      <c r="A554" s="21" t="s">
        <v>2281</v>
      </c>
      <c r="B554" s="21" t="s">
        <v>499</v>
      </c>
      <c r="G554" s="2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x14ac:dyDescent="0.2">
      <c r="A555" s="21" t="s">
        <v>2282</v>
      </c>
      <c r="B555" s="21" t="s">
        <v>500</v>
      </c>
      <c r="G555" s="2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x14ac:dyDescent="0.2">
      <c r="A556" s="21" t="s">
        <v>2283</v>
      </c>
      <c r="B556" s="21" t="s">
        <v>501</v>
      </c>
      <c r="G556" s="2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x14ac:dyDescent="0.2">
      <c r="A557" s="21" t="s">
        <v>2284</v>
      </c>
      <c r="B557" s="21" t="s">
        <v>502</v>
      </c>
      <c r="G557" s="2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x14ac:dyDescent="0.2">
      <c r="A558" s="21" t="s">
        <v>2285</v>
      </c>
      <c r="B558" s="21" t="s">
        <v>503</v>
      </c>
      <c r="G558" s="2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x14ac:dyDescent="0.2">
      <c r="A559" s="21" t="s">
        <v>2286</v>
      </c>
      <c r="B559" s="21" t="s">
        <v>504</v>
      </c>
      <c r="G559" s="2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x14ac:dyDescent="0.2">
      <c r="A560" s="21" t="s">
        <v>2287</v>
      </c>
      <c r="B560" s="21" t="s">
        <v>505</v>
      </c>
      <c r="G560" s="2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x14ac:dyDescent="0.2">
      <c r="A561" s="21" t="s">
        <v>2288</v>
      </c>
      <c r="B561" s="21" t="s">
        <v>506</v>
      </c>
      <c r="G561" s="2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x14ac:dyDescent="0.2">
      <c r="A562" s="21" t="s">
        <v>2289</v>
      </c>
      <c r="B562" s="21" t="s">
        <v>507</v>
      </c>
      <c r="G562" s="2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x14ac:dyDescent="0.2">
      <c r="A563" s="21" t="s">
        <v>2290</v>
      </c>
      <c r="B563" s="21" t="s">
        <v>508</v>
      </c>
      <c r="G563" s="2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x14ac:dyDescent="0.2">
      <c r="A564" s="21" t="s">
        <v>2291</v>
      </c>
      <c r="B564" s="21" t="s">
        <v>509</v>
      </c>
      <c r="G564" s="2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x14ac:dyDescent="0.2">
      <c r="A565" s="21" t="s">
        <v>2292</v>
      </c>
      <c r="B565" s="21" t="s">
        <v>510</v>
      </c>
      <c r="G565" s="2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x14ac:dyDescent="0.2">
      <c r="A566" s="21" t="s">
        <v>2293</v>
      </c>
      <c r="B566" s="21" t="s">
        <v>511</v>
      </c>
      <c r="G566" s="2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x14ac:dyDescent="0.2">
      <c r="A567" s="21" t="s">
        <v>2294</v>
      </c>
      <c r="B567" s="21" t="s">
        <v>512</v>
      </c>
      <c r="G567" s="2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x14ac:dyDescent="0.2">
      <c r="A568" s="21" t="s">
        <v>2295</v>
      </c>
      <c r="B568" s="21" t="s">
        <v>513</v>
      </c>
      <c r="G568" s="2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x14ac:dyDescent="0.2">
      <c r="A569" s="21" t="s">
        <v>2296</v>
      </c>
      <c r="B569" s="21" t="s">
        <v>514</v>
      </c>
      <c r="G569" s="2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x14ac:dyDescent="0.2">
      <c r="A570" s="21" t="s">
        <v>2297</v>
      </c>
      <c r="B570" s="21" t="s">
        <v>515</v>
      </c>
      <c r="G570" s="2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x14ac:dyDescent="0.2">
      <c r="A571" s="21" t="s">
        <v>2298</v>
      </c>
      <c r="B571" s="21" t="s">
        <v>1588</v>
      </c>
      <c r="G571" s="2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x14ac:dyDescent="0.2">
      <c r="A572" s="21" t="s">
        <v>2299</v>
      </c>
      <c r="B572" s="21" t="s">
        <v>516</v>
      </c>
      <c r="G572" s="2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x14ac:dyDescent="0.2">
      <c r="A573" s="21" t="s">
        <v>2300</v>
      </c>
      <c r="B573" s="21" t="s">
        <v>517</v>
      </c>
      <c r="G573" s="2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x14ac:dyDescent="0.2">
      <c r="A574" s="21" t="s">
        <v>2301</v>
      </c>
      <c r="B574" s="21" t="s">
        <v>518</v>
      </c>
      <c r="G574" s="2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x14ac:dyDescent="0.2">
      <c r="A575" s="21" t="s">
        <v>2302</v>
      </c>
      <c r="B575" s="21" t="s">
        <v>519</v>
      </c>
      <c r="G575" s="2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x14ac:dyDescent="0.2">
      <c r="A576" s="21" t="s">
        <v>2303</v>
      </c>
      <c r="B576" s="21" t="s">
        <v>1589</v>
      </c>
      <c r="G576" s="2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x14ac:dyDescent="0.2">
      <c r="A577" s="21" t="s">
        <v>2304</v>
      </c>
      <c r="B577" s="21" t="s">
        <v>520</v>
      </c>
      <c r="G577" s="2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x14ac:dyDescent="0.2">
      <c r="A578" s="21" t="s">
        <v>2305</v>
      </c>
      <c r="B578" s="21" t="s">
        <v>521</v>
      </c>
      <c r="G578" s="2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x14ac:dyDescent="0.2">
      <c r="A579" s="21" t="s">
        <v>2306</v>
      </c>
      <c r="B579" s="21" t="s">
        <v>522</v>
      </c>
      <c r="G579" s="2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x14ac:dyDescent="0.2">
      <c r="A580" s="21" t="s">
        <v>2307</v>
      </c>
      <c r="B580" s="21" t="s">
        <v>523</v>
      </c>
      <c r="G580" s="2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x14ac:dyDescent="0.2">
      <c r="A581" s="21" t="s">
        <v>2308</v>
      </c>
      <c r="B581" s="21" t="s">
        <v>524</v>
      </c>
      <c r="G581" s="2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x14ac:dyDescent="0.2">
      <c r="A582" s="21" t="s">
        <v>2309</v>
      </c>
      <c r="B582" s="21" t="s">
        <v>525</v>
      </c>
      <c r="G582" s="2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x14ac:dyDescent="0.2">
      <c r="A583" s="21" t="s">
        <v>2310</v>
      </c>
      <c r="B583" s="21" t="s">
        <v>526</v>
      </c>
      <c r="G583" s="2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x14ac:dyDescent="0.2">
      <c r="A584" s="21" t="s">
        <v>2311</v>
      </c>
      <c r="B584" s="21" t="s">
        <v>527</v>
      </c>
      <c r="G584" s="2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x14ac:dyDescent="0.2">
      <c r="A585" s="21" t="s">
        <v>2312</v>
      </c>
      <c r="B585" s="21" t="s">
        <v>1591</v>
      </c>
      <c r="G585" s="2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x14ac:dyDescent="0.2">
      <c r="A586" s="21" t="s">
        <v>2313</v>
      </c>
      <c r="B586" s="21" t="s">
        <v>1592</v>
      </c>
      <c r="G586" s="2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x14ac:dyDescent="0.2">
      <c r="A587" s="21" t="s">
        <v>2314</v>
      </c>
      <c r="B587" s="21" t="s">
        <v>528</v>
      </c>
      <c r="G587" s="2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x14ac:dyDescent="0.2">
      <c r="A588" s="21" t="s">
        <v>2315</v>
      </c>
      <c r="B588" s="21" t="s">
        <v>529</v>
      </c>
      <c r="G588" s="2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x14ac:dyDescent="0.2">
      <c r="A589" s="21" t="s">
        <v>2316</v>
      </c>
      <c r="B589" s="21" t="s">
        <v>530</v>
      </c>
      <c r="G589" s="2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x14ac:dyDescent="0.2">
      <c r="A590" s="21" t="s">
        <v>2317</v>
      </c>
      <c r="B590" s="21" t="s">
        <v>531</v>
      </c>
      <c r="G590" s="2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x14ac:dyDescent="0.2">
      <c r="A591" s="21" t="s">
        <v>2318</v>
      </c>
      <c r="B591" s="21" t="s">
        <v>532</v>
      </c>
      <c r="G591" s="2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x14ac:dyDescent="0.2">
      <c r="A592" s="21" t="s">
        <v>2319</v>
      </c>
      <c r="B592" s="21" t="s">
        <v>533</v>
      </c>
      <c r="G592" s="2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x14ac:dyDescent="0.2">
      <c r="A593" s="21" t="s">
        <v>2320</v>
      </c>
      <c r="B593" s="21" t="s">
        <v>534</v>
      </c>
      <c r="G593" s="2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x14ac:dyDescent="0.2">
      <c r="A594" s="21" t="s">
        <v>2321</v>
      </c>
      <c r="B594" s="21" t="s">
        <v>535</v>
      </c>
      <c r="G594" s="2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x14ac:dyDescent="0.2">
      <c r="A595" s="21" t="s">
        <v>2322</v>
      </c>
      <c r="B595" s="21" t="s">
        <v>536</v>
      </c>
      <c r="G595" s="2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x14ac:dyDescent="0.2">
      <c r="A596" s="21" t="s">
        <v>2323</v>
      </c>
      <c r="B596" s="21" t="s">
        <v>537</v>
      </c>
      <c r="G596" s="2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x14ac:dyDescent="0.2">
      <c r="A597" s="21" t="s">
        <v>2324</v>
      </c>
      <c r="B597" s="21" t="s">
        <v>538</v>
      </c>
      <c r="G597" s="2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x14ac:dyDescent="0.2">
      <c r="A598" s="21" t="s">
        <v>2325</v>
      </c>
      <c r="B598" s="21" t="s">
        <v>539</v>
      </c>
      <c r="G598" s="2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x14ac:dyDescent="0.2">
      <c r="A599" s="21" t="s">
        <v>2326</v>
      </c>
      <c r="B599" s="21" t="s">
        <v>540</v>
      </c>
      <c r="G599" s="2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x14ac:dyDescent="0.2">
      <c r="A600" s="21" t="s">
        <v>2327</v>
      </c>
      <c r="B600" s="21" t="s">
        <v>541</v>
      </c>
      <c r="G600" s="2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x14ac:dyDescent="0.2">
      <c r="A601" s="21" t="s">
        <v>2328</v>
      </c>
      <c r="B601" s="21" t="s">
        <v>542</v>
      </c>
      <c r="G601" s="2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x14ac:dyDescent="0.2">
      <c r="A602" s="21" t="s">
        <v>2329</v>
      </c>
      <c r="B602" s="21" t="s">
        <v>543</v>
      </c>
      <c r="G602" s="2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x14ac:dyDescent="0.2">
      <c r="A603" s="21" t="s">
        <v>2330</v>
      </c>
      <c r="B603" s="21" t="s">
        <v>544</v>
      </c>
      <c r="G603" s="2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x14ac:dyDescent="0.2">
      <c r="A604" s="21" t="s">
        <v>2331</v>
      </c>
      <c r="B604" s="21" t="s">
        <v>545</v>
      </c>
      <c r="G604" s="2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x14ac:dyDescent="0.2">
      <c r="A605" s="21" t="s">
        <v>2332</v>
      </c>
      <c r="B605" s="21" t="s">
        <v>546</v>
      </c>
      <c r="G605" s="2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x14ac:dyDescent="0.2">
      <c r="A606" s="21" t="s">
        <v>2333</v>
      </c>
      <c r="B606" s="21" t="s">
        <v>547</v>
      </c>
      <c r="G606" s="2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x14ac:dyDescent="0.2">
      <c r="A607" s="21" t="s">
        <v>2334</v>
      </c>
      <c r="B607" s="21" t="s">
        <v>1593</v>
      </c>
      <c r="G607" s="2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x14ac:dyDescent="0.2">
      <c r="A608" s="21" t="s">
        <v>2335</v>
      </c>
      <c r="B608" s="21" t="s">
        <v>548</v>
      </c>
      <c r="G608" s="2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x14ac:dyDescent="0.2">
      <c r="A609" s="21" t="s">
        <v>2336</v>
      </c>
      <c r="B609" s="21" t="s">
        <v>1594</v>
      </c>
      <c r="G609" s="2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x14ac:dyDescent="0.2">
      <c r="A610" s="21" t="s">
        <v>2337</v>
      </c>
      <c r="B610" s="21" t="s">
        <v>549</v>
      </c>
      <c r="G610" s="2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x14ac:dyDescent="0.2">
      <c r="A611" s="21" t="s">
        <v>2338</v>
      </c>
      <c r="B611" s="21" t="s">
        <v>1663</v>
      </c>
      <c r="G611" s="2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x14ac:dyDescent="0.2">
      <c r="A612" s="21" t="s">
        <v>2339</v>
      </c>
      <c r="B612" s="21" t="s">
        <v>550</v>
      </c>
      <c r="G612" s="2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x14ac:dyDescent="0.2">
      <c r="A613" s="21" t="s">
        <v>2340</v>
      </c>
      <c r="B613" s="21" t="s">
        <v>551</v>
      </c>
      <c r="G613" s="2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x14ac:dyDescent="0.2">
      <c r="A614" s="21" t="s">
        <v>2341</v>
      </c>
      <c r="B614" s="21" t="s">
        <v>552</v>
      </c>
      <c r="G614" s="2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x14ac:dyDescent="0.2">
      <c r="A615" s="21" t="s">
        <v>2342</v>
      </c>
      <c r="B615" s="21" t="s">
        <v>1540</v>
      </c>
      <c r="G615" s="2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x14ac:dyDescent="0.2">
      <c r="A616" s="21" t="s">
        <v>2343</v>
      </c>
      <c r="B616" s="21" t="s">
        <v>553</v>
      </c>
      <c r="G616" s="2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x14ac:dyDescent="0.2">
      <c r="A617" s="21" t="s">
        <v>2344</v>
      </c>
      <c r="B617" s="21" t="s">
        <v>554</v>
      </c>
      <c r="G617" s="2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x14ac:dyDescent="0.2">
      <c r="A618" s="21" t="s">
        <v>2345</v>
      </c>
      <c r="B618" s="21" t="s">
        <v>555</v>
      </c>
      <c r="G618" s="2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x14ac:dyDescent="0.2">
      <c r="A619" s="21" t="s">
        <v>2346</v>
      </c>
      <c r="B619" s="21" t="s">
        <v>556</v>
      </c>
      <c r="G619" s="2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x14ac:dyDescent="0.2">
      <c r="A620" s="21" t="s">
        <v>2347</v>
      </c>
      <c r="B620" s="21" t="s">
        <v>557</v>
      </c>
      <c r="G620" s="2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x14ac:dyDescent="0.2">
      <c r="A621" s="21" t="s">
        <v>2348</v>
      </c>
      <c r="B621" s="21" t="s">
        <v>558</v>
      </c>
      <c r="G621" s="2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x14ac:dyDescent="0.2">
      <c r="A622" s="21" t="s">
        <v>2349</v>
      </c>
      <c r="B622" s="21" t="s">
        <v>559</v>
      </c>
      <c r="G622" s="2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x14ac:dyDescent="0.2">
      <c r="A623" s="21" t="s">
        <v>2350</v>
      </c>
      <c r="B623" s="21" t="s">
        <v>560</v>
      </c>
      <c r="G623" s="2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x14ac:dyDescent="0.2">
      <c r="A624" s="21" t="s">
        <v>2351</v>
      </c>
      <c r="B624" s="21" t="s">
        <v>561</v>
      </c>
      <c r="G624" s="2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x14ac:dyDescent="0.2">
      <c r="A625" s="21" t="s">
        <v>2352</v>
      </c>
      <c r="B625" s="21" t="s">
        <v>1721</v>
      </c>
      <c r="G625" s="2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x14ac:dyDescent="0.2">
      <c r="A626" s="21" t="s">
        <v>2353</v>
      </c>
      <c r="B626" s="21" t="s">
        <v>562</v>
      </c>
      <c r="G626" s="2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x14ac:dyDescent="0.2">
      <c r="A627" s="21" t="s">
        <v>2354</v>
      </c>
      <c r="B627" s="21" t="s">
        <v>563</v>
      </c>
      <c r="G627" s="2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x14ac:dyDescent="0.2">
      <c r="A628" s="21" t="s">
        <v>2355</v>
      </c>
      <c r="B628" s="21" t="s">
        <v>564</v>
      </c>
      <c r="G628" s="2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x14ac:dyDescent="0.2">
      <c r="A629" s="21" t="s">
        <v>2356</v>
      </c>
      <c r="B629" s="21" t="s">
        <v>565</v>
      </c>
      <c r="G629" s="2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x14ac:dyDescent="0.2">
      <c r="A630" s="21" t="s">
        <v>2357</v>
      </c>
      <c r="B630" s="21" t="s">
        <v>566</v>
      </c>
      <c r="G630" s="2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x14ac:dyDescent="0.2">
      <c r="A631" s="21" t="s">
        <v>2358</v>
      </c>
      <c r="B631" s="21" t="s">
        <v>567</v>
      </c>
      <c r="G631" s="2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x14ac:dyDescent="0.2">
      <c r="A632" s="21" t="s">
        <v>2359</v>
      </c>
      <c r="B632" s="21" t="s">
        <v>568</v>
      </c>
      <c r="G632" s="2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x14ac:dyDescent="0.2">
      <c r="A633" s="21" t="s">
        <v>2360</v>
      </c>
      <c r="B633" s="21" t="s">
        <v>569</v>
      </c>
      <c r="G633" s="2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x14ac:dyDescent="0.2">
      <c r="A634" s="21" t="s">
        <v>2361</v>
      </c>
      <c r="B634" s="21" t="s">
        <v>570</v>
      </c>
      <c r="G634" s="2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x14ac:dyDescent="0.2">
      <c r="A635" s="21" t="s">
        <v>2362</v>
      </c>
      <c r="B635" s="21" t="s">
        <v>571</v>
      </c>
      <c r="G635" s="2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x14ac:dyDescent="0.2">
      <c r="A636" s="21" t="s">
        <v>2363</v>
      </c>
      <c r="B636" s="21" t="s">
        <v>572</v>
      </c>
      <c r="G636" s="2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x14ac:dyDescent="0.2">
      <c r="A637" s="21" t="s">
        <v>2364</v>
      </c>
      <c r="B637" s="21" t="s">
        <v>573</v>
      </c>
      <c r="G637" s="2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x14ac:dyDescent="0.2">
      <c r="A638" s="21" t="s">
        <v>2365</v>
      </c>
      <c r="B638" s="21" t="s">
        <v>574</v>
      </c>
      <c r="G638" s="2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x14ac:dyDescent="0.2">
      <c r="A639" s="21" t="s">
        <v>2366</v>
      </c>
      <c r="B639" s="21" t="s">
        <v>575</v>
      </c>
      <c r="G639" s="2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x14ac:dyDescent="0.2">
      <c r="A640" s="21" t="s">
        <v>2367</v>
      </c>
      <c r="B640" s="21" t="s">
        <v>576</v>
      </c>
      <c r="G640" s="2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x14ac:dyDescent="0.2">
      <c r="A641" s="21" t="s">
        <v>2368</v>
      </c>
      <c r="B641" s="21" t="s">
        <v>577</v>
      </c>
      <c r="G641" s="2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x14ac:dyDescent="0.2">
      <c r="A642" s="21" t="s">
        <v>2369</v>
      </c>
      <c r="B642" s="21" t="s">
        <v>578</v>
      </c>
      <c r="G642" s="2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x14ac:dyDescent="0.2">
      <c r="A643" s="21" t="s">
        <v>2370</v>
      </c>
      <c r="B643" s="21" t="s">
        <v>1576</v>
      </c>
      <c r="G643" s="2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x14ac:dyDescent="0.2">
      <c r="A644" s="21" t="s">
        <v>2371</v>
      </c>
      <c r="B644" s="21" t="s">
        <v>1599</v>
      </c>
      <c r="G644" s="2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x14ac:dyDescent="0.2">
      <c r="A645" s="21" t="s">
        <v>2372</v>
      </c>
      <c r="B645" s="21" t="s">
        <v>579</v>
      </c>
      <c r="G645" s="2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x14ac:dyDescent="0.2">
      <c r="A646" s="21" t="s">
        <v>2373</v>
      </c>
      <c r="B646" s="21" t="s">
        <v>580</v>
      </c>
      <c r="G646" s="2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x14ac:dyDescent="0.2">
      <c r="A647" s="21" t="s">
        <v>2374</v>
      </c>
      <c r="B647" s="21" t="s">
        <v>581</v>
      </c>
      <c r="G647" s="2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x14ac:dyDescent="0.2">
      <c r="A648" s="21" t="s">
        <v>2375</v>
      </c>
      <c r="B648" s="21" t="s">
        <v>582</v>
      </c>
      <c r="G648" s="2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x14ac:dyDescent="0.2">
      <c r="A649" s="21" t="s">
        <v>2376</v>
      </c>
      <c r="B649" s="21" t="s">
        <v>583</v>
      </c>
      <c r="G649" s="2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x14ac:dyDescent="0.2">
      <c r="A650" s="21" t="s">
        <v>2377</v>
      </c>
      <c r="B650" s="21" t="s">
        <v>584</v>
      </c>
      <c r="G650" s="2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x14ac:dyDescent="0.2">
      <c r="A651" s="21" t="s">
        <v>2378</v>
      </c>
      <c r="B651" s="21" t="s">
        <v>585</v>
      </c>
      <c r="G651" s="2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x14ac:dyDescent="0.2">
      <c r="A652" s="21" t="s">
        <v>2379</v>
      </c>
      <c r="B652" s="21" t="s">
        <v>586</v>
      </c>
      <c r="G652" s="2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x14ac:dyDescent="0.2">
      <c r="A653" s="21" t="s">
        <v>2380</v>
      </c>
      <c r="B653" s="21" t="s">
        <v>587</v>
      </c>
      <c r="G653" s="2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x14ac:dyDescent="0.2">
      <c r="A654" s="21" t="s">
        <v>2381</v>
      </c>
      <c r="B654" s="21" t="s">
        <v>1596</v>
      </c>
      <c r="G654" s="2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x14ac:dyDescent="0.2">
      <c r="A655" s="21" t="s">
        <v>2382</v>
      </c>
      <c r="B655" s="21" t="s">
        <v>588</v>
      </c>
      <c r="G655" s="2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x14ac:dyDescent="0.2">
      <c r="A656" s="21" t="s">
        <v>2383</v>
      </c>
      <c r="B656" s="21" t="s">
        <v>589</v>
      </c>
      <c r="G656" s="2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x14ac:dyDescent="0.2">
      <c r="A657" s="21" t="s">
        <v>2384</v>
      </c>
      <c r="B657" s="21" t="s">
        <v>590</v>
      </c>
      <c r="G657" s="2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x14ac:dyDescent="0.2">
      <c r="A658" s="21" t="s">
        <v>2385</v>
      </c>
      <c r="B658" s="21" t="s">
        <v>591</v>
      </c>
      <c r="G658" s="2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x14ac:dyDescent="0.2">
      <c r="A659" s="21" t="s">
        <v>2386</v>
      </c>
      <c r="B659" s="21" t="s">
        <v>592</v>
      </c>
      <c r="G659" s="2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x14ac:dyDescent="0.2">
      <c r="A660" s="21" t="s">
        <v>2387</v>
      </c>
      <c r="B660" s="21" t="s">
        <v>593</v>
      </c>
      <c r="G660" s="2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x14ac:dyDescent="0.2">
      <c r="A661" s="21" t="s">
        <v>2388</v>
      </c>
      <c r="B661" s="21" t="s">
        <v>594</v>
      </c>
      <c r="G661" s="2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x14ac:dyDescent="0.2">
      <c r="A662" s="21" t="s">
        <v>2389</v>
      </c>
      <c r="B662" s="21" t="s">
        <v>595</v>
      </c>
      <c r="G662" s="2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x14ac:dyDescent="0.2">
      <c r="A663" s="21" t="s">
        <v>2390</v>
      </c>
      <c r="B663" s="21" t="s">
        <v>596</v>
      </c>
      <c r="G663" s="2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x14ac:dyDescent="0.2">
      <c r="A664" s="21" t="s">
        <v>2391</v>
      </c>
      <c r="B664" s="21" t="s">
        <v>597</v>
      </c>
      <c r="G664" s="2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x14ac:dyDescent="0.2">
      <c r="A665" s="21" t="s">
        <v>2392</v>
      </c>
      <c r="B665" s="21" t="s">
        <v>598</v>
      </c>
      <c r="G665" s="2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x14ac:dyDescent="0.2">
      <c r="A666" s="21" t="s">
        <v>2393</v>
      </c>
      <c r="B666" s="21" t="s">
        <v>1597</v>
      </c>
      <c r="G666" s="2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x14ac:dyDescent="0.2">
      <c r="A667" s="21" t="s">
        <v>2394</v>
      </c>
      <c r="B667" s="21" t="s">
        <v>1635</v>
      </c>
      <c r="G667" s="2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x14ac:dyDescent="0.2">
      <c r="A668" s="21" t="s">
        <v>2395</v>
      </c>
      <c r="B668" s="21" t="s">
        <v>599</v>
      </c>
      <c r="G668" s="2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x14ac:dyDescent="0.2">
      <c r="A669" s="21" t="s">
        <v>2396</v>
      </c>
      <c r="B669" s="21" t="s">
        <v>600</v>
      </c>
      <c r="G669" s="2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x14ac:dyDescent="0.2">
      <c r="A670" s="21" t="s">
        <v>2397</v>
      </c>
      <c r="B670" s="21" t="s">
        <v>1578</v>
      </c>
      <c r="G670" s="2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x14ac:dyDescent="0.2">
      <c r="A671" s="21" t="s">
        <v>2398</v>
      </c>
      <c r="B671" s="21" t="s">
        <v>601</v>
      </c>
      <c r="G671" s="2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x14ac:dyDescent="0.2">
      <c r="A672" s="21" t="s">
        <v>2399</v>
      </c>
      <c r="B672" s="21" t="s">
        <v>602</v>
      </c>
      <c r="G672" s="2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x14ac:dyDescent="0.2">
      <c r="A673" s="21" t="s">
        <v>2400</v>
      </c>
      <c r="B673" s="21" t="s">
        <v>1598</v>
      </c>
      <c r="G673" s="2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x14ac:dyDescent="0.2">
      <c r="A674" s="21" t="s">
        <v>2401</v>
      </c>
      <c r="B674" s="21" t="s">
        <v>603</v>
      </c>
      <c r="G674" s="2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x14ac:dyDescent="0.2">
      <c r="A675" s="21" t="s">
        <v>2402</v>
      </c>
      <c r="B675" s="21" t="s">
        <v>604</v>
      </c>
      <c r="G675" s="2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x14ac:dyDescent="0.2">
      <c r="A676" s="21" t="s">
        <v>2403</v>
      </c>
      <c r="B676" s="21" t="s">
        <v>605</v>
      </c>
      <c r="G676" s="2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x14ac:dyDescent="0.2">
      <c r="A677" s="21" t="s">
        <v>2404</v>
      </c>
      <c r="B677" s="21" t="s">
        <v>606</v>
      </c>
      <c r="G677" s="2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x14ac:dyDescent="0.2">
      <c r="A678" s="21" t="s">
        <v>2405</v>
      </c>
      <c r="B678" s="21" t="s">
        <v>607</v>
      </c>
      <c r="G678" s="2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x14ac:dyDescent="0.2">
      <c r="A679" s="21" t="s">
        <v>2406</v>
      </c>
      <c r="B679" s="21" t="s">
        <v>608</v>
      </c>
      <c r="G679" s="2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x14ac:dyDescent="0.2">
      <c r="A680" s="21" t="s">
        <v>2407</v>
      </c>
      <c r="B680" s="21" t="s">
        <v>609</v>
      </c>
      <c r="G680" s="2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x14ac:dyDescent="0.2">
      <c r="A681" s="21" t="s">
        <v>2408</v>
      </c>
      <c r="B681" s="21" t="s">
        <v>610</v>
      </c>
      <c r="G681" s="2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x14ac:dyDescent="0.2">
      <c r="A682" s="21" t="s">
        <v>2409</v>
      </c>
      <c r="B682" s="21" t="s">
        <v>611</v>
      </c>
      <c r="G682" s="2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x14ac:dyDescent="0.2">
      <c r="A683" s="21" t="s">
        <v>2410</v>
      </c>
      <c r="B683" s="21" t="s">
        <v>612</v>
      </c>
      <c r="G683" s="2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x14ac:dyDescent="0.2">
      <c r="A684" s="21" t="s">
        <v>2411</v>
      </c>
      <c r="B684" s="21" t="s">
        <v>613</v>
      </c>
      <c r="G684" s="2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x14ac:dyDescent="0.2">
      <c r="A685" s="21" t="s">
        <v>2412</v>
      </c>
      <c r="B685" s="21" t="s">
        <v>614</v>
      </c>
      <c r="G685" s="2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x14ac:dyDescent="0.2">
      <c r="A686" s="21" t="s">
        <v>2413</v>
      </c>
      <c r="B686" s="21" t="s">
        <v>615</v>
      </c>
      <c r="G686" s="2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x14ac:dyDescent="0.2">
      <c r="A687" s="21" t="s">
        <v>2414</v>
      </c>
      <c r="B687" s="21" t="s">
        <v>616</v>
      </c>
      <c r="G687" s="2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x14ac:dyDescent="0.2">
      <c r="A688" s="21" t="s">
        <v>2415</v>
      </c>
      <c r="B688" s="21" t="s">
        <v>617</v>
      </c>
      <c r="G688" s="2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x14ac:dyDescent="0.2">
      <c r="A689" s="21" t="s">
        <v>2416</v>
      </c>
      <c r="B689" s="21" t="s">
        <v>618</v>
      </c>
      <c r="G689" s="2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x14ac:dyDescent="0.2">
      <c r="A690" s="21" t="s">
        <v>2417</v>
      </c>
      <c r="B690" s="21" t="s">
        <v>619</v>
      </c>
      <c r="G690" s="2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x14ac:dyDescent="0.2">
      <c r="A691" s="21" t="s">
        <v>2418</v>
      </c>
      <c r="B691" s="21" t="s">
        <v>620</v>
      </c>
      <c r="G691" s="2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x14ac:dyDescent="0.2">
      <c r="A692" s="21" t="s">
        <v>2419</v>
      </c>
      <c r="B692" s="21" t="s">
        <v>1600</v>
      </c>
      <c r="G692" s="2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x14ac:dyDescent="0.2">
      <c r="A693" s="21" t="s">
        <v>2420</v>
      </c>
      <c r="B693" s="21" t="s">
        <v>621</v>
      </c>
      <c r="G693" s="2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x14ac:dyDescent="0.2">
      <c r="A694" s="21" t="s">
        <v>2421</v>
      </c>
      <c r="B694" s="21" t="s">
        <v>622</v>
      </c>
      <c r="G694" s="2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x14ac:dyDescent="0.2">
      <c r="A695" s="21" t="s">
        <v>2422</v>
      </c>
      <c r="B695" s="21" t="s">
        <v>623</v>
      </c>
      <c r="G695" s="2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x14ac:dyDescent="0.2">
      <c r="A696" s="21" t="s">
        <v>2423</v>
      </c>
      <c r="B696" s="21" t="s">
        <v>624</v>
      </c>
      <c r="G696" s="2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x14ac:dyDescent="0.2">
      <c r="A697" s="21" t="s">
        <v>2424</v>
      </c>
      <c r="B697" s="21" t="s">
        <v>625</v>
      </c>
      <c r="G697" s="2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x14ac:dyDescent="0.2">
      <c r="A698" s="21" t="s">
        <v>2425</v>
      </c>
      <c r="B698" s="21" t="s">
        <v>626</v>
      </c>
      <c r="G698" s="2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x14ac:dyDescent="0.2">
      <c r="A699" s="21" t="s">
        <v>2426</v>
      </c>
      <c r="B699" s="21" t="s">
        <v>627</v>
      </c>
      <c r="G699" s="2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x14ac:dyDescent="0.2">
      <c r="A700" s="21" t="s">
        <v>2427</v>
      </c>
      <c r="B700" s="21" t="s">
        <v>628</v>
      </c>
      <c r="G700" s="2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x14ac:dyDescent="0.2">
      <c r="A701" s="21" t="s">
        <v>2428</v>
      </c>
      <c r="B701" s="21" t="s">
        <v>629</v>
      </c>
      <c r="G701" s="2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x14ac:dyDescent="0.2">
      <c r="A702" s="21" t="s">
        <v>2429</v>
      </c>
      <c r="B702" s="21" t="s">
        <v>630</v>
      </c>
      <c r="G702" s="2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x14ac:dyDescent="0.2">
      <c r="A703" s="21" t="s">
        <v>2430</v>
      </c>
      <c r="B703" s="21" t="s">
        <v>631</v>
      </c>
      <c r="G703" s="2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x14ac:dyDescent="0.2">
      <c r="A704" s="21" t="s">
        <v>2431</v>
      </c>
      <c r="B704" s="21" t="s">
        <v>632</v>
      </c>
      <c r="G704" s="2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x14ac:dyDescent="0.2">
      <c r="A705" s="21" t="s">
        <v>2432</v>
      </c>
      <c r="B705" s="21" t="s">
        <v>633</v>
      </c>
      <c r="G705" s="2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x14ac:dyDescent="0.2">
      <c r="A706" s="21" t="s">
        <v>2433</v>
      </c>
      <c r="B706" s="21" t="s">
        <v>634</v>
      </c>
      <c r="G706" s="2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x14ac:dyDescent="0.2">
      <c r="A707" s="21" t="s">
        <v>2434</v>
      </c>
      <c r="B707" s="21" t="s">
        <v>1602</v>
      </c>
      <c r="G707" s="2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x14ac:dyDescent="0.2">
      <c r="A708" s="21" t="s">
        <v>2435</v>
      </c>
      <c r="B708" s="21" t="s">
        <v>1586</v>
      </c>
      <c r="G708" s="2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x14ac:dyDescent="0.2">
      <c r="A709" s="21" t="s">
        <v>2436</v>
      </c>
      <c r="B709" s="21" t="s">
        <v>635</v>
      </c>
      <c r="G709" s="2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x14ac:dyDescent="0.2">
      <c r="A710" s="21" t="s">
        <v>2437</v>
      </c>
      <c r="B710" s="21" t="s">
        <v>636</v>
      </c>
      <c r="G710" s="2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x14ac:dyDescent="0.2">
      <c r="A711" s="21" t="s">
        <v>2438</v>
      </c>
      <c r="B711" s="21" t="s">
        <v>1603</v>
      </c>
      <c r="G711" s="2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x14ac:dyDescent="0.2">
      <c r="A712" s="21" t="s">
        <v>2439</v>
      </c>
      <c r="B712" s="21" t="s">
        <v>637</v>
      </c>
      <c r="G712" s="2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x14ac:dyDescent="0.2">
      <c r="A713" s="21" t="s">
        <v>2440</v>
      </c>
      <c r="B713" s="21" t="s">
        <v>638</v>
      </c>
      <c r="G713" s="2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x14ac:dyDescent="0.2">
      <c r="A714" s="21" t="s">
        <v>2441</v>
      </c>
      <c r="B714" s="21" t="s">
        <v>639</v>
      </c>
      <c r="G714" s="2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x14ac:dyDescent="0.2">
      <c r="A715" s="21" t="s">
        <v>2442</v>
      </c>
      <c r="B715" s="21" t="s">
        <v>640</v>
      </c>
      <c r="G715" s="2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x14ac:dyDescent="0.2">
      <c r="A716" s="21" t="s">
        <v>2443</v>
      </c>
      <c r="B716" s="21" t="s">
        <v>641</v>
      </c>
      <c r="G716" s="2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x14ac:dyDescent="0.2">
      <c r="A717" s="21" t="s">
        <v>2444</v>
      </c>
      <c r="B717" s="21" t="s">
        <v>642</v>
      </c>
      <c r="G717" s="2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x14ac:dyDescent="0.2">
      <c r="A718" s="21" t="s">
        <v>2445</v>
      </c>
      <c r="B718" s="21" t="s">
        <v>643</v>
      </c>
      <c r="G718" s="2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x14ac:dyDescent="0.2">
      <c r="A719" s="21" t="s">
        <v>2446</v>
      </c>
      <c r="B719" s="21" t="s">
        <v>644</v>
      </c>
      <c r="G719" s="2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x14ac:dyDescent="0.2">
      <c r="A720" s="21" t="s">
        <v>2447</v>
      </c>
      <c r="B720" s="21" t="s">
        <v>645</v>
      </c>
      <c r="G720" s="2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x14ac:dyDescent="0.2">
      <c r="A721" s="21" t="s">
        <v>2448</v>
      </c>
      <c r="B721" s="21" t="s">
        <v>646</v>
      </c>
      <c r="G721" s="2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x14ac:dyDescent="0.2">
      <c r="A722" s="21" t="s">
        <v>2449</v>
      </c>
      <c r="B722" s="21" t="s">
        <v>647</v>
      </c>
      <c r="G722" s="2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x14ac:dyDescent="0.2">
      <c r="A723" s="21" t="s">
        <v>2450</v>
      </c>
      <c r="B723" s="21" t="s">
        <v>648</v>
      </c>
      <c r="G723" s="2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x14ac:dyDescent="0.2">
      <c r="A724" s="21" t="s">
        <v>2451</v>
      </c>
      <c r="B724" s="21" t="s">
        <v>649</v>
      </c>
      <c r="G724" s="2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x14ac:dyDescent="0.2">
      <c r="A725" s="21" t="s">
        <v>2452</v>
      </c>
      <c r="B725" s="21" t="s">
        <v>650</v>
      </c>
      <c r="G725" s="2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x14ac:dyDescent="0.2">
      <c r="A726" s="21" t="s">
        <v>2453</v>
      </c>
      <c r="B726" s="21" t="s">
        <v>651</v>
      </c>
      <c r="G726" s="2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x14ac:dyDescent="0.2">
      <c r="A727" s="21" t="s">
        <v>2454</v>
      </c>
      <c r="B727" s="21" t="s">
        <v>1595</v>
      </c>
      <c r="G727" s="2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x14ac:dyDescent="0.2">
      <c r="A728" s="21" t="s">
        <v>2455</v>
      </c>
      <c r="B728" s="21" t="s">
        <v>652</v>
      </c>
      <c r="G728" s="2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x14ac:dyDescent="0.2">
      <c r="A729" s="21" t="s">
        <v>2456</v>
      </c>
      <c r="B729" s="21" t="s">
        <v>1604</v>
      </c>
      <c r="G729" s="2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x14ac:dyDescent="0.2">
      <c r="A730" s="21" t="s">
        <v>2457</v>
      </c>
      <c r="B730" s="21" t="s">
        <v>1605</v>
      </c>
      <c r="G730" s="2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x14ac:dyDescent="0.2">
      <c r="A731" s="21" t="s">
        <v>2458</v>
      </c>
      <c r="B731" s="21" t="s">
        <v>653</v>
      </c>
      <c r="G731" s="2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x14ac:dyDescent="0.2">
      <c r="A732" s="21" t="s">
        <v>2459</v>
      </c>
      <c r="B732" s="21" t="s">
        <v>654</v>
      </c>
      <c r="G732" s="2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x14ac:dyDescent="0.2">
      <c r="A733" s="21" t="s">
        <v>2460</v>
      </c>
      <c r="B733" s="21" t="s">
        <v>655</v>
      </c>
      <c r="G733" s="2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x14ac:dyDescent="0.2">
      <c r="A734" s="21" t="s">
        <v>2461</v>
      </c>
      <c r="B734" s="21" t="s">
        <v>656</v>
      </c>
      <c r="G734" s="2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x14ac:dyDescent="0.2">
      <c r="A735" s="21" t="s">
        <v>2462</v>
      </c>
      <c r="B735" s="21" t="s">
        <v>1601</v>
      </c>
      <c r="G735" s="2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x14ac:dyDescent="0.2">
      <c r="A736" s="21" t="s">
        <v>2463</v>
      </c>
      <c r="B736" s="21" t="s">
        <v>657</v>
      </c>
      <c r="G736" s="2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x14ac:dyDescent="0.2">
      <c r="A737" s="21" t="s">
        <v>2464</v>
      </c>
      <c r="B737" s="21" t="s">
        <v>658</v>
      </c>
      <c r="G737" s="2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x14ac:dyDescent="0.2">
      <c r="A738" s="21" t="s">
        <v>2465</v>
      </c>
      <c r="B738" s="21" t="s">
        <v>659</v>
      </c>
      <c r="G738" s="2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x14ac:dyDescent="0.2">
      <c r="A739" s="21" t="s">
        <v>2466</v>
      </c>
      <c r="B739" s="21" t="s">
        <v>1606</v>
      </c>
      <c r="G739" s="2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x14ac:dyDescent="0.2">
      <c r="A740" s="21" t="s">
        <v>2467</v>
      </c>
      <c r="B740" s="21" t="s">
        <v>660</v>
      </c>
      <c r="G740" s="2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x14ac:dyDescent="0.2">
      <c r="A741" s="21" t="s">
        <v>2468</v>
      </c>
      <c r="B741" s="21" t="s">
        <v>661</v>
      </c>
      <c r="G741" s="2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x14ac:dyDescent="0.2">
      <c r="A742" s="21" t="s">
        <v>2469</v>
      </c>
      <c r="B742" s="21" t="s">
        <v>662</v>
      </c>
      <c r="G742" s="2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x14ac:dyDescent="0.2">
      <c r="A743" s="21" t="s">
        <v>2470</v>
      </c>
      <c r="B743" s="21" t="s">
        <v>663</v>
      </c>
      <c r="G743" s="2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x14ac:dyDescent="0.2">
      <c r="A744" s="21" t="s">
        <v>2471</v>
      </c>
      <c r="B744" s="21" t="s">
        <v>664</v>
      </c>
      <c r="G744" s="2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x14ac:dyDescent="0.2">
      <c r="A745" s="21" t="s">
        <v>2472</v>
      </c>
      <c r="B745" s="21" t="s">
        <v>1672</v>
      </c>
      <c r="G745" s="2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x14ac:dyDescent="0.2">
      <c r="A746" s="21" t="s">
        <v>2473</v>
      </c>
      <c r="B746" s="21" t="s">
        <v>665</v>
      </c>
      <c r="G746" s="2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x14ac:dyDescent="0.2">
      <c r="A747" s="21" t="s">
        <v>2474</v>
      </c>
      <c r="B747" s="21" t="s">
        <v>666</v>
      </c>
      <c r="G747" s="2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x14ac:dyDescent="0.2">
      <c r="A748" s="21" t="s">
        <v>2475</v>
      </c>
      <c r="B748" s="21" t="s">
        <v>667</v>
      </c>
      <c r="G748" s="2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x14ac:dyDescent="0.2">
      <c r="A749" s="21" t="s">
        <v>2476</v>
      </c>
      <c r="B749" s="21" t="s">
        <v>668</v>
      </c>
      <c r="G749" s="2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x14ac:dyDescent="0.2">
      <c r="A750" s="21" t="s">
        <v>2477</v>
      </c>
      <c r="B750" s="21" t="s">
        <v>669</v>
      </c>
      <c r="G750" s="2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x14ac:dyDescent="0.2">
      <c r="A751" s="21" t="s">
        <v>2478</v>
      </c>
      <c r="B751" s="21" t="s">
        <v>670</v>
      </c>
      <c r="G751" s="2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x14ac:dyDescent="0.2">
      <c r="A752" s="21" t="s">
        <v>2479</v>
      </c>
      <c r="B752" s="21" t="s">
        <v>671</v>
      </c>
      <c r="G752" s="2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x14ac:dyDescent="0.2">
      <c r="A753" s="21" t="s">
        <v>2480</v>
      </c>
      <c r="B753" s="21" t="s">
        <v>672</v>
      </c>
      <c r="G753" s="2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x14ac:dyDescent="0.2">
      <c r="A754" s="21" t="s">
        <v>2481</v>
      </c>
      <c r="B754" s="21" t="s">
        <v>673</v>
      </c>
      <c r="G754" s="2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x14ac:dyDescent="0.2">
      <c r="A755" s="21" t="s">
        <v>2482</v>
      </c>
      <c r="B755" s="21" t="s">
        <v>674</v>
      </c>
      <c r="G755" s="2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x14ac:dyDescent="0.2">
      <c r="A756" s="21" t="s">
        <v>2483</v>
      </c>
      <c r="B756" s="21" t="s">
        <v>675</v>
      </c>
      <c r="G756" s="2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x14ac:dyDescent="0.2">
      <c r="A757" s="21" t="s">
        <v>2484</v>
      </c>
      <c r="B757" s="21" t="s">
        <v>676</v>
      </c>
      <c r="G757" s="2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x14ac:dyDescent="0.2">
      <c r="A758" s="21" t="s">
        <v>2485</v>
      </c>
      <c r="B758" s="21" t="s">
        <v>677</v>
      </c>
      <c r="G758" s="2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x14ac:dyDescent="0.2">
      <c r="A759" s="21" t="s">
        <v>2486</v>
      </c>
      <c r="B759" s="21" t="s">
        <v>678</v>
      </c>
      <c r="G759" s="2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x14ac:dyDescent="0.2">
      <c r="A760" s="21" t="s">
        <v>2487</v>
      </c>
      <c r="B760" s="21" t="s">
        <v>679</v>
      </c>
      <c r="G760" s="2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x14ac:dyDescent="0.2">
      <c r="A761" s="21" t="s">
        <v>2488</v>
      </c>
      <c r="B761" s="21" t="s">
        <v>680</v>
      </c>
      <c r="G761" s="2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x14ac:dyDescent="0.2">
      <c r="A762" s="21" t="s">
        <v>2489</v>
      </c>
      <c r="B762" s="21" t="s">
        <v>681</v>
      </c>
      <c r="G762" s="2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x14ac:dyDescent="0.2">
      <c r="A763" s="21" t="s">
        <v>2490</v>
      </c>
      <c r="B763" s="21" t="s">
        <v>682</v>
      </c>
      <c r="G763" s="2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x14ac:dyDescent="0.2">
      <c r="A764" s="21" t="s">
        <v>2491</v>
      </c>
      <c r="B764" s="21" t="s">
        <v>683</v>
      </c>
      <c r="G764" s="2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x14ac:dyDescent="0.2">
      <c r="A765" s="21" t="s">
        <v>2492</v>
      </c>
      <c r="B765" s="21" t="s">
        <v>684</v>
      </c>
      <c r="G765" s="2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x14ac:dyDescent="0.2">
      <c r="A766" s="21" t="s">
        <v>2493</v>
      </c>
      <c r="B766" s="21" t="s">
        <v>685</v>
      </c>
      <c r="G766" s="2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x14ac:dyDescent="0.2">
      <c r="A767" s="21" t="s">
        <v>2494</v>
      </c>
      <c r="B767" s="21" t="s">
        <v>1607</v>
      </c>
      <c r="G767" s="2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x14ac:dyDescent="0.2">
      <c r="A768" s="21" t="s">
        <v>2495</v>
      </c>
      <c r="B768" s="21" t="s">
        <v>686</v>
      </c>
      <c r="G768" s="2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x14ac:dyDescent="0.2">
      <c r="A769" s="21" t="s">
        <v>2496</v>
      </c>
      <c r="B769" s="21" t="s">
        <v>687</v>
      </c>
      <c r="G769" s="2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x14ac:dyDescent="0.2">
      <c r="A770" s="21" t="s">
        <v>2497</v>
      </c>
      <c r="B770" s="21" t="s">
        <v>688</v>
      </c>
      <c r="G770" s="2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x14ac:dyDescent="0.2">
      <c r="A771" s="21" t="s">
        <v>2498</v>
      </c>
      <c r="B771" s="21" t="s">
        <v>689</v>
      </c>
      <c r="G771" s="2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x14ac:dyDescent="0.2">
      <c r="A772" s="21" t="s">
        <v>2499</v>
      </c>
      <c r="B772" s="21" t="s">
        <v>690</v>
      </c>
      <c r="G772" s="2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x14ac:dyDescent="0.2">
      <c r="A773" s="21" t="s">
        <v>2500</v>
      </c>
      <c r="B773" s="21" t="s">
        <v>691</v>
      </c>
      <c r="G773" s="2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x14ac:dyDescent="0.2">
      <c r="A774" s="21" t="s">
        <v>2501</v>
      </c>
      <c r="B774" s="21" t="s">
        <v>692</v>
      </c>
      <c r="G774" s="2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x14ac:dyDescent="0.2">
      <c r="A775" s="21" t="s">
        <v>2502</v>
      </c>
      <c r="B775" s="21" t="s">
        <v>693</v>
      </c>
      <c r="G775" s="2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x14ac:dyDescent="0.2">
      <c r="A776" s="21" t="s">
        <v>2503</v>
      </c>
      <c r="B776" s="21" t="s">
        <v>694</v>
      </c>
      <c r="G776" s="2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x14ac:dyDescent="0.2">
      <c r="A777" s="21" t="s">
        <v>2504</v>
      </c>
      <c r="B777" s="21" t="s">
        <v>695</v>
      </c>
      <c r="G777" s="2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x14ac:dyDescent="0.2">
      <c r="A778" s="21" t="s">
        <v>2505</v>
      </c>
      <c r="B778" s="21" t="s">
        <v>696</v>
      </c>
      <c r="G778" s="2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x14ac:dyDescent="0.2">
      <c r="A779" s="21" t="s">
        <v>2506</v>
      </c>
      <c r="B779" s="21" t="s">
        <v>697</v>
      </c>
      <c r="G779" s="2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x14ac:dyDescent="0.2">
      <c r="A780" s="21" t="s">
        <v>2507</v>
      </c>
      <c r="B780" s="21" t="s">
        <v>698</v>
      </c>
      <c r="G780" s="2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x14ac:dyDescent="0.2">
      <c r="A781" s="21" t="s">
        <v>2508</v>
      </c>
      <c r="B781" s="21" t="s">
        <v>699</v>
      </c>
      <c r="G781" s="2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x14ac:dyDescent="0.2">
      <c r="A782" s="21" t="s">
        <v>2509</v>
      </c>
      <c r="B782" s="21" t="s">
        <v>700</v>
      </c>
      <c r="G782" s="2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x14ac:dyDescent="0.2">
      <c r="A783" s="21" t="s">
        <v>2510</v>
      </c>
      <c r="B783" s="21" t="s">
        <v>701</v>
      </c>
      <c r="G783" s="2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x14ac:dyDescent="0.2">
      <c r="A784" s="21" t="s">
        <v>2511</v>
      </c>
      <c r="B784" s="21" t="s">
        <v>702</v>
      </c>
      <c r="G784" s="2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x14ac:dyDescent="0.2">
      <c r="A785" s="21" t="s">
        <v>2512</v>
      </c>
      <c r="B785" s="21" t="s">
        <v>1609</v>
      </c>
      <c r="G785" s="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x14ac:dyDescent="0.2">
      <c r="A786" s="21" t="s">
        <v>2513</v>
      </c>
      <c r="B786" s="21" t="s">
        <v>703</v>
      </c>
      <c r="G786" s="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x14ac:dyDescent="0.2">
      <c r="A787" s="21" t="s">
        <v>2514</v>
      </c>
      <c r="B787" s="21" t="s">
        <v>704</v>
      </c>
      <c r="G787" s="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x14ac:dyDescent="0.2">
      <c r="A788" s="21" t="s">
        <v>2515</v>
      </c>
      <c r="B788" s="21" t="s">
        <v>705</v>
      </c>
      <c r="G788" s="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x14ac:dyDescent="0.2">
      <c r="A789" s="21" t="s">
        <v>2516</v>
      </c>
      <c r="B789" s="21" t="s">
        <v>706</v>
      </c>
      <c r="G789" s="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x14ac:dyDescent="0.2">
      <c r="A790" s="21" t="s">
        <v>2517</v>
      </c>
      <c r="B790" s="21" t="s">
        <v>707</v>
      </c>
      <c r="G790" s="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x14ac:dyDescent="0.2">
      <c r="A791" s="21" t="s">
        <v>2518</v>
      </c>
      <c r="B791" s="21" t="s">
        <v>708</v>
      </c>
      <c r="G791" s="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x14ac:dyDescent="0.2">
      <c r="A792" s="21" t="s">
        <v>2519</v>
      </c>
      <c r="B792" s="21" t="s">
        <v>709</v>
      </c>
      <c r="G792" s="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x14ac:dyDescent="0.2">
      <c r="A793" s="21" t="s">
        <v>2520</v>
      </c>
      <c r="B793" s="21" t="s">
        <v>1610</v>
      </c>
      <c r="G793" s="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x14ac:dyDescent="0.2">
      <c r="A794" s="21" t="s">
        <v>2521</v>
      </c>
      <c r="B794" s="21" t="s">
        <v>710</v>
      </c>
      <c r="G794" s="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x14ac:dyDescent="0.2">
      <c r="A795" s="21" t="s">
        <v>2522</v>
      </c>
      <c r="B795" s="21" t="s">
        <v>711</v>
      </c>
      <c r="G795" s="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x14ac:dyDescent="0.2">
      <c r="A796" s="21" t="s">
        <v>2523</v>
      </c>
      <c r="B796" s="21" t="s">
        <v>712</v>
      </c>
      <c r="G796" s="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x14ac:dyDescent="0.2">
      <c r="A797" s="21" t="s">
        <v>2524</v>
      </c>
      <c r="B797" s="21" t="s">
        <v>713</v>
      </c>
      <c r="G797" s="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x14ac:dyDescent="0.2">
      <c r="A798" s="21" t="s">
        <v>2525</v>
      </c>
      <c r="B798" s="21" t="s">
        <v>714</v>
      </c>
      <c r="G798" s="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x14ac:dyDescent="0.2">
      <c r="A799" s="21" t="s">
        <v>2526</v>
      </c>
      <c r="B799" s="21" t="s">
        <v>1612</v>
      </c>
      <c r="G799" s="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x14ac:dyDescent="0.2">
      <c r="A800" s="21" t="s">
        <v>2527</v>
      </c>
      <c r="B800" s="21" t="s">
        <v>715</v>
      </c>
      <c r="G800" s="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x14ac:dyDescent="0.2">
      <c r="A801" s="21" t="s">
        <v>2528</v>
      </c>
      <c r="B801" s="21" t="s">
        <v>716</v>
      </c>
      <c r="G801" s="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x14ac:dyDescent="0.2">
      <c r="A802" s="21" t="s">
        <v>2529</v>
      </c>
      <c r="B802" s="21" t="s">
        <v>717</v>
      </c>
      <c r="G802" s="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x14ac:dyDescent="0.2">
      <c r="A803" s="21" t="s">
        <v>2530</v>
      </c>
      <c r="B803" s="21" t="s">
        <v>718</v>
      </c>
      <c r="G803" s="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x14ac:dyDescent="0.2">
      <c r="A804" s="21" t="s">
        <v>2531</v>
      </c>
      <c r="B804" s="21" t="s">
        <v>1684</v>
      </c>
      <c r="G804" s="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x14ac:dyDescent="0.2">
      <c r="A805" s="21" t="s">
        <v>2532</v>
      </c>
      <c r="B805" s="21" t="s">
        <v>719</v>
      </c>
      <c r="G805" s="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x14ac:dyDescent="0.2">
      <c r="A806" s="21" t="s">
        <v>2533</v>
      </c>
      <c r="B806" s="21" t="s">
        <v>720</v>
      </c>
      <c r="G806" s="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x14ac:dyDescent="0.2">
      <c r="A807" s="21" t="s">
        <v>2534</v>
      </c>
      <c r="B807" s="21" t="s">
        <v>721</v>
      </c>
      <c r="G807" s="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x14ac:dyDescent="0.2">
      <c r="A808" s="21" t="s">
        <v>2535</v>
      </c>
      <c r="B808" s="21" t="s">
        <v>722</v>
      </c>
      <c r="G808" s="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x14ac:dyDescent="0.2">
      <c r="A809" s="21" t="s">
        <v>2536</v>
      </c>
      <c r="B809" s="21" t="s">
        <v>723</v>
      </c>
      <c r="G809" s="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x14ac:dyDescent="0.2">
      <c r="A810" s="21" t="s">
        <v>2537</v>
      </c>
      <c r="B810" s="21" t="s">
        <v>724</v>
      </c>
      <c r="G810" s="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x14ac:dyDescent="0.2">
      <c r="A811" s="21" t="s">
        <v>2538</v>
      </c>
      <c r="B811" s="21" t="s">
        <v>725</v>
      </c>
      <c r="G811" s="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x14ac:dyDescent="0.2">
      <c r="A812" s="21" t="s">
        <v>2539</v>
      </c>
      <c r="B812" s="21" t="s">
        <v>726</v>
      </c>
      <c r="G812" s="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x14ac:dyDescent="0.2">
      <c r="A813" s="21" t="s">
        <v>2540</v>
      </c>
      <c r="B813" s="21" t="s">
        <v>727</v>
      </c>
      <c r="G813" s="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x14ac:dyDescent="0.2">
      <c r="A814" s="21" t="s">
        <v>2541</v>
      </c>
      <c r="B814" s="21" t="s">
        <v>728</v>
      </c>
      <c r="G814" s="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x14ac:dyDescent="0.2">
      <c r="A815" s="21" t="s">
        <v>2542</v>
      </c>
      <c r="B815" s="21" t="s">
        <v>729</v>
      </c>
      <c r="G815" s="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x14ac:dyDescent="0.2">
      <c r="A816" s="21" t="s">
        <v>2543</v>
      </c>
      <c r="B816" s="21" t="s">
        <v>730</v>
      </c>
      <c r="G816" s="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x14ac:dyDescent="0.2">
      <c r="A817" s="21" t="s">
        <v>2544</v>
      </c>
      <c r="B817" s="21" t="s">
        <v>1613</v>
      </c>
      <c r="G817" s="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x14ac:dyDescent="0.2">
      <c r="A818" s="21" t="s">
        <v>2545</v>
      </c>
      <c r="B818" s="21" t="s">
        <v>1646</v>
      </c>
      <c r="G818" s="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x14ac:dyDescent="0.2">
      <c r="A819" s="21" t="s">
        <v>2546</v>
      </c>
      <c r="B819" s="21" t="s">
        <v>731</v>
      </c>
      <c r="G819" s="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x14ac:dyDescent="0.2">
      <c r="A820" s="21" t="s">
        <v>2547</v>
      </c>
      <c r="B820" s="21" t="s">
        <v>732</v>
      </c>
      <c r="G820" s="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x14ac:dyDescent="0.2">
      <c r="A821" s="21" t="s">
        <v>2548</v>
      </c>
      <c r="B821" s="21" t="s">
        <v>733</v>
      </c>
      <c r="G821" s="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x14ac:dyDescent="0.2">
      <c r="A822" s="21" t="s">
        <v>2549</v>
      </c>
      <c r="B822" s="21" t="s">
        <v>1641</v>
      </c>
      <c r="G822" s="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x14ac:dyDescent="0.2">
      <c r="A823" s="21" t="s">
        <v>2550</v>
      </c>
      <c r="B823" s="21" t="s">
        <v>734</v>
      </c>
      <c r="G823" s="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x14ac:dyDescent="0.2">
      <c r="A824" s="21" t="s">
        <v>2551</v>
      </c>
      <c r="B824" s="21" t="s">
        <v>735</v>
      </c>
      <c r="G824" s="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x14ac:dyDescent="0.2">
      <c r="A825" s="21" t="s">
        <v>2552</v>
      </c>
      <c r="B825" s="21" t="s">
        <v>736</v>
      </c>
      <c r="G825" s="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x14ac:dyDescent="0.2">
      <c r="A826" s="21" t="s">
        <v>2553</v>
      </c>
      <c r="B826" s="21" t="s">
        <v>1614</v>
      </c>
      <c r="G826" s="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x14ac:dyDescent="0.2">
      <c r="A827" s="21" t="s">
        <v>2554</v>
      </c>
      <c r="B827" s="21" t="s">
        <v>737</v>
      </c>
      <c r="G827" s="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x14ac:dyDescent="0.2">
      <c r="A828" s="21" t="s">
        <v>2555</v>
      </c>
      <c r="B828" s="21" t="s">
        <v>1533</v>
      </c>
      <c r="G828" s="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x14ac:dyDescent="0.2">
      <c r="A829" s="21" t="s">
        <v>2556</v>
      </c>
      <c r="B829" s="21" t="s">
        <v>738</v>
      </c>
      <c r="G829" s="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x14ac:dyDescent="0.2">
      <c r="A830" s="21" t="s">
        <v>2557</v>
      </c>
      <c r="B830" s="21" t="s">
        <v>739</v>
      </c>
      <c r="G830" s="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x14ac:dyDescent="0.2">
      <c r="A831" s="21" t="s">
        <v>2558</v>
      </c>
      <c r="B831" s="21" t="s">
        <v>740</v>
      </c>
      <c r="G831" s="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x14ac:dyDescent="0.2">
      <c r="A832" s="21" t="s">
        <v>2559</v>
      </c>
      <c r="B832" s="21" t="s">
        <v>1615</v>
      </c>
      <c r="G832" s="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x14ac:dyDescent="0.2">
      <c r="A833" s="21" t="s">
        <v>2560</v>
      </c>
      <c r="B833" s="21" t="s">
        <v>741</v>
      </c>
      <c r="G833" s="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x14ac:dyDescent="0.2">
      <c r="A834" s="21" t="s">
        <v>2561</v>
      </c>
      <c r="B834" s="21" t="s">
        <v>1616</v>
      </c>
      <c r="G834" s="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x14ac:dyDescent="0.2">
      <c r="A835" s="21" t="s">
        <v>2562</v>
      </c>
      <c r="B835" s="21" t="s">
        <v>742</v>
      </c>
      <c r="G835" s="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x14ac:dyDescent="0.2">
      <c r="A836" s="21" t="s">
        <v>2563</v>
      </c>
      <c r="B836" s="21" t="s">
        <v>743</v>
      </c>
      <c r="G836" s="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x14ac:dyDescent="0.2">
      <c r="A837" s="21" t="s">
        <v>2564</v>
      </c>
      <c r="B837" s="21" t="s">
        <v>744</v>
      </c>
      <c r="G837" s="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x14ac:dyDescent="0.2">
      <c r="A838" s="21" t="s">
        <v>2565</v>
      </c>
      <c r="B838" s="21" t="s">
        <v>745</v>
      </c>
      <c r="G838" s="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x14ac:dyDescent="0.2">
      <c r="A839" s="21" t="s">
        <v>2566</v>
      </c>
      <c r="B839" s="21" t="s">
        <v>1617</v>
      </c>
      <c r="G839" s="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x14ac:dyDescent="0.2">
      <c r="A840" s="21" t="s">
        <v>2567</v>
      </c>
      <c r="B840" s="21" t="s">
        <v>746</v>
      </c>
      <c r="G840" s="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x14ac:dyDescent="0.2">
      <c r="A841" s="21" t="s">
        <v>2568</v>
      </c>
      <c r="B841" s="21" t="s">
        <v>747</v>
      </c>
      <c r="G841" s="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x14ac:dyDescent="0.2">
      <c r="A842" s="21" t="s">
        <v>2569</v>
      </c>
      <c r="B842" s="21" t="s">
        <v>1619</v>
      </c>
      <c r="G842" s="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x14ac:dyDescent="0.2">
      <c r="A843" s="21" t="s">
        <v>2570</v>
      </c>
      <c r="B843" s="21" t="s">
        <v>748</v>
      </c>
      <c r="G843" s="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x14ac:dyDescent="0.2">
      <c r="A844" s="21" t="s">
        <v>2571</v>
      </c>
      <c r="B844" s="21" t="s">
        <v>749</v>
      </c>
      <c r="G844" s="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x14ac:dyDescent="0.2">
      <c r="A845" s="21" t="s">
        <v>2572</v>
      </c>
      <c r="B845" s="21" t="s">
        <v>750</v>
      </c>
      <c r="G845" s="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x14ac:dyDescent="0.2">
      <c r="A846" s="21" t="s">
        <v>2573</v>
      </c>
      <c r="B846" s="21" t="s">
        <v>751</v>
      </c>
      <c r="G846" s="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x14ac:dyDescent="0.2">
      <c r="A847" s="21" t="s">
        <v>2574</v>
      </c>
      <c r="B847" s="21" t="s">
        <v>752</v>
      </c>
      <c r="G847" s="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x14ac:dyDescent="0.2">
      <c r="A848" s="21" t="s">
        <v>2575</v>
      </c>
      <c r="B848" s="21" t="s">
        <v>753</v>
      </c>
      <c r="G848" s="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x14ac:dyDescent="0.2">
      <c r="A849" s="21" t="s">
        <v>2576</v>
      </c>
      <c r="B849" s="21" t="s">
        <v>754</v>
      </c>
      <c r="G849" s="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x14ac:dyDescent="0.2">
      <c r="A850" s="21" t="s">
        <v>2577</v>
      </c>
      <c r="B850" s="21" t="s">
        <v>755</v>
      </c>
      <c r="G850" s="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x14ac:dyDescent="0.2">
      <c r="A851" s="21" t="s">
        <v>2578</v>
      </c>
      <c r="B851" s="21" t="s">
        <v>756</v>
      </c>
      <c r="G851" s="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x14ac:dyDescent="0.2">
      <c r="A852" s="21" t="s">
        <v>2579</v>
      </c>
      <c r="B852" s="21" t="s">
        <v>757</v>
      </c>
      <c r="G852" s="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x14ac:dyDescent="0.2">
      <c r="A853" s="21" t="s">
        <v>2580</v>
      </c>
      <c r="B853" s="21" t="s">
        <v>758</v>
      </c>
      <c r="G853" s="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x14ac:dyDescent="0.2">
      <c r="A854" s="21" t="s">
        <v>2581</v>
      </c>
      <c r="B854" s="21" t="s">
        <v>1620</v>
      </c>
      <c r="G854" s="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x14ac:dyDescent="0.2">
      <c r="A855" s="21" t="s">
        <v>2582</v>
      </c>
      <c r="B855" s="21" t="s">
        <v>759</v>
      </c>
      <c r="G855" s="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x14ac:dyDescent="0.2">
      <c r="A856" s="21" t="s">
        <v>2583</v>
      </c>
      <c r="B856" s="21" t="s">
        <v>760</v>
      </c>
      <c r="G856" s="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x14ac:dyDescent="0.2">
      <c r="A857" s="21" t="s">
        <v>2584</v>
      </c>
      <c r="B857" s="21" t="s">
        <v>761</v>
      </c>
      <c r="G857" s="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x14ac:dyDescent="0.2">
      <c r="A858" s="21" t="s">
        <v>2585</v>
      </c>
      <c r="B858" s="21" t="s">
        <v>762</v>
      </c>
      <c r="G858" s="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x14ac:dyDescent="0.2">
      <c r="A859" s="21" t="s">
        <v>2586</v>
      </c>
      <c r="B859" s="21" t="s">
        <v>1622</v>
      </c>
      <c r="G859" s="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x14ac:dyDescent="0.2">
      <c r="A860" s="21" t="s">
        <v>2587</v>
      </c>
      <c r="B860" s="21" t="s">
        <v>763</v>
      </c>
      <c r="G860" s="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x14ac:dyDescent="0.2">
      <c r="A861" s="21" t="s">
        <v>2588</v>
      </c>
      <c r="B861" s="21" t="s">
        <v>764</v>
      </c>
      <c r="G861" s="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x14ac:dyDescent="0.2">
      <c r="A862" s="21" t="s">
        <v>2589</v>
      </c>
      <c r="B862" s="21" t="s">
        <v>765</v>
      </c>
      <c r="G862" s="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x14ac:dyDescent="0.2">
      <c r="A863" s="21" t="s">
        <v>2590</v>
      </c>
      <c r="B863" s="21" t="s">
        <v>766</v>
      </c>
      <c r="G863" s="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x14ac:dyDescent="0.2">
      <c r="A864" s="21" t="s">
        <v>2591</v>
      </c>
      <c r="B864" s="21" t="s">
        <v>767</v>
      </c>
      <c r="G864" s="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x14ac:dyDescent="0.2">
      <c r="A865" s="21" t="s">
        <v>2592</v>
      </c>
      <c r="B865" s="21" t="s">
        <v>768</v>
      </c>
      <c r="G865" s="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x14ac:dyDescent="0.2">
      <c r="A866" s="21" t="s">
        <v>2593</v>
      </c>
      <c r="B866" s="21" t="s">
        <v>769</v>
      </c>
      <c r="G866" s="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x14ac:dyDescent="0.2">
      <c r="A867" s="21" t="s">
        <v>2594</v>
      </c>
      <c r="B867" s="21" t="s">
        <v>1535</v>
      </c>
      <c r="G867" s="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x14ac:dyDescent="0.2">
      <c r="A868" s="21" t="s">
        <v>2595</v>
      </c>
      <c r="B868" s="21" t="s">
        <v>770</v>
      </c>
      <c r="G868" s="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x14ac:dyDescent="0.2">
      <c r="A869" s="21" t="s">
        <v>2596</v>
      </c>
      <c r="B869" s="21" t="s">
        <v>771</v>
      </c>
      <c r="G869" s="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x14ac:dyDescent="0.2">
      <c r="A870" s="21" t="s">
        <v>2597</v>
      </c>
      <c r="B870" s="21" t="s">
        <v>772</v>
      </c>
      <c r="G870" s="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x14ac:dyDescent="0.2">
      <c r="A871" s="21" t="s">
        <v>2598</v>
      </c>
      <c r="B871" s="21" t="s">
        <v>773</v>
      </c>
      <c r="G871" s="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x14ac:dyDescent="0.2">
      <c r="A872" s="21" t="s">
        <v>2599</v>
      </c>
      <c r="B872" s="21" t="s">
        <v>774</v>
      </c>
      <c r="G872" s="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x14ac:dyDescent="0.2">
      <c r="A873" s="21" t="s">
        <v>2600</v>
      </c>
      <c r="B873" s="21" t="s">
        <v>1621</v>
      </c>
      <c r="G873" s="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x14ac:dyDescent="0.2">
      <c r="A874" s="21" t="s">
        <v>2601</v>
      </c>
      <c r="B874" s="21" t="s">
        <v>775</v>
      </c>
      <c r="G874" s="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x14ac:dyDescent="0.2">
      <c r="A875" s="21" t="s">
        <v>2602</v>
      </c>
      <c r="B875" s="21" t="s">
        <v>776</v>
      </c>
      <c r="G875" s="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x14ac:dyDescent="0.2">
      <c r="A876" s="21" t="s">
        <v>2603</v>
      </c>
      <c r="B876" s="21" t="s">
        <v>777</v>
      </c>
      <c r="G876" s="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x14ac:dyDescent="0.2">
      <c r="A877" s="21" t="s">
        <v>2604</v>
      </c>
      <c r="B877" s="21" t="s">
        <v>778</v>
      </c>
      <c r="G877" s="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x14ac:dyDescent="0.2">
      <c r="A878" s="21" t="s">
        <v>2605</v>
      </c>
      <c r="B878" s="21" t="s">
        <v>779</v>
      </c>
      <c r="G878" s="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x14ac:dyDescent="0.2">
      <c r="A879" s="21" t="s">
        <v>2606</v>
      </c>
      <c r="B879" s="21" t="s">
        <v>1624</v>
      </c>
      <c r="G879" s="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x14ac:dyDescent="0.2">
      <c r="A880" s="21" t="s">
        <v>2607</v>
      </c>
      <c r="B880" s="21" t="s">
        <v>780</v>
      </c>
      <c r="G880" s="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x14ac:dyDescent="0.2">
      <c r="A881" s="21" t="s">
        <v>2608</v>
      </c>
      <c r="B881" s="21" t="s">
        <v>781</v>
      </c>
      <c r="G881" s="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x14ac:dyDescent="0.2">
      <c r="A882" s="21" t="s">
        <v>2609</v>
      </c>
      <c r="B882" s="21" t="s">
        <v>782</v>
      </c>
      <c r="G882" s="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x14ac:dyDescent="0.2">
      <c r="A883" s="21" t="s">
        <v>2610</v>
      </c>
      <c r="B883" s="21" t="s">
        <v>783</v>
      </c>
      <c r="G883" s="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x14ac:dyDescent="0.2">
      <c r="A884" s="21" t="s">
        <v>2611</v>
      </c>
      <c r="B884" s="21" t="s">
        <v>784</v>
      </c>
      <c r="G884" s="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x14ac:dyDescent="0.2">
      <c r="A885" s="21" t="s">
        <v>2612</v>
      </c>
      <c r="B885" s="21" t="s">
        <v>1623</v>
      </c>
      <c r="G885" s="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x14ac:dyDescent="0.2">
      <c r="A886" s="21" t="s">
        <v>2613</v>
      </c>
      <c r="B886" s="21" t="s">
        <v>785</v>
      </c>
      <c r="G886" s="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x14ac:dyDescent="0.2">
      <c r="A887" s="21" t="s">
        <v>2614</v>
      </c>
      <c r="B887" s="21" t="s">
        <v>786</v>
      </c>
      <c r="G887" s="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x14ac:dyDescent="0.2">
      <c r="A888" s="21" t="s">
        <v>2615</v>
      </c>
      <c r="B888" s="21" t="s">
        <v>787</v>
      </c>
      <c r="G888" s="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x14ac:dyDescent="0.2">
      <c r="A889" s="21" t="s">
        <v>2616</v>
      </c>
      <c r="B889" s="21" t="s">
        <v>788</v>
      </c>
      <c r="G889" s="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x14ac:dyDescent="0.2">
      <c r="A890" s="21" t="s">
        <v>2617</v>
      </c>
      <c r="B890" s="21" t="s">
        <v>789</v>
      </c>
      <c r="G890" s="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x14ac:dyDescent="0.2">
      <c r="A891" s="21" t="s">
        <v>2618</v>
      </c>
      <c r="B891" s="21" t="s">
        <v>790</v>
      </c>
      <c r="G891" s="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x14ac:dyDescent="0.2">
      <c r="A892" s="21" t="s">
        <v>2619</v>
      </c>
      <c r="B892" s="21" t="s">
        <v>791</v>
      </c>
      <c r="G892" s="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x14ac:dyDescent="0.2">
      <c r="A893" s="21" t="s">
        <v>2620</v>
      </c>
      <c r="B893" s="21" t="s">
        <v>792</v>
      </c>
      <c r="G893" s="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x14ac:dyDescent="0.2">
      <c r="A894" s="21" t="s">
        <v>2621</v>
      </c>
      <c r="B894" s="21" t="s">
        <v>793</v>
      </c>
      <c r="G894" s="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x14ac:dyDescent="0.2">
      <c r="A895" s="21" t="s">
        <v>2622</v>
      </c>
      <c r="B895" s="21" t="s">
        <v>794</v>
      </c>
      <c r="G895" s="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x14ac:dyDescent="0.2">
      <c r="A896" s="21" t="s">
        <v>2623</v>
      </c>
      <c r="B896" s="21" t="s">
        <v>795</v>
      </c>
      <c r="G896" s="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x14ac:dyDescent="0.2">
      <c r="A897" s="21" t="s">
        <v>2624</v>
      </c>
      <c r="B897" s="21" t="s">
        <v>796</v>
      </c>
      <c r="G897" s="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x14ac:dyDescent="0.2">
      <c r="A898" s="21" t="s">
        <v>2625</v>
      </c>
      <c r="B898" s="21" t="s">
        <v>797</v>
      </c>
      <c r="G898" s="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x14ac:dyDescent="0.2">
      <c r="A899" s="21" t="s">
        <v>2626</v>
      </c>
      <c r="B899" s="21" t="s">
        <v>798</v>
      </c>
      <c r="G899" s="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x14ac:dyDescent="0.2">
      <c r="A900" s="21" t="s">
        <v>2627</v>
      </c>
      <c r="B900" s="21" t="s">
        <v>1627</v>
      </c>
      <c r="G900" s="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x14ac:dyDescent="0.2">
      <c r="A901" s="21" t="s">
        <v>2628</v>
      </c>
      <c r="B901" s="21" t="s">
        <v>799</v>
      </c>
      <c r="G901" s="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x14ac:dyDescent="0.2">
      <c r="A902" s="21" t="s">
        <v>2629</v>
      </c>
      <c r="B902" s="21" t="s">
        <v>800</v>
      </c>
      <c r="G902" s="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x14ac:dyDescent="0.2">
      <c r="A903" s="21" t="s">
        <v>2630</v>
      </c>
      <c r="B903" s="21" t="s">
        <v>801</v>
      </c>
      <c r="G903" s="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x14ac:dyDescent="0.2">
      <c r="A904" s="21" t="s">
        <v>2631</v>
      </c>
      <c r="B904" s="21" t="s">
        <v>802</v>
      </c>
      <c r="G904" s="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x14ac:dyDescent="0.2">
      <c r="A905" s="21" t="s">
        <v>2632</v>
      </c>
      <c r="B905" s="21" t="s">
        <v>803</v>
      </c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x14ac:dyDescent="0.2">
      <c r="A906" s="21" t="s">
        <v>2633</v>
      </c>
      <c r="B906" s="21" t="s">
        <v>804</v>
      </c>
      <c r="G906" s="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x14ac:dyDescent="0.2">
      <c r="A907" s="21" t="s">
        <v>2634</v>
      </c>
      <c r="B907" s="21" t="s">
        <v>805</v>
      </c>
      <c r="G907" s="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x14ac:dyDescent="0.2">
      <c r="A908" s="21" t="s">
        <v>2635</v>
      </c>
      <c r="B908" s="21" t="s">
        <v>806</v>
      </c>
      <c r="G908" s="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x14ac:dyDescent="0.2">
      <c r="A909" s="21" t="s">
        <v>2636</v>
      </c>
      <c r="B909" s="21" t="s">
        <v>807</v>
      </c>
      <c r="G909" s="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x14ac:dyDescent="0.2">
      <c r="A910" s="21" t="s">
        <v>2637</v>
      </c>
      <c r="B910" s="21" t="s">
        <v>808</v>
      </c>
      <c r="G910" s="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x14ac:dyDescent="0.2">
      <c r="A911" s="21" t="s">
        <v>2638</v>
      </c>
      <c r="B911" s="21" t="s">
        <v>809</v>
      </c>
      <c r="G911" s="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x14ac:dyDescent="0.2">
      <c r="A912" s="21" t="s">
        <v>2639</v>
      </c>
      <c r="B912" s="21" t="s">
        <v>810</v>
      </c>
      <c r="G912" s="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x14ac:dyDescent="0.2">
      <c r="A913" s="21" t="s">
        <v>2640</v>
      </c>
      <c r="B913" s="21" t="s">
        <v>1647</v>
      </c>
      <c r="G913" s="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x14ac:dyDescent="0.2">
      <c r="A914" s="21" t="s">
        <v>2641</v>
      </c>
      <c r="B914" s="21" t="s">
        <v>811</v>
      </c>
      <c r="G914" s="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x14ac:dyDescent="0.2">
      <c r="A915" s="21" t="s">
        <v>2642</v>
      </c>
      <c r="B915" s="21" t="s">
        <v>812</v>
      </c>
      <c r="G915" s="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x14ac:dyDescent="0.2">
      <c r="A916" s="21" t="s">
        <v>2643</v>
      </c>
      <c r="B916" s="21" t="s">
        <v>813</v>
      </c>
      <c r="G916" s="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x14ac:dyDescent="0.2">
      <c r="A917" s="21" t="s">
        <v>2644</v>
      </c>
      <c r="B917" s="21" t="s">
        <v>1629</v>
      </c>
      <c r="G917" s="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x14ac:dyDescent="0.2">
      <c r="A918" s="21" t="s">
        <v>2645</v>
      </c>
      <c r="B918" s="21" t="s">
        <v>814</v>
      </c>
      <c r="G918" s="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x14ac:dyDescent="0.2">
      <c r="A919" s="21" t="s">
        <v>2646</v>
      </c>
      <c r="B919" s="21" t="s">
        <v>815</v>
      </c>
      <c r="G919" s="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x14ac:dyDescent="0.2">
      <c r="A920" s="21" t="s">
        <v>2647</v>
      </c>
      <c r="B920" s="21" t="s">
        <v>816</v>
      </c>
      <c r="G920" s="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x14ac:dyDescent="0.2">
      <c r="A921" s="21" t="s">
        <v>2648</v>
      </c>
      <c r="B921" s="21" t="s">
        <v>817</v>
      </c>
      <c r="G921" s="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x14ac:dyDescent="0.2">
      <c r="A922" s="21" t="s">
        <v>2649</v>
      </c>
      <c r="B922" s="21" t="s">
        <v>818</v>
      </c>
      <c r="G922" s="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x14ac:dyDescent="0.2">
      <c r="A923" s="21" t="s">
        <v>2650</v>
      </c>
      <c r="B923" s="21" t="s">
        <v>819</v>
      </c>
      <c r="G923" s="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x14ac:dyDescent="0.2">
      <c r="A924" s="21" t="s">
        <v>2651</v>
      </c>
      <c r="B924" s="21" t="s">
        <v>820</v>
      </c>
      <c r="G924" s="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x14ac:dyDescent="0.2">
      <c r="A925" s="21" t="s">
        <v>2652</v>
      </c>
      <c r="B925" s="21" t="s">
        <v>821</v>
      </c>
      <c r="G925" s="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x14ac:dyDescent="0.2">
      <c r="A926" s="21" t="s">
        <v>2653</v>
      </c>
      <c r="B926" s="21" t="s">
        <v>822</v>
      </c>
      <c r="G926" s="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x14ac:dyDescent="0.2">
      <c r="A927" s="21" t="s">
        <v>2654</v>
      </c>
      <c r="B927" s="21" t="s">
        <v>823</v>
      </c>
      <c r="G927" s="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x14ac:dyDescent="0.2">
      <c r="A928" s="21" t="s">
        <v>2655</v>
      </c>
      <c r="B928" s="21" t="s">
        <v>824</v>
      </c>
      <c r="G928" s="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x14ac:dyDescent="0.2">
      <c r="A929" s="21" t="s">
        <v>2656</v>
      </c>
      <c r="B929" s="21" t="s">
        <v>825</v>
      </c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x14ac:dyDescent="0.2">
      <c r="A930" s="21" t="s">
        <v>2657</v>
      </c>
      <c r="B930" s="21" t="s">
        <v>826</v>
      </c>
      <c r="G930" s="2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x14ac:dyDescent="0.2">
      <c r="A931" s="21" t="s">
        <v>2658</v>
      </c>
      <c r="B931" s="21" t="s">
        <v>827</v>
      </c>
      <c r="G931" s="2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x14ac:dyDescent="0.2">
      <c r="A932" s="21" t="s">
        <v>2659</v>
      </c>
      <c r="B932" s="21" t="s">
        <v>828</v>
      </c>
      <c r="G932" s="2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x14ac:dyDescent="0.2">
      <c r="A933" s="21" t="s">
        <v>2660</v>
      </c>
      <c r="B933" s="21" t="s">
        <v>829</v>
      </c>
      <c r="G933" s="2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x14ac:dyDescent="0.2">
      <c r="A934" s="21" t="s">
        <v>2661</v>
      </c>
      <c r="B934" s="21" t="s">
        <v>830</v>
      </c>
      <c r="G934" s="2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x14ac:dyDescent="0.2">
      <c r="A935" s="21" t="s">
        <v>2662</v>
      </c>
      <c r="B935" s="21" t="s">
        <v>1722</v>
      </c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x14ac:dyDescent="0.2">
      <c r="A936" s="21" t="s">
        <v>2663</v>
      </c>
      <c r="B936" s="21" t="s">
        <v>831</v>
      </c>
      <c r="G936" s="2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x14ac:dyDescent="0.2">
      <c r="A937" s="21" t="s">
        <v>2664</v>
      </c>
      <c r="B937" s="21" t="s">
        <v>832</v>
      </c>
      <c r="G937" s="2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x14ac:dyDescent="0.2">
      <c r="A938" s="21" t="s">
        <v>2665</v>
      </c>
      <c r="B938" s="21" t="s">
        <v>833</v>
      </c>
      <c r="G938" s="2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x14ac:dyDescent="0.2">
      <c r="A939" s="21" t="s">
        <v>2666</v>
      </c>
      <c r="B939" s="21" t="s">
        <v>834</v>
      </c>
      <c r="G939" s="2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x14ac:dyDescent="0.2">
      <c r="A940" s="21" t="s">
        <v>2667</v>
      </c>
      <c r="B940" s="21" t="s">
        <v>835</v>
      </c>
      <c r="G940" s="2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x14ac:dyDescent="0.2">
      <c r="A941" s="21" t="s">
        <v>2668</v>
      </c>
      <c r="B941" s="21" t="s">
        <v>836</v>
      </c>
      <c r="G941" s="2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x14ac:dyDescent="0.2">
      <c r="A942" s="21" t="s">
        <v>2669</v>
      </c>
      <c r="B942" s="21" t="s">
        <v>1631</v>
      </c>
      <c r="G942" s="2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x14ac:dyDescent="0.2">
      <c r="A943" s="21" t="s">
        <v>2670</v>
      </c>
      <c r="B943" s="21" t="s">
        <v>837</v>
      </c>
      <c r="G943" s="2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x14ac:dyDescent="0.2">
      <c r="A944" s="21" t="s">
        <v>2671</v>
      </c>
      <c r="B944" s="21" t="s">
        <v>838</v>
      </c>
      <c r="G944" s="2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x14ac:dyDescent="0.2">
      <c r="A945" s="21" t="s">
        <v>2672</v>
      </c>
      <c r="B945" s="21" t="s">
        <v>839</v>
      </c>
      <c r="G945" s="2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x14ac:dyDescent="0.2">
      <c r="A946" s="21" t="s">
        <v>2673</v>
      </c>
      <c r="B946" s="21" t="s">
        <v>840</v>
      </c>
      <c r="G946" s="2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x14ac:dyDescent="0.2">
      <c r="A947" s="21" t="s">
        <v>2674</v>
      </c>
      <c r="B947" s="21" t="s">
        <v>841</v>
      </c>
      <c r="G947" s="2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x14ac:dyDescent="0.2">
      <c r="A948" s="21" t="s">
        <v>2675</v>
      </c>
      <c r="B948" s="21" t="s">
        <v>842</v>
      </c>
      <c r="G948" s="2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x14ac:dyDescent="0.2">
      <c r="A949" s="21" t="s">
        <v>2676</v>
      </c>
      <c r="B949" s="21" t="s">
        <v>843</v>
      </c>
      <c r="G949" s="2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x14ac:dyDescent="0.2">
      <c r="A950" s="21" t="s">
        <v>2677</v>
      </c>
      <c r="B950" s="21" t="s">
        <v>844</v>
      </c>
      <c r="G950" s="2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x14ac:dyDescent="0.2">
      <c r="A951" s="21" t="s">
        <v>2678</v>
      </c>
      <c r="B951" s="21" t="s">
        <v>845</v>
      </c>
      <c r="G951" s="2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x14ac:dyDescent="0.2">
      <c r="A952" s="21" t="s">
        <v>2679</v>
      </c>
      <c r="B952" s="21" t="s">
        <v>846</v>
      </c>
      <c r="G952" s="2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x14ac:dyDescent="0.2">
      <c r="A953" s="21" t="s">
        <v>2680</v>
      </c>
      <c r="B953" s="21" t="s">
        <v>847</v>
      </c>
      <c r="G953" s="2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x14ac:dyDescent="0.2">
      <c r="A954" s="21" t="s">
        <v>2681</v>
      </c>
      <c r="B954" s="21" t="s">
        <v>848</v>
      </c>
      <c r="G954" s="2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x14ac:dyDescent="0.2">
      <c r="A955" s="21" t="s">
        <v>2682</v>
      </c>
      <c r="B955" s="21" t="s">
        <v>849</v>
      </c>
      <c r="G955" s="2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x14ac:dyDescent="0.2">
      <c r="A956" s="21" t="s">
        <v>2683</v>
      </c>
      <c r="B956" s="21" t="s">
        <v>1628</v>
      </c>
      <c r="G956" s="2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x14ac:dyDescent="0.2">
      <c r="A957" s="21" t="s">
        <v>2684</v>
      </c>
      <c r="B957" s="21" t="s">
        <v>850</v>
      </c>
      <c r="G957" s="2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x14ac:dyDescent="0.2">
      <c r="A958" s="21" t="s">
        <v>2685</v>
      </c>
      <c r="B958" s="21" t="s">
        <v>1664</v>
      </c>
      <c r="G958" s="2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x14ac:dyDescent="0.2">
      <c r="A959" s="21" t="s">
        <v>2686</v>
      </c>
      <c r="B959" s="21" t="s">
        <v>851</v>
      </c>
      <c r="G959" s="2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x14ac:dyDescent="0.2">
      <c r="A960" s="21" t="s">
        <v>2687</v>
      </c>
      <c r="B960" s="21" t="s">
        <v>852</v>
      </c>
      <c r="G960" s="2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x14ac:dyDescent="0.2">
      <c r="A961" s="21" t="s">
        <v>2688</v>
      </c>
      <c r="B961" s="21" t="s">
        <v>853</v>
      </c>
      <c r="G961" s="2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x14ac:dyDescent="0.2">
      <c r="A962" s="21" t="s">
        <v>2689</v>
      </c>
      <c r="B962" s="21" t="s">
        <v>854</v>
      </c>
      <c r="G962" s="2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x14ac:dyDescent="0.2">
      <c r="A963" s="21" t="s">
        <v>2690</v>
      </c>
      <c r="B963" s="21" t="s">
        <v>855</v>
      </c>
      <c r="G963" s="2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x14ac:dyDescent="0.2">
      <c r="A964" s="21" t="s">
        <v>2691</v>
      </c>
      <c r="B964" s="21" t="s">
        <v>856</v>
      </c>
      <c r="G964" s="2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x14ac:dyDescent="0.2">
      <c r="A965" s="21" t="s">
        <v>2692</v>
      </c>
      <c r="B965" s="21" t="s">
        <v>857</v>
      </c>
      <c r="G965" s="2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x14ac:dyDescent="0.2">
      <c r="A966" s="21" t="s">
        <v>2693</v>
      </c>
      <c r="B966" s="21" t="s">
        <v>1633</v>
      </c>
      <c r="G966" s="2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x14ac:dyDescent="0.2">
      <c r="A967" s="21" t="s">
        <v>2694</v>
      </c>
      <c r="B967" s="21" t="s">
        <v>858</v>
      </c>
      <c r="G967" s="2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x14ac:dyDescent="0.2">
      <c r="A968" s="21" t="s">
        <v>2695</v>
      </c>
      <c r="B968" s="21" t="s">
        <v>859</v>
      </c>
      <c r="G968" s="2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x14ac:dyDescent="0.2">
      <c r="A969" s="21" t="s">
        <v>2696</v>
      </c>
      <c r="B969" s="21" t="s">
        <v>860</v>
      </c>
      <c r="G969" s="2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x14ac:dyDescent="0.2">
      <c r="A970" s="21" t="s">
        <v>2697</v>
      </c>
      <c r="B970" s="21" t="s">
        <v>861</v>
      </c>
      <c r="G970" s="2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x14ac:dyDescent="0.2">
      <c r="A971" s="21" t="s">
        <v>2698</v>
      </c>
      <c r="B971" s="21" t="s">
        <v>862</v>
      </c>
      <c r="G971" s="2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x14ac:dyDescent="0.2">
      <c r="A972" s="21" t="s">
        <v>2699</v>
      </c>
      <c r="B972" s="21" t="s">
        <v>863</v>
      </c>
      <c r="G972" s="2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x14ac:dyDescent="0.2">
      <c r="A973" s="21" t="s">
        <v>2700</v>
      </c>
      <c r="B973" s="21" t="s">
        <v>864</v>
      </c>
      <c r="G973" s="2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x14ac:dyDescent="0.2">
      <c r="A974" s="21" t="s">
        <v>2701</v>
      </c>
      <c r="B974" s="21" t="s">
        <v>865</v>
      </c>
      <c r="G974" s="2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x14ac:dyDescent="0.2">
      <c r="A975" s="21" t="s">
        <v>2702</v>
      </c>
      <c r="B975" s="21" t="s">
        <v>866</v>
      </c>
      <c r="G975" s="2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x14ac:dyDescent="0.2">
      <c r="A976" s="21" t="s">
        <v>2703</v>
      </c>
      <c r="B976" s="21" t="s">
        <v>867</v>
      </c>
      <c r="G976" s="2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x14ac:dyDescent="0.2">
      <c r="A977" s="21" t="s">
        <v>2704</v>
      </c>
      <c r="B977" s="21" t="s">
        <v>868</v>
      </c>
      <c r="G977" s="2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x14ac:dyDescent="0.2">
      <c r="A978" s="21" t="s">
        <v>2705</v>
      </c>
      <c r="B978" s="21" t="s">
        <v>1634</v>
      </c>
      <c r="G978" s="2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x14ac:dyDescent="0.2">
      <c r="A979" s="21" t="s">
        <v>2706</v>
      </c>
      <c r="B979" s="21" t="s">
        <v>869</v>
      </c>
      <c r="G979" s="2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x14ac:dyDescent="0.2">
      <c r="A980" s="21" t="s">
        <v>2707</v>
      </c>
      <c r="B980" s="21" t="s">
        <v>870</v>
      </c>
      <c r="G980" s="2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x14ac:dyDescent="0.2">
      <c r="A981" s="21" t="s">
        <v>2708</v>
      </c>
      <c r="B981" s="21" t="s">
        <v>871</v>
      </c>
      <c r="G981" s="2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x14ac:dyDescent="0.2">
      <c r="A982" s="21" t="s">
        <v>2709</v>
      </c>
      <c r="B982" s="21" t="s">
        <v>1632</v>
      </c>
      <c r="G982" s="2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x14ac:dyDescent="0.2">
      <c r="A983" s="21" t="s">
        <v>2710</v>
      </c>
      <c r="B983" s="21" t="s">
        <v>1636</v>
      </c>
      <c r="G983" s="2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x14ac:dyDescent="0.2">
      <c r="A984" s="21" t="s">
        <v>2711</v>
      </c>
      <c r="B984" s="21" t="s">
        <v>872</v>
      </c>
      <c r="G984" s="2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x14ac:dyDescent="0.2">
      <c r="A985" s="21" t="s">
        <v>2712</v>
      </c>
      <c r="B985" s="21" t="s">
        <v>873</v>
      </c>
      <c r="G985" s="2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x14ac:dyDescent="0.2">
      <c r="A986" s="21" t="s">
        <v>2713</v>
      </c>
      <c r="B986" s="21" t="s">
        <v>874</v>
      </c>
      <c r="G986" s="2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x14ac:dyDescent="0.2">
      <c r="A987" s="21" t="s">
        <v>2714</v>
      </c>
      <c r="B987" s="21" t="s">
        <v>875</v>
      </c>
      <c r="G987" s="2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x14ac:dyDescent="0.2">
      <c r="A988" s="21" t="s">
        <v>2715</v>
      </c>
      <c r="B988" s="21" t="s">
        <v>876</v>
      </c>
      <c r="G988" s="2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x14ac:dyDescent="0.2">
      <c r="A989" s="21" t="s">
        <v>2716</v>
      </c>
      <c r="B989" s="21" t="s">
        <v>877</v>
      </c>
      <c r="G989" s="2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x14ac:dyDescent="0.2">
      <c r="A990" s="21" t="s">
        <v>2717</v>
      </c>
      <c r="B990" s="21" t="s">
        <v>1671</v>
      </c>
      <c r="G990" s="2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x14ac:dyDescent="0.2">
      <c r="A991" s="21" t="s">
        <v>2718</v>
      </c>
      <c r="B991" s="21" t="s">
        <v>878</v>
      </c>
      <c r="G991" s="2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x14ac:dyDescent="0.2">
      <c r="A992" s="21" t="s">
        <v>2719</v>
      </c>
      <c r="B992" s="21" t="s">
        <v>1638</v>
      </c>
      <c r="G992" s="2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x14ac:dyDescent="0.2">
      <c r="A993" s="21" t="s">
        <v>2720</v>
      </c>
      <c r="B993" s="21" t="s">
        <v>879</v>
      </c>
      <c r="G993" s="2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x14ac:dyDescent="0.2">
      <c r="A994" s="21" t="s">
        <v>2721</v>
      </c>
      <c r="B994" s="21" t="s">
        <v>880</v>
      </c>
      <c r="G994" s="2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x14ac:dyDescent="0.2">
      <c r="A995" s="21" t="s">
        <v>2722</v>
      </c>
      <c r="B995" s="21" t="s">
        <v>881</v>
      </c>
      <c r="G995" s="2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x14ac:dyDescent="0.2">
      <c r="A996" s="21" t="s">
        <v>2723</v>
      </c>
      <c r="B996" s="21" t="s">
        <v>882</v>
      </c>
      <c r="G996" s="2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x14ac:dyDescent="0.2">
      <c r="A997" s="21" t="s">
        <v>2724</v>
      </c>
      <c r="B997" s="21" t="s">
        <v>883</v>
      </c>
      <c r="G997" s="2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x14ac:dyDescent="0.2">
      <c r="A998" s="21" t="s">
        <v>2725</v>
      </c>
      <c r="B998" s="21" t="s">
        <v>884</v>
      </c>
      <c r="G998" s="2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x14ac:dyDescent="0.2">
      <c r="A999" s="21" t="s">
        <v>2726</v>
      </c>
      <c r="B999" s="21" t="s">
        <v>885</v>
      </c>
      <c r="G999" s="2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x14ac:dyDescent="0.2">
      <c r="A1000" s="21" t="s">
        <v>2727</v>
      </c>
      <c r="B1000" s="21" t="s">
        <v>886</v>
      </c>
      <c r="G1000" s="2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spans="1:32" x14ac:dyDescent="0.2">
      <c r="A1001" s="21" t="s">
        <v>2728</v>
      </c>
      <c r="B1001" s="21" t="s">
        <v>887</v>
      </c>
      <c r="G1001" s="2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  <row r="1002" spans="1:32" x14ac:dyDescent="0.2">
      <c r="A1002" s="21" t="s">
        <v>2729</v>
      </c>
      <c r="B1002" s="21" t="s">
        <v>888</v>
      </c>
      <c r="G1002" s="2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</row>
    <row r="1003" spans="1:32" x14ac:dyDescent="0.2">
      <c r="A1003" s="21" t="s">
        <v>2730</v>
      </c>
      <c r="B1003" s="21" t="s">
        <v>889</v>
      </c>
      <c r="G1003" s="2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</row>
    <row r="1004" spans="1:32" x14ac:dyDescent="0.2">
      <c r="A1004" s="21" t="s">
        <v>2731</v>
      </c>
      <c r="B1004" s="21" t="s">
        <v>890</v>
      </c>
      <c r="G1004" s="2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</row>
    <row r="1005" spans="1:32" x14ac:dyDescent="0.2">
      <c r="A1005" s="21" t="s">
        <v>2732</v>
      </c>
      <c r="B1005" s="21" t="s">
        <v>891</v>
      </c>
      <c r="G1005" s="2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</row>
    <row r="1006" spans="1:32" x14ac:dyDescent="0.2">
      <c r="A1006" s="21" t="s">
        <v>2733</v>
      </c>
      <c r="B1006" s="21" t="s">
        <v>892</v>
      </c>
      <c r="G1006" s="2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</row>
    <row r="1007" spans="1:32" x14ac:dyDescent="0.2">
      <c r="A1007" s="21" t="s">
        <v>2734</v>
      </c>
      <c r="B1007" s="21" t="s">
        <v>893</v>
      </c>
      <c r="G1007" s="2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</row>
    <row r="1008" spans="1:32" x14ac:dyDescent="0.2">
      <c r="A1008" s="21" t="s">
        <v>2735</v>
      </c>
      <c r="B1008" s="21" t="s">
        <v>894</v>
      </c>
      <c r="G1008" s="2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</row>
    <row r="1009" spans="1:32" x14ac:dyDescent="0.2">
      <c r="A1009" s="21" t="s">
        <v>2736</v>
      </c>
      <c r="B1009" s="21" t="s">
        <v>895</v>
      </c>
      <c r="G1009" s="2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</row>
    <row r="1010" spans="1:32" x14ac:dyDescent="0.2">
      <c r="A1010" s="21" t="s">
        <v>2737</v>
      </c>
      <c r="B1010" s="21" t="s">
        <v>896</v>
      </c>
      <c r="G1010" s="2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</row>
    <row r="1011" spans="1:32" x14ac:dyDescent="0.2">
      <c r="A1011" s="21" t="s">
        <v>2738</v>
      </c>
      <c r="B1011" s="21" t="s">
        <v>897</v>
      </c>
      <c r="G1011" s="2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</row>
    <row r="1012" spans="1:32" x14ac:dyDescent="0.2">
      <c r="A1012" s="21" t="s">
        <v>2739</v>
      </c>
      <c r="B1012" s="21" t="s">
        <v>898</v>
      </c>
      <c r="G1012" s="2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</row>
    <row r="1013" spans="1:32" x14ac:dyDescent="0.2">
      <c r="A1013" s="21" t="s">
        <v>2740</v>
      </c>
      <c r="B1013" s="21" t="s">
        <v>899</v>
      </c>
      <c r="G1013" s="2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</row>
    <row r="1014" spans="1:32" x14ac:dyDescent="0.2">
      <c r="A1014" s="21" t="s">
        <v>2741</v>
      </c>
      <c r="B1014" s="21" t="s">
        <v>900</v>
      </c>
      <c r="G1014" s="2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</row>
    <row r="1015" spans="1:32" x14ac:dyDescent="0.2">
      <c r="A1015" s="21" t="s">
        <v>2742</v>
      </c>
      <c r="B1015" s="21" t="s">
        <v>901</v>
      </c>
      <c r="G1015" s="2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</row>
    <row r="1016" spans="1:32" x14ac:dyDescent="0.2">
      <c r="A1016" s="21" t="s">
        <v>2743</v>
      </c>
      <c r="B1016" s="21" t="s">
        <v>902</v>
      </c>
      <c r="G1016" s="2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</row>
    <row r="1017" spans="1:32" x14ac:dyDescent="0.2">
      <c r="A1017" s="21" t="s">
        <v>2744</v>
      </c>
      <c r="B1017" s="21" t="s">
        <v>903</v>
      </c>
      <c r="G1017" s="2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</row>
    <row r="1018" spans="1:32" x14ac:dyDescent="0.2">
      <c r="A1018" s="21" t="s">
        <v>2745</v>
      </c>
      <c r="B1018" s="21" t="s">
        <v>904</v>
      </c>
      <c r="G1018" s="2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</row>
    <row r="1019" spans="1:32" x14ac:dyDescent="0.2">
      <c r="A1019" s="21" t="s">
        <v>2746</v>
      </c>
      <c r="B1019" s="21" t="s">
        <v>905</v>
      </c>
      <c r="G1019" s="2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</row>
    <row r="1020" spans="1:32" x14ac:dyDescent="0.2">
      <c r="A1020" s="21" t="s">
        <v>2747</v>
      </c>
      <c r="B1020" s="21" t="s">
        <v>906</v>
      </c>
      <c r="G1020" s="2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</row>
    <row r="1021" spans="1:32" x14ac:dyDescent="0.2">
      <c r="A1021" s="21" t="s">
        <v>2748</v>
      </c>
      <c r="B1021" s="21" t="s">
        <v>907</v>
      </c>
      <c r="G1021" s="2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</row>
    <row r="1022" spans="1:32" x14ac:dyDescent="0.2">
      <c r="A1022" s="21" t="s">
        <v>2749</v>
      </c>
      <c r="B1022" s="21" t="s">
        <v>908</v>
      </c>
      <c r="G1022" s="2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</row>
    <row r="1023" spans="1:32" x14ac:dyDescent="0.2">
      <c r="A1023" s="21" t="s">
        <v>2750</v>
      </c>
      <c r="B1023" s="21" t="s">
        <v>909</v>
      </c>
      <c r="G1023" s="2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</row>
    <row r="1024" spans="1:32" x14ac:dyDescent="0.2">
      <c r="A1024" s="21" t="s">
        <v>2751</v>
      </c>
      <c r="B1024" s="21" t="s">
        <v>910</v>
      </c>
      <c r="G1024" s="2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</row>
    <row r="1025" spans="1:32" x14ac:dyDescent="0.2">
      <c r="A1025" s="21" t="s">
        <v>2752</v>
      </c>
      <c r="B1025" s="21" t="s">
        <v>1639</v>
      </c>
      <c r="G1025" s="2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</row>
    <row r="1026" spans="1:32" x14ac:dyDescent="0.2">
      <c r="A1026" s="21" t="s">
        <v>2753</v>
      </c>
      <c r="B1026" s="21" t="s">
        <v>911</v>
      </c>
      <c r="G1026" s="2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</row>
    <row r="1027" spans="1:32" x14ac:dyDescent="0.2">
      <c r="A1027" s="21" t="s">
        <v>2754</v>
      </c>
      <c r="B1027" s="21" t="s">
        <v>912</v>
      </c>
      <c r="G1027" s="2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</row>
    <row r="1028" spans="1:32" x14ac:dyDescent="0.2">
      <c r="A1028" s="21" t="s">
        <v>2755</v>
      </c>
      <c r="B1028" s="21" t="s">
        <v>913</v>
      </c>
      <c r="G1028" s="2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</row>
    <row r="1029" spans="1:32" x14ac:dyDescent="0.2">
      <c r="A1029" s="21" t="s">
        <v>2756</v>
      </c>
      <c r="B1029" s="21" t="s">
        <v>914</v>
      </c>
      <c r="G1029" s="2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</row>
    <row r="1030" spans="1:32" x14ac:dyDescent="0.2">
      <c r="A1030" s="21" t="s">
        <v>2757</v>
      </c>
      <c r="B1030" s="21" t="s">
        <v>915</v>
      </c>
      <c r="G1030" s="2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</row>
    <row r="1031" spans="1:32" x14ac:dyDescent="0.2">
      <c r="A1031" s="21" t="s">
        <v>2758</v>
      </c>
      <c r="B1031" s="21" t="s">
        <v>916</v>
      </c>
      <c r="G1031" s="2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</row>
    <row r="1032" spans="1:32" x14ac:dyDescent="0.2">
      <c r="A1032" s="21" t="s">
        <v>2759</v>
      </c>
      <c r="B1032" s="21" t="s">
        <v>917</v>
      </c>
      <c r="G1032" s="2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</row>
    <row r="1033" spans="1:32" x14ac:dyDescent="0.2">
      <c r="A1033" s="21" t="s">
        <v>2760</v>
      </c>
      <c r="B1033" s="21" t="s">
        <v>918</v>
      </c>
      <c r="G1033" s="2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</row>
    <row r="1034" spans="1:32" x14ac:dyDescent="0.2">
      <c r="A1034" s="21" t="s">
        <v>2761</v>
      </c>
      <c r="B1034" s="21" t="s">
        <v>919</v>
      </c>
      <c r="G1034" s="2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</row>
    <row r="1035" spans="1:32" x14ac:dyDescent="0.2">
      <c r="A1035" s="21" t="s">
        <v>2762</v>
      </c>
      <c r="B1035" s="21" t="s">
        <v>920</v>
      </c>
      <c r="G1035" s="2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</row>
    <row r="1036" spans="1:32" x14ac:dyDescent="0.2">
      <c r="A1036" s="21" t="s">
        <v>2763</v>
      </c>
      <c r="B1036" s="21" t="s">
        <v>921</v>
      </c>
      <c r="G1036" s="2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</row>
    <row r="1037" spans="1:32" x14ac:dyDescent="0.2">
      <c r="A1037" s="21" t="s">
        <v>2764</v>
      </c>
      <c r="B1037" s="21" t="s">
        <v>922</v>
      </c>
      <c r="G1037" s="2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</row>
    <row r="1038" spans="1:32" x14ac:dyDescent="0.2">
      <c r="A1038" s="21" t="s">
        <v>2765</v>
      </c>
      <c r="B1038" s="21" t="s">
        <v>923</v>
      </c>
      <c r="G1038" s="2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</row>
    <row r="1039" spans="1:32" x14ac:dyDescent="0.2">
      <c r="A1039" s="21" t="s">
        <v>2766</v>
      </c>
      <c r="B1039" s="21" t="s">
        <v>924</v>
      </c>
      <c r="G1039" s="2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</row>
    <row r="1040" spans="1:32" x14ac:dyDescent="0.2">
      <c r="A1040" s="21" t="s">
        <v>2767</v>
      </c>
      <c r="B1040" s="21" t="s">
        <v>925</v>
      </c>
      <c r="G1040" s="2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</row>
    <row r="1041" spans="1:32" x14ac:dyDescent="0.2">
      <c r="A1041" s="21" t="s">
        <v>2768</v>
      </c>
      <c r="B1041" s="21" t="s">
        <v>926</v>
      </c>
      <c r="G1041" s="2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</row>
    <row r="1042" spans="1:32" x14ac:dyDescent="0.2">
      <c r="A1042" s="21" t="s">
        <v>2769</v>
      </c>
      <c r="B1042" s="21" t="s">
        <v>927</v>
      </c>
      <c r="G1042" s="2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</row>
    <row r="1043" spans="1:32" x14ac:dyDescent="0.2">
      <c r="A1043" s="21" t="s">
        <v>2770</v>
      </c>
      <c r="B1043" s="21" t="s">
        <v>928</v>
      </c>
      <c r="G1043" s="2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</row>
    <row r="1044" spans="1:32" x14ac:dyDescent="0.2">
      <c r="A1044" s="21" t="s">
        <v>2771</v>
      </c>
      <c r="B1044" s="21" t="s">
        <v>929</v>
      </c>
      <c r="G1044" s="2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</row>
    <row r="1045" spans="1:32" x14ac:dyDescent="0.2">
      <c r="A1045" s="21" t="s">
        <v>2772</v>
      </c>
      <c r="B1045" s="21" t="s">
        <v>930</v>
      </c>
      <c r="G1045" s="2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</row>
    <row r="1046" spans="1:32" x14ac:dyDescent="0.2">
      <c r="A1046" s="21" t="s">
        <v>2773</v>
      </c>
      <c r="B1046" s="21" t="s">
        <v>1691</v>
      </c>
      <c r="G1046" s="2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</row>
    <row r="1047" spans="1:32" x14ac:dyDescent="0.2">
      <c r="A1047" s="21" t="s">
        <v>2774</v>
      </c>
      <c r="B1047" s="21" t="s">
        <v>931</v>
      </c>
      <c r="G1047" s="2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</row>
    <row r="1048" spans="1:32" x14ac:dyDescent="0.2">
      <c r="A1048" s="21" t="s">
        <v>2775</v>
      </c>
      <c r="B1048" s="21" t="s">
        <v>932</v>
      </c>
      <c r="G1048" s="2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</row>
    <row r="1049" spans="1:32" x14ac:dyDescent="0.2">
      <c r="A1049" s="21" t="s">
        <v>2776</v>
      </c>
      <c r="B1049" s="21" t="s">
        <v>933</v>
      </c>
      <c r="G1049" s="2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</row>
    <row r="1050" spans="1:32" x14ac:dyDescent="0.2">
      <c r="A1050" s="21" t="s">
        <v>2777</v>
      </c>
      <c r="B1050" s="21" t="s">
        <v>1640</v>
      </c>
      <c r="G1050" s="2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</row>
    <row r="1051" spans="1:32" x14ac:dyDescent="0.2">
      <c r="A1051" s="21" t="s">
        <v>2778</v>
      </c>
      <c r="B1051" s="21" t="s">
        <v>934</v>
      </c>
      <c r="G1051" s="2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</row>
    <row r="1052" spans="1:32" x14ac:dyDescent="0.2">
      <c r="A1052" s="21" t="s">
        <v>2779</v>
      </c>
      <c r="B1052" s="21" t="s">
        <v>935</v>
      </c>
      <c r="G1052" s="2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</row>
    <row r="1053" spans="1:32" x14ac:dyDescent="0.2">
      <c r="A1053" s="21" t="s">
        <v>2780</v>
      </c>
      <c r="B1053" s="21" t="s">
        <v>936</v>
      </c>
      <c r="G1053" s="2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</row>
    <row r="1054" spans="1:32" x14ac:dyDescent="0.2">
      <c r="A1054" s="21" t="s">
        <v>2781</v>
      </c>
      <c r="B1054" s="21" t="s">
        <v>937</v>
      </c>
      <c r="G1054" s="2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</row>
    <row r="1055" spans="1:32" x14ac:dyDescent="0.2">
      <c r="A1055" s="21" t="s">
        <v>2782</v>
      </c>
      <c r="B1055" s="21" t="s">
        <v>938</v>
      </c>
      <c r="G1055" s="2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</row>
    <row r="1056" spans="1:32" x14ac:dyDescent="0.2">
      <c r="A1056" s="21" t="s">
        <v>2783</v>
      </c>
      <c r="B1056" s="21" t="s">
        <v>939</v>
      </c>
      <c r="G1056" s="2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</row>
    <row r="1057" spans="1:32" x14ac:dyDescent="0.2">
      <c r="A1057" s="21" t="s">
        <v>2784</v>
      </c>
      <c r="B1057" s="21" t="s">
        <v>1642</v>
      </c>
      <c r="G1057" s="2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</row>
    <row r="1058" spans="1:32" x14ac:dyDescent="0.2">
      <c r="A1058" s="21" t="s">
        <v>2785</v>
      </c>
      <c r="B1058" s="21" t="s">
        <v>940</v>
      </c>
      <c r="G1058" s="2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</row>
    <row r="1059" spans="1:32" x14ac:dyDescent="0.2">
      <c r="A1059" s="21" t="s">
        <v>2786</v>
      </c>
      <c r="B1059" s="21" t="s">
        <v>941</v>
      </c>
      <c r="G1059" s="2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</row>
    <row r="1060" spans="1:32" x14ac:dyDescent="0.2">
      <c r="A1060" s="21" t="s">
        <v>2787</v>
      </c>
      <c r="B1060" s="21" t="s">
        <v>1643</v>
      </c>
      <c r="G1060" s="2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</row>
    <row r="1061" spans="1:32" x14ac:dyDescent="0.2">
      <c r="A1061" s="21" t="s">
        <v>2788</v>
      </c>
      <c r="B1061" s="21" t="s">
        <v>1644</v>
      </c>
      <c r="G1061" s="2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</row>
    <row r="1062" spans="1:32" x14ac:dyDescent="0.2">
      <c r="A1062" s="21" t="s">
        <v>2789</v>
      </c>
      <c r="B1062" s="21" t="s">
        <v>942</v>
      </c>
      <c r="G1062" s="2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</row>
    <row r="1063" spans="1:32" x14ac:dyDescent="0.2">
      <c r="A1063" s="21" t="s">
        <v>2790</v>
      </c>
      <c r="B1063" s="21" t="s">
        <v>943</v>
      </c>
      <c r="G1063" s="2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</row>
    <row r="1064" spans="1:32" x14ac:dyDescent="0.2">
      <c r="A1064" s="21" t="s">
        <v>2791</v>
      </c>
      <c r="B1064" s="21" t="s">
        <v>1645</v>
      </c>
      <c r="G1064" s="2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</row>
    <row r="1065" spans="1:32" x14ac:dyDescent="0.2">
      <c r="A1065" s="21" t="s">
        <v>2792</v>
      </c>
      <c r="B1065" s="21" t="s">
        <v>944</v>
      </c>
      <c r="G1065" s="2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</row>
    <row r="1066" spans="1:32" x14ac:dyDescent="0.2">
      <c r="A1066" s="21" t="s">
        <v>2793</v>
      </c>
      <c r="B1066" s="21" t="s">
        <v>945</v>
      </c>
      <c r="G1066" s="2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</row>
    <row r="1067" spans="1:32" x14ac:dyDescent="0.2">
      <c r="A1067" s="21" t="s">
        <v>2794</v>
      </c>
      <c r="B1067" s="21" t="s">
        <v>946</v>
      </c>
      <c r="G1067" s="2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</row>
    <row r="1068" spans="1:32" x14ac:dyDescent="0.2">
      <c r="A1068" s="21" t="s">
        <v>2795</v>
      </c>
      <c r="B1068" s="21" t="s">
        <v>947</v>
      </c>
      <c r="G1068" s="2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</row>
    <row r="1069" spans="1:32" x14ac:dyDescent="0.2">
      <c r="A1069" s="21" t="s">
        <v>2796</v>
      </c>
      <c r="B1069" s="21" t="s">
        <v>948</v>
      </c>
      <c r="G1069" s="2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</row>
    <row r="1070" spans="1:32" x14ac:dyDescent="0.2">
      <c r="A1070" s="21" t="s">
        <v>2797</v>
      </c>
      <c r="B1070" s="21" t="s">
        <v>949</v>
      </c>
      <c r="G1070" s="2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</row>
    <row r="1071" spans="1:32" x14ac:dyDescent="0.2">
      <c r="A1071" s="21" t="s">
        <v>2798</v>
      </c>
      <c r="B1071" s="21" t="s">
        <v>1648</v>
      </c>
      <c r="G1071" s="2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</row>
    <row r="1072" spans="1:32" x14ac:dyDescent="0.2">
      <c r="A1072" s="21" t="s">
        <v>2799</v>
      </c>
      <c r="B1072" s="21" t="s">
        <v>950</v>
      </c>
      <c r="G1072" s="2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</row>
    <row r="1073" spans="1:32" x14ac:dyDescent="0.2">
      <c r="A1073" s="21" t="s">
        <v>2800</v>
      </c>
      <c r="B1073" s="21" t="s">
        <v>951</v>
      </c>
      <c r="G1073" s="2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</row>
    <row r="1074" spans="1:32" x14ac:dyDescent="0.2">
      <c r="A1074" s="21" t="s">
        <v>2801</v>
      </c>
      <c r="B1074" s="21" t="s">
        <v>952</v>
      </c>
      <c r="G1074" s="2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</row>
    <row r="1075" spans="1:32" x14ac:dyDescent="0.2">
      <c r="A1075" s="21" t="s">
        <v>2802</v>
      </c>
      <c r="B1075" s="21" t="s">
        <v>953</v>
      </c>
      <c r="G1075" s="2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</row>
    <row r="1076" spans="1:32" x14ac:dyDescent="0.2">
      <c r="A1076" s="21" t="s">
        <v>2803</v>
      </c>
      <c r="B1076" s="21" t="s">
        <v>954</v>
      </c>
      <c r="G1076" s="2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</row>
    <row r="1077" spans="1:32" x14ac:dyDescent="0.2">
      <c r="A1077" s="21" t="s">
        <v>2804</v>
      </c>
      <c r="B1077" s="21" t="s">
        <v>955</v>
      </c>
      <c r="G1077" s="2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</row>
    <row r="1078" spans="1:32" x14ac:dyDescent="0.2">
      <c r="A1078" s="21" t="s">
        <v>2805</v>
      </c>
      <c r="B1078" s="21" t="s">
        <v>956</v>
      </c>
      <c r="G1078" s="2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</row>
    <row r="1079" spans="1:32" x14ac:dyDescent="0.2">
      <c r="A1079" s="21" t="s">
        <v>2806</v>
      </c>
      <c r="B1079" s="21" t="s">
        <v>957</v>
      </c>
      <c r="G1079" s="2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</row>
    <row r="1080" spans="1:32" x14ac:dyDescent="0.2">
      <c r="A1080" s="21" t="s">
        <v>2807</v>
      </c>
      <c r="B1080" s="21" t="s">
        <v>958</v>
      </c>
      <c r="G1080" s="2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</row>
    <row r="1081" spans="1:32" x14ac:dyDescent="0.2">
      <c r="A1081" s="21" t="s">
        <v>2808</v>
      </c>
      <c r="B1081" s="21" t="s">
        <v>959</v>
      </c>
      <c r="G1081" s="2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</row>
    <row r="1082" spans="1:32" x14ac:dyDescent="0.2">
      <c r="A1082" s="21" t="s">
        <v>2809</v>
      </c>
      <c r="B1082" s="21" t="s">
        <v>960</v>
      </c>
      <c r="G1082" s="2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</row>
    <row r="1083" spans="1:32" x14ac:dyDescent="0.2">
      <c r="A1083" s="21" t="s">
        <v>2810</v>
      </c>
      <c r="B1083" s="21" t="s">
        <v>961</v>
      </c>
      <c r="G1083" s="2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</row>
    <row r="1084" spans="1:32" x14ac:dyDescent="0.2">
      <c r="A1084" s="21" t="s">
        <v>2811</v>
      </c>
      <c r="B1084" s="21" t="s">
        <v>962</v>
      </c>
      <c r="G1084" s="2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</row>
    <row r="1085" spans="1:32" x14ac:dyDescent="0.2">
      <c r="A1085" s="21" t="s">
        <v>2812</v>
      </c>
      <c r="B1085" s="21" t="s">
        <v>963</v>
      </c>
      <c r="G1085" s="2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</row>
    <row r="1086" spans="1:32" x14ac:dyDescent="0.2">
      <c r="A1086" s="21" t="s">
        <v>2813</v>
      </c>
      <c r="B1086" s="21" t="s">
        <v>964</v>
      </c>
      <c r="G1086" s="2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</row>
    <row r="1087" spans="1:32" x14ac:dyDescent="0.2">
      <c r="A1087" s="21" t="s">
        <v>2814</v>
      </c>
      <c r="B1087" s="21" t="s">
        <v>965</v>
      </c>
      <c r="G1087" s="2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</row>
    <row r="1088" spans="1:32" x14ac:dyDescent="0.2">
      <c r="A1088" s="21" t="s">
        <v>2815</v>
      </c>
      <c r="B1088" s="21" t="s">
        <v>966</v>
      </c>
      <c r="G1088" s="2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</row>
    <row r="1089" spans="1:32" x14ac:dyDescent="0.2">
      <c r="A1089" s="21" t="s">
        <v>2816</v>
      </c>
      <c r="B1089" s="21" t="s">
        <v>967</v>
      </c>
      <c r="G1089" s="2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</row>
    <row r="1090" spans="1:32" x14ac:dyDescent="0.2">
      <c r="A1090" s="21" t="s">
        <v>2817</v>
      </c>
      <c r="B1090" s="21" t="s">
        <v>968</v>
      </c>
      <c r="G1090" s="2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</row>
    <row r="1091" spans="1:32" x14ac:dyDescent="0.2">
      <c r="A1091" s="21" t="s">
        <v>2818</v>
      </c>
      <c r="B1091" s="21" t="s">
        <v>969</v>
      </c>
      <c r="G1091" s="2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</row>
    <row r="1092" spans="1:32" x14ac:dyDescent="0.2">
      <c r="A1092" s="21" t="s">
        <v>2819</v>
      </c>
      <c r="B1092" s="21" t="s">
        <v>970</v>
      </c>
      <c r="G1092" s="2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</row>
    <row r="1093" spans="1:32" x14ac:dyDescent="0.2">
      <c r="A1093" s="21" t="s">
        <v>2820</v>
      </c>
      <c r="B1093" s="21" t="s">
        <v>971</v>
      </c>
      <c r="G1093" s="2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</row>
    <row r="1094" spans="1:32" x14ac:dyDescent="0.2">
      <c r="A1094" s="21" t="s">
        <v>2821</v>
      </c>
      <c r="B1094" s="21" t="s">
        <v>972</v>
      </c>
      <c r="G1094" s="2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</row>
    <row r="1095" spans="1:32" x14ac:dyDescent="0.2">
      <c r="A1095" s="21" t="s">
        <v>2822</v>
      </c>
      <c r="B1095" s="21" t="s">
        <v>973</v>
      </c>
      <c r="G1095" s="2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</row>
    <row r="1096" spans="1:32" x14ac:dyDescent="0.2">
      <c r="A1096" s="21" t="s">
        <v>2823</v>
      </c>
      <c r="B1096" s="21" t="s">
        <v>974</v>
      </c>
      <c r="G1096" s="2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</row>
    <row r="1097" spans="1:32" x14ac:dyDescent="0.2">
      <c r="A1097" s="21" t="s">
        <v>2824</v>
      </c>
      <c r="B1097" s="21" t="s">
        <v>975</v>
      </c>
      <c r="G1097" s="2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</row>
    <row r="1098" spans="1:32" x14ac:dyDescent="0.2">
      <c r="A1098" s="21" t="s">
        <v>2825</v>
      </c>
      <c r="B1098" s="21" t="s">
        <v>976</v>
      </c>
      <c r="G1098" s="2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</row>
    <row r="1099" spans="1:32" x14ac:dyDescent="0.2">
      <c r="A1099" s="21" t="s">
        <v>2826</v>
      </c>
      <c r="B1099" s="21" t="s">
        <v>977</v>
      </c>
      <c r="G1099" s="2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</row>
    <row r="1100" spans="1:32" x14ac:dyDescent="0.2">
      <c r="A1100" s="21" t="s">
        <v>2827</v>
      </c>
      <c r="B1100" s="21" t="s">
        <v>978</v>
      </c>
      <c r="G1100" s="2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</row>
    <row r="1101" spans="1:32" x14ac:dyDescent="0.2">
      <c r="A1101" s="21" t="s">
        <v>2828</v>
      </c>
      <c r="B1101" s="21" t="s">
        <v>979</v>
      </c>
      <c r="G1101" s="2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</row>
    <row r="1102" spans="1:32" x14ac:dyDescent="0.2">
      <c r="A1102" s="21" t="s">
        <v>2829</v>
      </c>
      <c r="B1102" s="21" t="s">
        <v>980</v>
      </c>
      <c r="G1102" s="2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</row>
    <row r="1103" spans="1:32" x14ac:dyDescent="0.2">
      <c r="A1103" s="21" t="s">
        <v>2830</v>
      </c>
      <c r="B1103" s="21" t="s">
        <v>981</v>
      </c>
      <c r="G1103" s="2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</row>
    <row r="1104" spans="1:32" x14ac:dyDescent="0.2">
      <c r="A1104" s="21" t="s">
        <v>2831</v>
      </c>
      <c r="B1104" s="21" t="s">
        <v>982</v>
      </c>
      <c r="G1104" s="2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</row>
    <row r="1105" spans="1:32" x14ac:dyDescent="0.2">
      <c r="A1105" s="21" t="s">
        <v>2832</v>
      </c>
      <c r="B1105" s="21" t="s">
        <v>983</v>
      </c>
      <c r="G1105" s="2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</row>
    <row r="1106" spans="1:32" x14ac:dyDescent="0.2">
      <c r="A1106" s="21" t="s">
        <v>2833</v>
      </c>
      <c r="B1106" s="21" t="s">
        <v>1649</v>
      </c>
      <c r="G1106" s="2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</row>
    <row r="1107" spans="1:32" x14ac:dyDescent="0.2">
      <c r="A1107" s="21" t="s">
        <v>2834</v>
      </c>
      <c r="B1107" s="21" t="s">
        <v>984</v>
      </c>
      <c r="G1107" s="2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</row>
    <row r="1108" spans="1:32" x14ac:dyDescent="0.2">
      <c r="A1108" s="21" t="s">
        <v>2835</v>
      </c>
      <c r="B1108" s="21" t="s">
        <v>985</v>
      </c>
      <c r="G1108" s="2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</row>
    <row r="1109" spans="1:32" x14ac:dyDescent="0.2">
      <c r="A1109" s="21" t="s">
        <v>2836</v>
      </c>
      <c r="B1109" s="21" t="s">
        <v>986</v>
      </c>
      <c r="G1109" s="2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</row>
    <row r="1110" spans="1:32" x14ac:dyDescent="0.2">
      <c r="A1110" s="21" t="s">
        <v>2837</v>
      </c>
      <c r="B1110" s="21" t="s">
        <v>987</v>
      </c>
      <c r="G1110" s="2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</row>
    <row r="1111" spans="1:32" x14ac:dyDescent="0.2">
      <c r="A1111" s="21" t="s">
        <v>2838</v>
      </c>
      <c r="B1111" s="21" t="s">
        <v>988</v>
      </c>
      <c r="G1111" s="2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</row>
    <row r="1112" spans="1:32" x14ac:dyDescent="0.2">
      <c r="A1112" s="21" t="s">
        <v>2839</v>
      </c>
      <c r="B1112" s="21" t="s">
        <v>989</v>
      </c>
      <c r="G1112" s="2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</row>
    <row r="1113" spans="1:32" x14ac:dyDescent="0.2">
      <c r="A1113" s="21" t="s">
        <v>2840</v>
      </c>
      <c r="B1113" s="21" t="s">
        <v>990</v>
      </c>
      <c r="G1113" s="2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</row>
    <row r="1114" spans="1:32" x14ac:dyDescent="0.2">
      <c r="A1114" s="21" t="s">
        <v>2841</v>
      </c>
      <c r="B1114" s="21" t="s">
        <v>991</v>
      </c>
      <c r="G1114" s="2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</row>
    <row r="1115" spans="1:32" x14ac:dyDescent="0.2">
      <c r="A1115" s="21" t="s">
        <v>2842</v>
      </c>
      <c r="B1115" s="21" t="s">
        <v>992</v>
      </c>
      <c r="G1115" s="2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</row>
    <row r="1116" spans="1:32" x14ac:dyDescent="0.2">
      <c r="A1116" s="21" t="s">
        <v>2843</v>
      </c>
      <c r="B1116" s="21" t="s">
        <v>993</v>
      </c>
      <c r="G1116" s="2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</row>
    <row r="1117" spans="1:32" x14ac:dyDescent="0.2">
      <c r="A1117" s="21" t="s">
        <v>2844</v>
      </c>
      <c r="B1117" s="21" t="s">
        <v>994</v>
      </c>
      <c r="G1117" s="2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</row>
    <row r="1118" spans="1:32" x14ac:dyDescent="0.2">
      <c r="A1118" s="21" t="s">
        <v>2845</v>
      </c>
      <c r="B1118" s="21" t="s">
        <v>995</v>
      </c>
      <c r="G1118" s="2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</row>
    <row r="1119" spans="1:32" x14ac:dyDescent="0.2">
      <c r="A1119" s="21" t="s">
        <v>2846</v>
      </c>
      <c r="B1119" s="21" t="s">
        <v>996</v>
      </c>
      <c r="G1119" s="2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</row>
    <row r="1120" spans="1:32" x14ac:dyDescent="0.2">
      <c r="A1120" s="21" t="s">
        <v>2847</v>
      </c>
      <c r="B1120" s="21" t="s">
        <v>997</v>
      </c>
      <c r="G1120" s="2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</row>
    <row r="1121" spans="1:32" x14ac:dyDescent="0.2">
      <c r="A1121" s="21" t="s">
        <v>2848</v>
      </c>
      <c r="B1121" s="21" t="s">
        <v>998</v>
      </c>
      <c r="G1121" s="2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</row>
    <row r="1122" spans="1:32" x14ac:dyDescent="0.2">
      <c r="A1122" s="21" t="s">
        <v>2849</v>
      </c>
      <c r="B1122" s="21" t="s">
        <v>999</v>
      </c>
      <c r="G1122" s="2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</row>
    <row r="1123" spans="1:32" x14ac:dyDescent="0.2">
      <c r="A1123" s="21" t="s">
        <v>2850</v>
      </c>
      <c r="B1123" s="21" t="s">
        <v>1000</v>
      </c>
      <c r="G1123" s="2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</row>
    <row r="1124" spans="1:32" x14ac:dyDescent="0.2">
      <c r="A1124" s="21" t="s">
        <v>2851</v>
      </c>
      <c r="B1124" s="21" t="s">
        <v>1651</v>
      </c>
      <c r="G1124" s="2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</row>
    <row r="1125" spans="1:32" x14ac:dyDescent="0.2">
      <c r="A1125" s="21" t="s">
        <v>2852</v>
      </c>
      <c r="B1125" s="21" t="s">
        <v>1001</v>
      </c>
      <c r="G1125" s="2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</row>
    <row r="1126" spans="1:32" x14ac:dyDescent="0.2">
      <c r="A1126" s="21" t="s">
        <v>2853</v>
      </c>
      <c r="B1126" s="21" t="s">
        <v>1002</v>
      </c>
      <c r="G1126" s="2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</row>
    <row r="1127" spans="1:32" x14ac:dyDescent="0.2">
      <c r="A1127" s="21" t="s">
        <v>2854</v>
      </c>
      <c r="B1127" s="21" t="s">
        <v>1003</v>
      </c>
      <c r="G1127" s="2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</row>
    <row r="1128" spans="1:32" x14ac:dyDescent="0.2">
      <c r="A1128" s="21" t="s">
        <v>2855</v>
      </c>
      <c r="B1128" s="21" t="s">
        <v>1004</v>
      </c>
      <c r="G1128" s="2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</row>
    <row r="1129" spans="1:32" x14ac:dyDescent="0.2">
      <c r="A1129" s="21" t="s">
        <v>2856</v>
      </c>
      <c r="B1129" s="21" t="s">
        <v>1005</v>
      </c>
      <c r="G1129" s="2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</row>
    <row r="1130" spans="1:32" x14ac:dyDescent="0.2">
      <c r="A1130" s="21" t="s">
        <v>2857</v>
      </c>
      <c r="B1130" s="21" t="s">
        <v>1006</v>
      </c>
      <c r="G1130" s="2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</row>
    <row r="1131" spans="1:32" x14ac:dyDescent="0.2">
      <c r="A1131" s="21" t="s">
        <v>2858</v>
      </c>
      <c r="B1131" s="21" t="s">
        <v>1007</v>
      </c>
      <c r="G1131" s="2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</row>
    <row r="1132" spans="1:32" x14ac:dyDescent="0.2">
      <c r="A1132" s="21" t="s">
        <v>2859</v>
      </c>
      <c r="B1132" s="21" t="s">
        <v>1008</v>
      </c>
      <c r="G1132" s="2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</row>
    <row r="1133" spans="1:32" x14ac:dyDescent="0.2">
      <c r="A1133" s="21" t="s">
        <v>2860</v>
      </c>
      <c r="B1133" s="21" t="s">
        <v>1009</v>
      </c>
      <c r="G1133" s="2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</row>
    <row r="1134" spans="1:32" x14ac:dyDescent="0.2">
      <c r="A1134" s="21" t="s">
        <v>2861</v>
      </c>
      <c r="B1134" s="21" t="s">
        <v>1010</v>
      </c>
      <c r="G1134" s="2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</row>
    <row r="1135" spans="1:32" x14ac:dyDescent="0.2">
      <c r="A1135" s="21" t="s">
        <v>2862</v>
      </c>
      <c r="B1135" s="21" t="s">
        <v>1652</v>
      </c>
      <c r="G1135" s="2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</row>
    <row r="1136" spans="1:32" x14ac:dyDescent="0.2">
      <c r="A1136" s="21" t="s">
        <v>2863</v>
      </c>
      <c r="B1136" s="21" t="s">
        <v>1011</v>
      </c>
      <c r="G1136" s="2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</row>
    <row r="1137" spans="1:32" x14ac:dyDescent="0.2">
      <c r="A1137" s="21" t="s">
        <v>2864</v>
      </c>
      <c r="B1137" s="21" t="s">
        <v>1012</v>
      </c>
      <c r="G1137" s="2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</row>
    <row r="1138" spans="1:32" x14ac:dyDescent="0.2">
      <c r="A1138" s="21" t="s">
        <v>2865</v>
      </c>
      <c r="B1138" s="21" t="s">
        <v>1013</v>
      </c>
      <c r="G1138" s="2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</row>
    <row r="1139" spans="1:32" x14ac:dyDescent="0.2">
      <c r="A1139" s="21" t="s">
        <v>2866</v>
      </c>
      <c r="B1139" s="21" t="s">
        <v>1014</v>
      </c>
      <c r="G1139" s="2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</row>
    <row r="1140" spans="1:32" x14ac:dyDescent="0.2">
      <c r="A1140" s="21" t="s">
        <v>2867</v>
      </c>
      <c r="B1140" s="21" t="s">
        <v>1015</v>
      </c>
      <c r="G1140" s="2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</row>
    <row r="1141" spans="1:32" x14ac:dyDescent="0.2">
      <c r="A1141" s="21" t="s">
        <v>2868</v>
      </c>
      <c r="B1141" s="21" t="s">
        <v>1016</v>
      </c>
      <c r="G1141" s="2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</row>
    <row r="1142" spans="1:32" x14ac:dyDescent="0.2">
      <c r="A1142" s="21" t="s">
        <v>2869</v>
      </c>
      <c r="B1142" s="21" t="s">
        <v>1017</v>
      </c>
      <c r="G1142" s="2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</row>
    <row r="1143" spans="1:32" x14ac:dyDescent="0.2">
      <c r="A1143" s="21" t="s">
        <v>2870</v>
      </c>
      <c r="B1143" s="21" t="s">
        <v>1018</v>
      </c>
      <c r="G1143" s="2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</row>
    <row r="1144" spans="1:32" x14ac:dyDescent="0.2">
      <c r="A1144" s="21" t="s">
        <v>2871</v>
      </c>
      <c r="B1144" s="21" t="s">
        <v>1019</v>
      </c>
      <c r="G1144" s="2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</row>
    <row r="1145" spans="1:32" x14ac:dyDescent="0.2">
      <c r="A1145" s="21" t="s">
        <v>2872</v>
      </c>
      <c r="B1145" s="21" t="s">
        <v>1020</v>
      </c>
      <c r="G1145" s="2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</row>
    <row r="1146" spans="1:32" x14ac:dyDescent="0.2">
      <c r="A1146" s="21" t="s">
        <v>2873</v>
      </c>
      <c r="B1146" s="21" t="s">
        <v>1021</v>
      </c>
      <c r="G1146" s="2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</row>
    <row r="1147" spans="1:32" x14ac:dyDescent="0.2">
      <c r="A1147" s="21" t="s">
        <v>2874</v>
      </c>
      <c r="B1147" s="21" t="s">
        <v>1022</v>
      </c>
      <c r="G1147" s="2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</row>
    <row r="1148" spans="1:32" x14ac:dyDescent="0.2">
      <c r="A1148" s="21" t="s">
        <v>2875</v>
      </c>
      <c r="B1148" s="21" t="s">
        <v>1023</v>
      </c>
      <c r="G1148" s="2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</row>
    <row r="1149" spans="1:32" x14ac:dyDescent="0.2">
      <c r="A1149" s="21" t="s">
        <v>2876</v>
      </c>
      <c r="B1149" s="21" t="s">
        <v>1024</v>
      </c>
      <c r="G1149" s="2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</row>
    <row r="1150" spans="1:32" x14ac:dyDescent="0.2">
      <c r="A1150" s="21" t="s">
        <v>2877</v>
      </c>
      <c r="B1150" s="21" t="s">
        <v>1025</v>
      </c>
      <c r="G1150" s="2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</row>
    <row r="1151" spans="1:32" x14ac:dyDescent="0.2">
      <c r="A1151" s="21" t="s">
        <v>2878</v>
      </c>
      <c r="B1151" s="21" t="s">
        <v>1026</v>
      </c>
      <c r="G1151" s="2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</row>
    <row r="1152" spans="1:32" x14ac:dyDescent="0.2">
      <c r="A1152" s="21" t="s">
        <v>2879</v>
      </c>
      <c r="B1152" s="21" t="s">
        <v>1027</v>
      </c>
      <c r="G1152" s="2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</row>
    <row r="1153" spans="1:32" x14ac:dyDescent="0.2">
      <c r="A1153" s="21" t="s">
        <v>2880</v>
      </c>
      <c r="B1153" s="21" t="s">
        <v>1028</v>
      </c>
      <c r="G1153" s="2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</row>
    <row r="1154" spans="1:32" x14ac:dyDescent="0.2">
      <c r="A1154" s="21" t="s">
        <v>2881</v>
      </c>
      <c r="B1154" s="21" t="s">
        <v>1029</v>
      </c>
      <c r="G1154" s="2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</row>
    <row r="1155" spans="1:32" x14ac:dyDescent="0.2">
      <c r="A1155" s="21" t="s">
        <v>2882</v>
      </c>
      <c r="B1155" s="21" t="s">
        <v>1030</v>
      </c>
      <c r="G1155" s="2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</row>
    <row r="1156" spans="1:32" x14ac:dyDescent="0.2">
      <c r="A1156" s="21" t="s">
        <v>2883</v>
      </c>
      <c r="B1156" s="21" t="s">
        <v>1031</v>
      </c>
      <c r="G1156" s="2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</row>
    <row r="1157" spans="1:32" x14ac:dyDescent="0.2">
      <c r="A1157" s="21" t="s">
        <v>2884</v>
      </c>
      <c r="B1157" s="21" t="s">
        <v>1032</v>
      </c>
      <c r="G1157" s="2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</row>
    <row r="1158" spans="1:32" x14ac:dyDescent="0.2">
      <c r="A1158" s="21" t="s">
        <v>2885</v>
      </c>
      <c r="B1158" s="21" t="s">
        <v>1033</v>
      </c>
      <c r="G1158" s="2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</row>
    <row r="1159" spans="1:32" x14ac:dyDescent="0.2">
      <c r="A1159" s="21" t="s">
        <v>2886</v>
      </c>
      <c r="B1159" s="21" t="s">
        <v>1034</v>
      </c>
      <c r="G1159" s="2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</row>
    <row r="1160" spans="1:32" x14ac:dyDescent="0.2">
      <c r="A1160" s="21" t="s">
        <v>2887</v>
      </c>
      <c r="B1160" s="21" t="s">
        <v>1035</v>
      </c>
      <c r="G1160" s="2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</row>
    <row r="1161" spans="1:32" x14ac:dyDescent="0.2">
      <c r="A1161" s="21" t="s">
        <v>2888</v>
      </c>
      <c r="B1161" s="21" t="s">
        <v>1036</v>
      </c>
      <c r="G1161" s="2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</row>
    <row r="1162" spans="1:32" x14ac:dyDescent="0.2">
      <c r="A1162" s="21" t="s">
        <v>2889</v>
      </c>
      <c r="B1162" s="21" t="s">
        <v>1037</v>
      </c>
      <c r="G1162" s="2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</row>
    <row r="1163" spans="1:32" x14ac:dyDescent="0.2">
      <c r="A1163" s="21" t="s">
        <v>2890</v>
      </c>
      <c r="B1163" s="21" t="s">
        <v>1038</v>
      </c>
      <c r="G1163" s="2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</row>
    <row r="1164" spans="1:32" x14ac:dyDescent="0.2">
      <c r="A1164" s="21" t="s">
        <v>2891</v>
      </c>
      <c r="B1164" s="21" t="s">
        <v>1039</v>
      </c>
      <c r="G1164" s="2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</row>
    <row r="1165" spans="1:32" x14ac:dyDescent="0.2">
      <c r="A1165" s="21" t="s">
        <v>2892</v>
      </c>
      <c r="B1165" s="21" t="s">
        <v>1040</v>
      </c>
      <c r="G1165" s="2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</row>
    <row r="1166" spans="1:32" x14ac:dyDescent="0.2">
      <c r="A1166" s="21" t="s">
        <v>2893</v>
      </c>
      <c r="B1166" s="21" t="s">
        <v>1041</v>
      </c>
      <c r="G1166" s="2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</row>
    <row r="1167" spans="1:32" x14ac:dyDescent="0.2">
      <c r="A1167" s="21" t="s">
        <v>2894</v>
      </c>
      <c r="B1167" s="21" t="s">
        <v>1714</v>
      </c>
      <c r="G1167" s="2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</row>
    <row r="1168" spans="1:32" x14ac:dyDescent="0.2">
      <c r="A1168" s="21" t="s">
        <v>2895</v>
      </c>
      <c r="B1168" s="21" t="s">
        <v>1042</v>
      </c>
      <c r="G1168" s="2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/>
    </row>
    <row r="1169" spans="1:32" x14ac:dyDescent="0.2">
      <c r="A1169" s="21" t="s">
        <v>2896</v>
      </c>
      <c r="B1169" s="21" t="s">
        <v>1719</v>
      </c>
      <c r="G1169" s="2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</row>
    <row r="1170" spans="1:32" x14ac:dyDescent="0.2">
      <c r="A1170" s="21" t="s">
        <v>2897</v>
      </c>
      <c r="B1170" s="21" t="s">
        <v>1043</v>
      </c>
      <c r="G1170" s="2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</row>
    <row r="1171" spans="1:32" x14ac:dyDescent="0.2">
      <c r="A1171" s="21" t="s">
        <v>2898</v>
      </c>
      <c r="B1171" s="21" t="s">
        <v>1044</v>
      </c>
      <c r="G1171" s="2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</row>
    <row r="1172" spans="1:32" x14ac:dyDescent="0.2">
      <c r="A1172" s="21" t="s">
        <v>2899</v>
      </c>
      <c r="B1172" s="21" t="s">
        <v>1045</v>
      </c>
      <c r="G1172" s="2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</row>
    <row r="1173" spans="1:32" x14ac:dyDescent="0.2">
      <c r="A1173" s="21" t="s">
        <v>2900</v>
      </c>
      <c r="B1173" s="21" t="s">
        <v>1046</v>
      </c>
      <c r="G1173" s="2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</row>
    <row r="1174" spans="1:32" x14ac:dyDescent="0.2">
      <c r="A1174" s="21" t="s">
        <v>2901</v>
      </c>
      <c r="B1174" s="21" t="s">
        <v>1047</v>
      </c>
      <c r="G1174" s="2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</row>
    <row r="1175" spans="1:32" x14ac:dyDescent="0.2">
      <c r="A1175" s="21" t="s">
        <v>2902</v>
      </c>
      <c r="B1175" s="21" t="s">
        <v>1653</v>
      </c>
      <c r="G1175" s="2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</row>
    <row r="1176" spans="1:32" x14ac:dyDescent="0.2">
      <c r="A1176" s="21" t="s">
        <v>2903</v>
      </c>
      <c r="B1176" s="21" t="s">
        <v>1048</v>
      </c>
      <c r="G1176" s="2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</row>
    <row r="1177" spans="1:32" x14ac:dyDescent="0.2">
      <c r="A1177" s="21" t="s">
        <v>2904</v>
      </c>
      <c r="B1177" s="21" t="s">
        <v>1049</v>
      </c>
      <c r="G1177" s="2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</row>
    <row r="1178" spans="1:32" x14ac:dyDescent="0.2">
      <c r="A1178" s="21" t="s">
        <v>2905</v>
      </c>
      <c r="B1178" s="21" t="s">
        <v>1050</v>
      </c>
      <c r="G1178" s="2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</row>
    <row r="1179" spans="1:32" x14ac:dyDescent="0.2">
      <c r="A1179" s="21" t="s">
        <v>2906</v>
      </c>
      <c r="B1179" s="21" t="s">
        <v>1051</v>
      </c>
      <c r="G1179" s="2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</row>
    <row r="1180" spans="1:32" x14ac:dyDescent="0.2">
      <c r="A1180" s="21" t="s">
        <v>2907</v>
      </c>
      <c r="B1180" s="21" t="s">
        <v>1052</v>
      </c>
      <c r="G1180" s="2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</row>
    <row r="1181" spans="1:32" x14ac:dyDescent="0.2">
      <c r="A1181" s="21" t="s">
        <v>2908</v>
      </c>
      <c r="B1181" s="21" t="s">
        <v>1053</v>
      </c>
      <c r="G1181" s="2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</row>
    <row r="1182" spans="1:32" x14ac:dyDescent="0.2">
      <c r="A1182" s="21" t="s">
        <v>2909</v>
      </c>
      <c r="B1182" s="21" t="s">
        <v>1054</v>
      </c>
      <c r="G1182" s="2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</row>
    <row r="1183" spans="1:32" x14ac:dyDescent="0.2">
      <c r="A1183" s="21" t="s">
        <v>2910</v>
      </c>
      <c r="B1183" s="21" t="s">
        <v>1055</v>
      </c>
      <c r="G1183" s="2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</row>
    <row r="1184" spans="1:32" x14ac:dyDescent="0.2">
      <c r="A1184" s="21" t="s">
        <v>2911</v>
      </c>
      <c r="B1184" s="21" t="s">
        <v>1056</v>
      </c>
      <c r="G1184" s="2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</row>
    <row r="1185" spans="1:32" x14ac:dyDescent="0.2">
      <c r="A1185" s="21" t="s">
        <v>2912</v>
      </c>
      <c r="B1185" s="21" t="s">
        <v>1057</v>
      </c>
      <c r="G1185" s="2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</row>
    <row r="1186" spans="1:32" x14ac:dyDescent="0.2">
      <c r="A1186" s="21" t="s">
        <v>2913</v>
      </c>
      <c r="B1186" s="21" t="s">
        <v>1058</v>
      </c>
      <c r="G1186" s="2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</row>
    <row r="1187" spans="1:32" x14ac:dyDescent="0.2">
      <c r="A1187" s="21" t="s">
        <v>2914</v>
      </c>
      <c r="B1187" s="21" t="s">
        <v>1059</v>
      </c>
      <c r="G1187" s="2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</row>
    <row r="1188" spans="1:32" x14ac:dyDescent="0.2">
      <c r="A1188" s="21" t="s">
        <v>2915</v>
      </c>
      <c r="B1188" s="21" t="s">
        <v>1060</v>
      </c>
      <c r="G1188" s="2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</row>
    <row r="1189" spans="1:32" x14ac:dyDescent="0.2">
      <c r="A1189" s="21" t="s">
        <v>2916</v>
      </c>
      <c r="B1189" s="21" t="s">
        <v>1061</v>
      </c>
      <c r="G1189" s="2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</row>
    <row r="1190" spans="1:32" x14ac:dyDescent="0.2">
      <c r="A1190" s="21" t="s">
        <v>2917</v>
      </c>
      <c r="B1190" s="21" t="s">
        <v>1062</v>
      </c>
      <c r="G1190" s="2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</row>
    <row r="1191" spans="1:32" x14ac:dyDescent="0.2">
      <c r="A1191" s="21" t="s">
        <v>2918</v>
      </c>
      <c r="B1191" s="21" t="s">
        <v>1063</v>
      </c>
      <c r="G1191" s="2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</row>
    <row r="1192" spans="1:32" x14ac:dyDescent="0.2">
      <c r="A1192" s="21" t="s">
        <v>2919</v>
      </c>
      <c r="B1192" s="21" t="s">
        <v>1064</v>
      </c>
      <c r="G1192" s="2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</row>
    <row r="1193" spans="1:32" x14ac:dyDescent="0.2">
      <c r="A1193" s="21" t="s">
        <v>2920</v>
      </c>
      <c r="B1193" s="21" t="s">
        <v>1065</v>
      </c>
      <c r="G1193" s="2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</row>
    <row r="1194" spans="1:32" x14ac:dyDescent="0.2">
      <c r="A1194" s="21" t="s">
        <v>2921</v>
      </c>
      <c r="B1194" s="21" t="s">
        <v>1066</v>
      </c>
      <c r="G1194" s="2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</row>
    <row r="1195" spans="1:32" x14ac:dyDescent="0.2">
      <c r="A1195" s="21" t="s">
        <v>2922</v>
      </c>
      <c r="B1195" s="21" t="s">
        <v>1067</v>
      </c>
      <c r="G1195" s="2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</row>
    <row r="1196" spans="1:32" x14ac:dyDescent="0.2">
      <c r="A1196" s="21" t="s">
        <v>2923</v>
      </c>
      <c r="B1196" s="21" t="s">
        <v>1655</v>
      </c>
      <c r="G1196" s="2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</row>
    <row r="1197" spans="1:32" x14ac:dyDescent="0.2">
      <c r="A1197" s="21" t="s">
        <v>2924</v>
      </c>
      <c r="B1197" s="21" t="s">
        <v>1068</v>
      </c>
      <c r="G1197" s="2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</row>
    <row r="1198" spans="1:32" x14ac:dyDescent="0.2">
      <c r="A1198" s="21" t="s">
        <v>2925</v>
      </c>
      <c r="B1198" s="21" t="s">
        <v>1069</v>
      </c>
      <c r="G1198" s="2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</row>
    <row r="1199" spans="1:32" x14ac:dyDescent="0.2">
      <c r="A1199" s="21" t="s">
        <v>2926</v>
      </c>
      <c r="B1199" s="21" t="s">
        <v>1070</v>
      </c>
      <c r="G1199" s="2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</row>
    <row r="1200" spans="1:32" x14ac:dyDescent="0.2">
      <c r="A1200" s="21" t="s">
        <v>2927</v>
      </c>
      <c r="B1200" s="21" t="s">
        <v>1071</v>
      </c>
      <c r="G1200" s="2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</row>
    <row r="1201" spans="1:32" x14ac:dyDescent="0.2">
      <c r="A1201" s="21" t="s">
        <v>2928</v>
      </c>
      <c r="B1201" s="21" t="s">
        <v>1072</v>
      </c>
      <c r="G1201" s="2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</row>
    <row r="1202" spans="1:32" x14ac:dyDescent="0.2">
      <c r="A1202" s="21" t="s">
        <v>2929</v>
      </c>
      <c r="B1202" s="21" t="s">
        <v>1073</v>
      </c>
      <c r="G1202" s="2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</row>
    <row r="1203" spans="1:32" x14ac:dyDescent="0.2">
      <c r="A1203" s="21" t="s">
        <v>2930</v>
      </c>
      <c r="B1203" s="21" t="s">
        <v>1074</v>
      </c>
      <c r="G1203" s="2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</row>
    <row r="1204" spans="1:32" x14ac:dyDescent="0.2">
      <c r="A1204" s="21" t="s">
        <v>2931</v>
      </c>
      <c r="B1204" s="21" t="s">
        <v>1075</v>
      </c>
      <c r="G1204" s="2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</row>
    <row r="1205" spans="1:32" x14ac:dyDescent="0.2">
      <c r="A1205" s="21" t="s">
        <v>2932</v>
      </c>
      <c r="B1205" s="21" t="s">
        <v>1076</v>
      </c>
      <c r="G1205" s="2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</row>
    <row r="1206" spans="1:32" x14ac:dyDescent="0.2">
      <c r="A1206" s="21" t="s">
        <v>2933</v>
      </c>
      <c r="B1206" s="21" t="s">
        <v>1077</v>
      </c>
      <c r="G1206" s="2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</row>
    <row r="1207" spans="1:32" x14ac:dyDescent="0.2">
      <c r="A1207" s="21" t="s">
        <v>2934</v>
      </c>
      <c r="B1207" s="21" t="s">
        <v>1078</v>
      </c>
      <c r="G1207" s="2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</row>
    <row r="1208" spans="1:32" x14ac:dyDescent="0.2">
      <c r="A1208" s="21" t="s">
        <v>2935</v>
      </c>
      <c r="B1208" s="21" t="s">
        <v>1079</v>
      </c>
      <c r="G1208" s="2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</row>
    <row r="1209" spans="1:32" x14ac:dyDescent="0.2">
      <c r="A1209" s="21" t="s">
        <v>2936</v>
      </c>
      <c r="B1209" s="21" t="s">
        <v>1080</v>
      </c>
      <c r="G1209" s="2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</row>
    <row r="1210" spans="1:32" x14ac:dyDescent="0.2">
      <c r="A1210" s="21" t="s">
        <v>2937</v>
      </c>
      <c r="B1210" s="21" t="s">
        <v>1081</v>
      </c>
      <c r="G1210" s="2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</row>
    <row r="1211" spans="1:32" x14ac:dyDescent="0.2">
      <c r="A1211" s="21" t="s">
        <v>2938</v>
      </c>
      <c r="B1211" s="21" t="s">
        <v>1082</v>
      </c>
      <c r="G1211" s="2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</row>
    <row r="1212" spans="1:32" x14ac:dyDescent="0.2">
      <c r="A1212" s="21" t="s">
        <v>2939</v>
      </c>
      <c r="B1212" s="21" t="s">
        <v>1083</v>
      </c>
      <c r="G1212" s="2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</row>
    <row r="1213" spans="1:32" x14ac:dyDescent="0.2">
      <c r="A1213" s="21" t="s">
        <v>2940</v>
      </c>
      <c r="B1213" s="21" t="s">
        <v>1084</v>
      </c>
      <c r="G1213" s="2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</row>
    <row r="1214" spans="1:32" x14ac:dyDescent="0.2">
      <c r="A1214" s="21" t="s">
        <v>2941</v>
      </c>
      <c r="B1214" s="21" t="s">
        <v>1085</v>
      </c>
      <c r="G1214" s="2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</row>
    <row r="1215" spans="1:32" x14ac:dyDescent="0.2">
      <c r="A1215" s="21" t="s">
        <v>2942</v>
      </c>
      <c r="B1215" s="21" t="s">
        <v>1086</v>
      </c>
      <c r="G1215" s="2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</row>
    <row r="1216" spans="1:32" x14ac:dyDescent="0.2">
      <c r="A1216" s="21" t="s">
        <v>2943</v>
      </c>
      <c r="B1216" s="21" t="s">
        <v>1658</v>
      </c>
      <c r="G1216" s="2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</row>
    <row r="1217" spans="1:32" x14ac:dyDescent="0.2">
      <c r="A1217" s="21" t="s">
        <v>2944</v>
      </c>
      <c r="B1217" s="21" t="s">
        <v>1087</v>
      </c>
      <c r="G1217" s="2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</row>
    <row r="1218" spans="1:32" x14ac:dyDescent="0.2">
      <c r="A1218" s="21" t="s">
        <v>2945</v>
      </c>
      <c r="B1218" s="21" t="s">
        <v>1088</v>
      </c>
      <c r="G1218" s="2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</row>
    <row r="1219" spans="1:32" x14ac:dyDescent="0.2">
      <c r="A1219" s="21" t="s">
        <v>2946</v>
      </c>
      <c r="B1219" s="21" t="s">
        <v>1089</v>
      </c>
      <c r="G1219" s="2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</row>
    <row r="1220" spans="1:32" x14ac:dyDescent="0.2">
      <c r="A1220" s="21" t="s">
        <v>2947</v>
      </c>
      <c r="B1220" s="21" t="s">
        <v>1090</v>
      </c>
      <c r="G1220" s="2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</row>
    <row r="1221" spans="1:32" x14ac:dyDescent="0.2">
      <c r="A1221" s="21" t="s">
        <v>2948</v>
      </c>
      <c r="B1221" s="21" t="s">
        <v>1091</v>
      </c>
      <c r="G1221" s="2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</row>
    <row r="1222" spans="1:32" x14ac:dyDescent="0.2">
      <c r="A1222" s="21" t="s">
        <v>2949</v>
      </c>
      <c r="B1222" s="21" t="s">
        <v>1092</v>
      </c>
      <c r="G1222" s="2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</row>
    <row r="1223" spans="1:32" x14ac:dyDescent="0.2">
      <c r="A1223" s="21" t="s">
        <v>2950</v>
      </c>
      <c r="B1223" s="21" t="s">
        <v>1093</v>
      </c>
      <c r="G1223" s="2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</row>
    <row r="1224" spans="1:32" x14ac:dyDescent="0.2">
      <c r="A1224" s="21" t="s">
        <v>2951</v>
      </c>
      <c r="B1224" s="21" t="s">
        <v>1094</v>
      </c>
      <c r="G1224" s="2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</row>
    <row r="1225" spans="1:32" x14ac:dyDescent="0.2">
      <c r="A1225" s="21" t="s">
        <v>2952</v>
      </c>
      <c r="B1225" s="21" t="s">
        <v>1095</v>
      </c>
      <c r="G1225" s="2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</row>
    <row r="1226" spans="1:32" x14ac:dyDescent="0.2">
      <c r="A1226" s="21" t="s">
        <v>2953</v>
      </c>
      <c r="B1226" s="21" t="s">
        <v>1096</v>
      </c>
      <c r="G1226" s="2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</row>
    <row r="1227" spans="1:32" x14ac:dyDescent="0.2">
      <c r="A1227" s="21" t="s">
        <v>2954</v>
      </c>
      <c r="B1227" s="21" t="s">
        <v>1097</v>
      </c>
      <c r="G1227" s="2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</row>
    <row r="1228" spans="1:32" x14ac:dyDescent="0.2">
      <c r="A1228" s="21" t="s">
        <v>2955</v>
      </c>
      <c r="B1228" s="21" t="s">
        <v>1098</v>
      </c>
      <c r="G1228" s="2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</row>
    <row r="1229" spans="1:32" x14ac:dyDescent="0.2">
      <c r="A1229" s="21" t="s">
        <v>2956</v>
      </c>
      <c r="B1229" s="21" t="s">
        <v>1099</v>
      </c>
      <c r="G1229" s="2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</row>
    <row r="1230" spans="1:32" x14ac:dyDescent="0.2">
      <c r="A1230" s="21" t="s">
        <v>2957</v>
      </c>
      <c r="B1230" s="21" t="s">
        <v>1100</v>
      </c>
      <c r="G1230" s="2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</row>
    <row r="1231" spans="1:32" x14ac:dyDescent="0.2">
      <c r="A1231" s="21" t="s">
        <v>2958</v>
      </c>
      <c r="B1231" s="21" t="s">
        <v>1660</v>
      </c>
      <c r="G1231" s="2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</row>
    <row r="1232" spans="1:32" x14ac:dyDescent="0.2">
      <c r="A1232" s="21" t="s">
        <v>2959</v>
      </c>
      <c r="B1232" s="21" t="s">
        <v>1101</v>
      </c>
      <c r="G1232" s="2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</row>
    <row r="1233" spans="1:32" x14ac:dyDescent="0.2">
      <c r="A1233" s="21" t="s">
        <v>2960</v>
      </c>
      <c r="B1233" s="21" t="s">
        <v>1102</v>
      </c>
      <c r="G1233" s="2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</row>
    <row r="1234" spans="1:32" x14ac:dyDescent="0.2">
      <c r="A1234" s="21" t="s">
        <v>2961</v>
      </c>
      <c r="B1234" s="21" t="s">
        <v>1659</v>
      </c>
      <c r="G1234" s="2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</row>
    <row r="1235" spans="1:32" x14ac:dyDescent="0.2">
      <c r="A1235" s="21" t="s">
        <v>2962</v>
      </c>
      <c r="B1235" s="21" t="s">
        <v>1103</v>
      </c>
      <c r="G1235" s="2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</row>
    <row r="1236" spans="1:32" x14ac:dyDescent="0.2">
      <c r="A1236" s="21" t="s">
        <v>2963</v>
      </c>
      <c r="B1236" s="21" t="s">
        <v>1104</v>
      </c>
      <c r="G1236" s="2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</row>
    <row r="1237" spans="1:32" x14ac:dyDescent="0.2">
      <c r="A1237" s="21" t="s">
        <v>2964</v>
      </c>
      <c r="B1237" s="21" t="s">
        <v>1105</v>
      </c>
      <c r="G1237" s="2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</row>
    <row r="1238" spans="1:32" x14ac:dyDescent="0.2">
      <c r="A1238" s="21" t="s">
        <v>2965</v>
      </c>
      <c r="B1238" s="21" t="s">
        <v>1106</v>
      </c>
      <c r="G1238" s="2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</row>
    <row r="1239" spans="1:32" x14ac:dyDescent="0.2">
      <c r="A1239" s="21" t="s">
        <v>2966</v>
      </c>
      <c r="B1239" s="21" t="s">
        <v>1107</v>
      </c>
      <c r="G1239" s="2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</row>
    <row r="1240" spans="1:32" x14ac:dyDescent="0.2">
      <c r="A1240" s="21" t="s">
        <v>2967</v>
      </c>
      <c r="B1240" s="21" t="s">
        <v>1108</v>
      </c>
      <c r="G1240" s="2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</row>
    <row r="1241" spans="1:32" x14ac:dyDescent="0.2">
      <c r="A1241" s="21" t="s">
        <v>2968</v>
      </c>
      <c r="B1241" s="21" t="s">
        <v>1109</v>
      </c>
      <c r="G1241" s="2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</row>
    <row r="1242" spans="1:32" x14ac:dyDescent="0.2">
      <c r="A1242" s="21" t="s">
        <v>2969</v>
      </c>
      <c r="B1242" s="21" t="s">
        <v>1110</v>
      </c>
      <c r="G1242" s="2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</row>
    <row r="1243" spans="1:32" x14ac:dyDescent="0.2">
      <c r="A1243" s="21" t="s">
        <v>2970</v>
      </c>
      <c r="B1243" s="21" t="s">
        <v>1111</v>
      </c>
      <c r="G1243" s="2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</row>
    <row r="1244" spans="1:32" x14ac:dyDescent="0.2">
      <c r="A1244" s="21" t="s">
        <v>2971</v>
      </c>
      <c r="B1244" s="21" t="s">
        <v>1112</v>
      </c>
      <c r="G1244" s="2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</row>
    <row r="1245" spans="1:32" x14ac:dyDescent="0.2">
      <c r="A1245" s="21" t="s">
        <v>2972</v>
      </c>
      <c r="B1245" s="21" t="s">
        <v>1113</v>
      </c>
      <c r="G1245" s="2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</row>
    <row r="1246" spans="1:32" x14ac:dyDescent="0.2">
      <c r="A1246" s="21" t="s">
        <v>2973</v>
      </c>
      <c r="B1246" s="21" t="s">
        <v>1114</v>
      </c>
      <c r="G1246" s="2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</row>
    <row r="1247" spans="1:32" x14ac:dyDescent="0.2">
      <c r="A1247" s="21" t="s">
        <v>2974</v>
      </c>
      <c r="B1247" s="21" t="s">
        <v>1115</v>
      </c>
      <c r="G1247" s="2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</row>
    <row r="1248" spans="1:32" x14ac:dyDescent="0.2">
      <c r="A1248" s="21" t="s">
        <v>2975</v>
      </c>
      <c r="B1248" s="21" t="s">
        <v>1116</v>
      </c>
      <c r="G1248" s="2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</row>
    <row r="1249" spans="1:32" x14ac:dyDescent="0.2">
      <c r="A1249" s="21" t="s">
        <v>2976</v>
      </c>
      <c r="B1249" s="21" t="s">
        <v>1723</v>
      </c>
      <c r="G1249" s="2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</row>
    <row r="1250" spans="1:32" x14ac:dyDescent="0.2">
      <c r="A1250" s="21" t="s">
        <v>2977</v>
      </c>
      <c r="B1250" s="21" t="s">
        <v>1117</v>
      </c>
      <c r="G1250" s="2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</row>
    <row r="1251" spans="1:32" x14ac:dyDescent="0.2">
      <c r="A1251" s="21" t="s">
        <v>2978</v>
      </c>
      <c r="B1251" s="21" t="s">
        <v>1118</v>
      </c>
      <c r="G1251" s="2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</row>
    <row r="1252" spans="1:32" x14ac:dyDescent="0.2">
      <c r="A1252" s="21" t="s">
        <v>2979</v>
      </c>
      <c r="B1252" s="21" t="s">
        <v>1119</v>
      </c>
      <c r="G1252" s="2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</row>
    <row r="1253" spans="1:32" x14ac:dyDescent="0.2">
      <c r="A1253" s="21" t="s">
        <v>2980</v>
      </c>
      <c r="B1253" s="21" t="s">
        <v>1120</v>
      </c>
      <c r="G1253" s="2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</row>
    <row r="1254" spans="1:32" x14ac:dyDescent="0.2">
      <c r="A1254" s="21" t="s">
        <v>2981</v>
      </c>
      <c r="B1254" s="21" t="s">
        <v>1121</v>
      </c>
      <c r="G1254" s="2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</row>
    <row r="1255" spans="1:32" x14ac:dyDescent="0.2">
      <c r="A1255" s="21" t="s">
        <v>2982</v>
      </c>
      <c r="B1255" s="21" t="s">
        <v>1122</v>
      </c>
      <c r="G1255" s="2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</row>
    <row r="1256" spans="1:32" x14ac:dyDescent="0.2">
      <c r="A1256" s="21" t="s">
        <v>2983</v>
      </c>
      <c r="B1256" s="21" t="s">
        <v>1123</v>
      </c>
      <c r="G1256" s="2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</row>
    <row r="1257" spans="1:32" x14ac:dyDescent="0.2">
      <c r="A1257" s="21" t="s">
        <v>2984</v>
      </c>
      <c r="B1257" s="21" t="s">
        <v>1124</v>
      </c>
      <c r="G1257" s="2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</row>
    <row r="1258" spans="1:32" x14ac:dyDescent="0.2">
      <c r="A1258" s="21" t="s">
        <v>2985</v>
      </c>
      <c r="B1258" s="21" t="s">
        <v>1125</v>
      </c>
      <c r="G1258" s="2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</row>
    <row r="1259" spans="1:32" x14ac:dyDescent="0.2">
      <c r="A1259" s="21" t="s">
        <v>2986</v>
      </c>
      <c r="B1259" s="21" t="s">
        <v>1661</v>
      </c>
      <c r="G1259" s="2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</row>
    <row r="1260" spans="1:32" x14ac:dyDescent="0.2">
      <c r="A1260" s="21" t="s">
        <v>2987</v>
      </c>
      <c r="B1260" s="21" t="s">
        <v>1126</v>
      </c>
      <c r="G1260" s="2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</row>
    <row r="1261" spans="1:32" x14ac:dyDescent="0.2">
      <c r="A1261" s="21" t="s">
        <v>2988</v>
      </c>
      <c r="B1261" s="21" t="s">
        <v>1127</v>
      </c>
      <c r="G1261" s="2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</row>
    <row r="1262" spans="1:32" x14ac:dyDescent="0.2">
      <c r="A1262" s="21" t="s">
        <v>2989</v>
      </c>
      <c r="B1262" s="21" t="s">
        <v>1128</v>
      </c>
      <c r="G1262" s="2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</row>
    <row r="1263" spans="1:32" x14ac:dyDescent="0.2">
      <c r="A1263" s="21" t="s">
        <v>2990</v>
      </c>
      <c r="B1263" s="21" t="s">
        <v>1129</v>
      </c>
      <c r="G1263" s="2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</row>
    <row r="1264" spans="1:32" x14ac:dyDescent="0.2">
      <c r="A1264" s="21" t="s">
        <v>2991</v>
      </c>
      <c r="B1264" s="21" t="s">
        <v>1130</v>
      </c>
      <c r="G1264" s="2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</row>
    <row r="1265" spans="1:32" x14ac:dyDescent="0.2">
      <c r="A1265" s="21" t="s">
        <v>2992</v>
      </c>
      <c r="B1265" s="21" t="s">
        <v>1662</v>
      </c>
      <c r="G1265" s="2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</row>
    <row r="1266" spans="1:32" x14ac:dyDescent="0.2">
      <c r="A1266" s="21" t="s">
        <v>2993</v>
      </c>
      <c r="B1266" s="21" t="s">
        <v>1131</v>
      </c>
      <c r="G1266" s="2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</row>
    <row r="1267" spans="1:32" x14ac:dyDescent="0.2">
      <c r="A1267" s="21" t="s">
        <v>2994</v>
      </c>
      <c r="B1267" s="21" t="s">
        <v>1656</v>
      </c>
      <c r="G1267" s="2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</row>
    <row r="1268" spans="1:32" x14ac:dyDescent="0.2">
      <c r="A1268" s="21" t="s">
        <v>2995</v>
      </c>
      <c r="B1268" s="21" t="s">
        <v>1132</v>
      </c>
      <c r="G1268" s="2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</row>
    <row r="1269" spans="1:32" x14ac:dyDescent="0.2">
      <c r="A1269" s="21" t="s">
        <v>2996</v>
      </c>
      <c r="B1269" s="21" t="s">
        <v>1133</v>
      </c>
      <c r="G1269" s="2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</row>
    <row r="1270" spans="1:32" x14ac:dyDescent="0.2">
      <c r="A1270" s="21" t="s">
        <v>2997</v>
      </c>
      <c r="B1270" s="21" t="s">
        <v>1134</v>
      </c>
      <c r="G1270" s="2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</row>
    <row r="1271" spans="1:32" x14ac:dyDescent="0.2">
      <c r="A1271" s="21" t="s">
        <v>2998</v>
      </c>
      <c r="B1271" s="21" t="s">
        <v>1135</v>
      </c>
      <c r="G1271" s="2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</row>
    <row r="1272" spans="1:32" x14ac:dyDescent="0.2">
      <c r="A1272" s="21" t="s">
        <v>2999</v>
      </c>
      <c r="B1272" s="21" t="s">
        <v>1136</v>
      </c>
      <c r="G1272" s="2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</row>
    <row r="1273" spans="1:32" x14ac:dyDescent="0.2">
      <c r="A1273" s="21" t="s">
        <v>3000</v>
      </c>
      <c r="B1273" s="21" t="s">
        <v>1137</v>
      </c>
      <c r="G1273" s="2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</row>
    <row r="1274" spans="1:32" x14ac:dyDescent="0.2">
      <c r="A1274" s="21" t="s">
        <v>3001</v>
      </c>
      <c r="B1274" s="21" t="s">
        <v>1138</v>
      </c>
      <c r="G1274" s="2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</row>
    <row r="1275" spans="1:32" x14ac:dyDescent="0.2">
      <c r="A1275" s="21" t="s">
        <v>3002</v>
      </c>
      <c r="B1275" s="21" t="s">
        <v>1590</v>
      </c>
      <c r="G1275" s="2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</row>
    <row r="1276" spans="1:32" x14ac:dyDescent="0.2">
      <c r="A1276" s="21" t="s">
        <v>3003</v>
      </c>
      <c r="B1276" s="21" t="s">
        <v>1139</v>
      </c>
      <c r="G1276" s="2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</row>
    <row r="1277" spans="1:32" x14ac:dyDescent="0.2">
      <c r="A1277" s="21" t="s">
        <v>3004</v>
      </c>
      <c r="B1277" s="21" t="s">
        <v>1140</v>
      </c>
      <c r="G1277" s="2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</row>
    <row r="1278" spans="1:32" x14ac:dyDescent="0.2">
      <c r="A1278" s="21" t="s">
        <v>3005</v>
      </c>
      <c r="B1278" s="21" t="s">
        <v>1141</v>
      </c>
      <c r="G1278" s="2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</row>
    <row r="1279" spans="1:32" x14ac:dyDescent="0.2">
      <c r="A1279" s="21" t="s">
        <v>3006</v>
      </c>
      <c r="B1279" s="21" t="s">
        <v>1142</v>
      </c>
      <c r="G1279" s="2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</row>
    <row r="1280" spans="1:32" x14ac:dyDescent="0.2">
      <c r="A1280" s="21" t="s">
        <v>3007</v>
      </c>
      <c r="B1280" s="21" t="s">
        <v>1143</v>
      </c>
      <c r="G1280" s="2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</row>
    <row r="1281" spans="1:32" x14ac:dyDescent="0.2">
      <c r="A1281" s="21" t="s">
        <v>3008</v>
      </c>
      <c r="B1281" s="21" t="s">
        <v>1657</v>
      </c>
      <c r="G1281" s="2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</row>
    <row r="1282" spans="1:32" x14ac:dyDescent="0.2">
      <c r="A1282" s="21" t="s">
        <v>3009</v>
      </c>
      <c r="B1282" s="21" t="s">
        <v>1144</v>
      </c>
      <c r="G1282" s="2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</row>
    <row r="1283" spans="1:32" x14ac:dyDescent="0.2">
      <c r="A1283" s="21" t="s">
        <v>3010</v>
      </c>
      <c r="B1283" s="21" t="s">
        <v>1145</v>
      </c>
      <c r="G1283" s="2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</row>
    <row r="1284" spans="1:32" x14ac:dyDescent="0.2">
      <c r="A1284" s="21" t="s">
        <v>3011</v>
      </c>
      <c r="B1284" s="21" t="s">
        <v>1146</v>
      </c>
      <c r="G1284" s="2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</row>
    <row r="1285" spans="1:32" x14ac:dyDescent="0.2">
      <c r="A1285" s="21" t="s">
        <v>3012</v>
      </c>
      <c r="B1285" s="21" t="s">
        <v>1147</v>
      </c>
      <c r="G1285" s="2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</row>
    <row r="1286" spans="1:32" x14ac:dyDescent="0.2">
      <c r="A1286" s="21" t="s">
        <v>3013</v>
      </c>
      <c r="B1286" s="21" t="s">
        <v>1148</v>
      </c>
      <c r="G1286" s="2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</row>
    <row r="1287" spans="1:32" x14ac:dyDescent="0.2">
      <c r="A1287" s="21" t="s">
        <v>3014</v>
      </c>
      <c r="B1287" s="21" t="s">
        <v>1149</v>
      </c>
      <c r="G1287" s="2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</row>
    <row r="1288" spans="1:32" x14ac:dyDescent="0.2">
      <c r="A1288" s="21" t="s">
        <v>3015</v>
      </c>
      <c r="B1288" s="21" t="s">
        <v>1150</v>
      </c>
      <c r="G1288" s="2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</row>
    <row r="1289" spans="1:32" x14ac:dyDescent="0.2">
      <c r="A1289" s="21" t="s">
        <v>3016</v>
      </c>
      <c r="B1289" s="21" t="s">
        <v>1151</v>
      </c>
      <c r="G1289" s="2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</row>
    <row r="1290" spans="1:32" x14ac:dyDescent="0.2">
      <c r="A1290" s="21" t="s">
        <v>3017</v>
      </c>
      <c r="B1290" s="21" t="s">
        <v>1152</v>
      </c>
      <c r="G1290" s="2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</row>
    <row r="1291" spans="1:32" x14ac:dyDescent="0.2">
      <c r="A1291" s="21" t="s">
        <v>3018</v>
      </c>
      <c r="B1291" s="21" t="s">
        <v>1153</v>
      </c>
      <c r="G1291" s="2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</row>
    <row r="1292" spans="1:32" x14ac:dyDescent="0.2">
      <c r="A1292" s="21" t="s">
        <v>3019</v>
      </c>
      <c r="B1292" s="21" t="s">
        <v>1154</v>
      </c>
      <c r="G1292" s="2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</row>
    <row r="1293" spans="1:32" x14ac:dyDescent="0.2">
      <c r="A1293" s="21" t="s">
        <v>3020</v>
      </c>
      <c r="B1293" s="21" t="s">
        <v>1155</v>
      </c>
      <c r="G1293" s="2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</row>
    <row r="1294" spans="1:32" x14ac:dyDescent="0.2">
      <c r="A1294" s="21" t="s">
        <v>3021</v>
      </c>
      <c r="B1294" s="21" t="s">
        <v>1156</v>
      </c>
      <c r="G1294" s="2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  <c r="AA1294" s="1"/>
      <c r="AB1294" s="1"/>
      <c r="AC1294" s="1"/>
      <c r="AD1294" s="1"/>
      <c r="AE1294" s="1"/>
      <c r="AF1294" s="1"/>
    </row>
    <row r="1295" spans="1:32" x14ac:dyDescent="0.2">
      <c r="A1295" s="21" t="s">
        <v>3022</v>
      </c>
      <c r="B1295" s="21" t="s">
        <v>1157</v>
      </c>
      <c r="G1295" s="2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</row>
    <row r="1296" spans="1:32" x14ac:dyDescent="0.2">
      <c r="A1296" s="21" t="s">
        <v>3023</v>
      </c>
      <c r="B1296" s="21" t="s">
        <v>1158</v>
      </c>
      <c r="G1296" s="2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</row>
    <row r="1297" spans="1:32" x14ac:dyDescent="0.2">
      <c r="A1297" s="21" t="s">
        <v>3024</v>
      </c>
      <c r="B1297" s="21" t="s">
        <v>1159</v>
      </c>
      <c r="G1297" s="2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</row>
    <row r="1298" spans="1:32" x14ac:dyDescent="0.2">
      <c r="A1298" s="21" t="s">
        <v>3025</v>
      </c>
      <c r="B1298" s="21" t="s">
        <v>1160</v>
      </c>
      <c r="G1298" s="2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</row>
    <row r="1299" spans="1:32" x14ac:dyDescent="0.2">
      <c r="A1299" s="21" t="s">
        <v>3026</v>
      </c>
      <c r="B1299" s="21" t="s">
        <v>1665</v>
      </c>
      <c r="G1299" s="2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</row>
    <row r="1300" spans="1:32" x14ac:dyDescent="0.2">
      <c r="A1300" s="21" t="s">
        <v>3027</v>
      </c>
      <c r="B1300" s="21" t="s">
        <v>1161</v>
      </c>
      <c r="G1300" s="2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</row>
    <row r="1301" spans="1:32" x14ac:dyDescent="0.2">
      <c r="A1301" s="21" t="s">
        <v>3028</v>
      </c>
      <c r="B1301" s="21" t="s">
        <v>1162</v>
      </c>
      <c r="G1301" s="2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</row>
    <row r="1302" spans="1:32" x14ac:dyDescent="0.2">
      <c r="A1302" s="21" t="s">
        <v>3029</v>
      </c>
      <c r="B1302" s="21" t="s">
        <v>1163</v>
      </c>
      <c r="G1302" s="2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</row>
    <row r="1303" spans="1:32" x14ac:dyDescent="0.2">
      <c r="A1303" s="21" t="s">
        <v>3030</v>
      </c>
      <c r="B1303" s="21" t="s">
        <v>1720</v>
      </c>
      <c r="G1303" s="2"/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</row>
    <row r="1304" spans="1:32" x14ac:dyDescent="0.2">
      <c r="A1304" s="21" t="s">
        <v>3031</v>
      </c>
      <c r="B1304" s="21" t="s">
        <v>1164</v>
      </c>
      <c r="G1304" s="2"/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</row>
    <row r="1305" spans="1:32" x14ac:dyDescent="0.2">
      <c r="A1305" s="21" t="s">
        <v>3032</v>
      </c>
      <c r="B1305" s="21" t="s">
        <v>1165</v>
      </c>
      <c r="G1305" s="2"/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</row>
    <row r="1306" spans="1:32" x14ac:dyDescent="0.2">
      <c r="A1306" s="21" t="s">
        <v>3033</v>
      </c>
      <c r="B1306" s="21" t="s">
        <v>1166</v>
      </c>
      <c r="G1306" s="2"/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1"/>
      <c r="AF1306" s="1"/>
    </row>
    <row r="1307" spans="1:32" x14ac:dyDescent="0.2">
      <c r="A1307" s="21" t="s">
        <v>3034</v>
      </c>
      <c r="B1307" s="21" t="s">
        <v>1167</v>
      </c>
      <c r="G1307" s="2"/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</row>
    <row r="1308" spans="1:32" x14ac:dyDescent="0.2">
      <c r="A1308" s="21" t="s">
        <v>3035</v>
      </c>
      <c r="B1308" s="21" t="s">
        <v>1168</v>
      </c>
      <c r="G1308" s="2"/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</row>
    <row r="1309" spans="1:32" x14ac:dyDescent="0.2">
      <c r="A1309" s="21" t="s">
        <v>3036</v>
      </c>
      <c r="B1309" s="21" t="s">
        <v>1169</v>
      </c>
      <c r="G1309" s="2"/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</row>
    <row r="1310" spans="1:32" x14ac:dyDescent="0.2">
      <c r="A1310" s="21" t="s">
        <v>3037</v>
      </c>
      <c r="B1310" s="21" t="s">
        <v>1170</v>
      </c>
      <c r="G1310" s="2"/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</row>
    <row r="1311" spans="1:32" x14ac:dyDescent="0.2">
      <c r="A1311" s="21" t="s">
        <v>3038</v>
      </c>
      <c r="B1311" s="21" t="s">
        <v>1171</v>
      </c>
      <c r="G1311" s="2"/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</row>
    <row r="1312" spans="1:32" x14ac:dyDescent="0.2">
      <c r="A1312" s="21" t="s">
        <v>3039</v>
      </c>
      <c r="B1312" s="21" t="s">
        <v>1172</v>
      </c>
      <c r="G1312" s="2"/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  <c r="AA1312" s="1"/>
      <c r="AB1312" s="1"/>
      <c r="AC1312" s="1"/>
      <c r="AD1312" s="1"/>
      <c r="AE1312" s="1"/>
      <c r="AF1312" s="1"/>
    </row>
    <row r="1313" spans="1:32" x14ac:dyDescent="0.2">
      <c r="A1313" s="21" t="s">
        <v>3040</v>
      </c>
      <c r="B1313" s="21" t="s">
        <v>1173</v>
      </c>
      <c r="G1313" s="2"/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</row>
    <row r="1314" spans="1:32" x14ac:dyDescent="0.2">
      <c r="A1314" s="21" t="s">
        <v>3041</v>
      </c>
      <c r="B1314" s="21" t="s">
        <v>1174</v>
      </c>
      <c r="G1314" s="2"/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</row>
    <row r="1315" spans="1:32" x14ac:dyDescent="0.2">
      <c r="A1315" s="21" t="s">
        <v>3042</v>
      </c>
      <c r="B1315" s="21" t="s">
        <v>1666</v>
      </c>
      <c r="G1315" s="2"/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  <c r="AA1315" s="1"/>
      <c r="AB1315" s="1"/>
      <c r="AC1315" s="1"/>
      <c r="AD1315" s="1"/>
      <c r="AE1315" s="1"/>
      <c r="AF1315" s="1"/>
    </row>
    <row r="1316" spans="1:32" x14ac:dyDescent="0.2">
      <c r="A1316" s="21" t="s">
        <v>3043</v>
      </c>
      <c r="B1316" s="21" t="s">
        <v>1175</v>
      </c>
      <c r="G1316" s="2"/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  <c r="AA1316" s="1"/>
      <c r="AB1316" s="1"/>
      <c r="AC1316" s="1"/>
      <c r="AD1316" s="1"/>
      <c r="AE1316" s="1"/>
      <c r="AF1316" s="1"/>
    </row>
    <row r="1317" spans="1:32" x14ac:dyDescent="0.2">
      <c r="A1317" s="21" t="s">
        <v>3044</v>
      </c>
      <c r="B1317" s="21" t="s">
        <v>1176</v>
      </c>
      <c r="G1317" s="2"/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  <c r="AA1317" s="1"/>
      <c r="AB1317" s="1"/>
      <c r="AC1317" s="1"/>
      <c r="AD1317" s="1"/>
      <c r="AE1317" s="1"/>
      <c r="AF1317" s="1"/>
    </row>
    <row r="1318" spans="1:32" x14ac:dyDescent="0.2">
      <c r="A1318" s="21" t="s">
        <v>3045</v>
      </c>
      <c r="B1318" s="21" t="s">
        <v>1177</v>
      </c>
      <c r="G1318" s="2"/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  <c r="AA1318" s="1"/>
      <c r="AB1318" s="1"/>
      <c r="AC1318" s="1"/>
      <c r="AD1318" s="1"/>
      <c r="AE1318" s="1"/>
      <c r="AF1318" s="1"/>
    </row>
    <row r="1319" spans="1:32" x14ac:dyDescent="0.2">
      <c r="A1319" s="21" t="s">
        <v>3046</v>
      </c>
      <c r="B1319" s="21" t="s">
        <v>1178</v>
      </c>
      <c r="G1319" s="2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</row>
    <row r="1320" spans="1:32" x14ac:dyDescent="0.2">
      <c r="A1320" s="21" t="s">
        <v>3047</v>
      </c>
      <c r="B1320" s="21" t="s">
        <v>1179</v>
      </c>
      <c r="G1320" s="2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  <c r="AA1320" s="1"/>
      <c r="AB1320" s="1"/>
      <c r="AC1320" s="1"/>
      <c r="AD1320" s="1"/>
      <c r="AE1320" s="1"/>
      <c r="AF1320" s="1"/>
    </row>
    <row r="1321" spans="1:32" x14ac:dyDescent="0.2">
      <c r="A1321" s="21" t="s">
        <v>3048</v>
      </c>
      <c r="B1321" s="21" t="s">
        <v>1180</v>
      </c>
      <c r="G1321" s="2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</row>
    <row r="1322" spans="1:32" x14ac:dyDescent="0.2">
      <c r="A1322" s="21" t="s">
        <v>3049</v>
      </c>
      <c r="B1322" s="21" t="s">
        <v>1181</v>
      </c>
      <c r="G1322" s="2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</row>
    <row r="1323" spans="1:32" x14ac:dyDescent="0.2">
      <c r="A1323" s="21" t="s">
        <v>3050</v>
      </c>
      <c r="B1323" s="21" t="s">
        <v>1182</v>
      </c>
      <c r="G1323" s="2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  <c r="X1323" s="1"/>
      <c r="Y1323" s="1"/>
      <c r="Z1323" s="1"/>
      <c r="AA1323" s="1"/>
      <c r="AB1323" s="1"/>
      <c r="AC1323" s="1"/>
      <c r="AD1323" s="1"/>
      <c r="AE1323" s="1"/>
      <c r="AF1323" s="1"/>
    </row>
    <row r="1324" spans="1:32" x14ac:dyDescent="0.2">
      <c r="A1324" s="21" t="s">
        <v>3051</v>
      </c>
      <c r="B1324" s="21" t="s">
        <v>1183</v>
      </c>
      <c r="G1324" s="2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</row>
    <row r="1325" spans="1:32" x14ac:dyDescent="0.2">
      <c r="A1325" s="21" t="s">
        <v>3052</v>
      </c>
      <c r="B1325" s="21" t="s">
        <v>1668</v>
      </c>
      <c r="G1325" s="2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</row>
    <row r="1326" spans="1:32" x14ac:dyDescent="0.2">
      <c r="A1326" s="21" t="s">
        <v>3053</v>
      </c>
      <c r="B1326" s="21" t="s">
        <v>1184</v>
      </c>
      <c r="G1326" s="2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</row>
    <row r="1327" spans="1:32" x14ac:dyDescent="0.2">
      <c r="A1327" s="21" t="s">
        <v>3054</v>
      </c>
      <c r="B1327" s="21" t="s">
        <v>1669</v>
      </c>
      <c r="G1327" s="2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</row>
    <row r="1328" spans="1:32" x14ac:dyDescent="0.2">
      <c r="A1328" s="21" t="s">
        <v>3055</v>
      </c>
      <c r="B1328" s="21" t="s">
        <v>1185</v>
      </c>
      <c r="G1328" s="2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</row>
    <row r="1329" spans="1:32" x14ac:dyDescent="0.2">
      <c r="A1329" s="21" t="s">
        <v>3056</v>
      </c>
      <c r="B1329" s="21" t="s">
        <v>1186</v>
      </c>
      <c r="G1329" s="2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</row>
    <row r="1330" spans="1:32" x14ac:dyDescent="0.2">
      <c r="A1330" s="21" t="s">
        <v>3057</v>
      </c>
      <c r="B1330" s="21" t="s">
        <v>1187</v>
      </c>
      <c r="G1330" s="2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</row>
    <row r="1331" spans="1:32" x14ac:dyDescent="0.2">
      <c r="A1331" s="21" t="s">
        <v>3058</v>
      </c>
      <c r="B1331" s="21" t="s">
        <v>1188</v>
      </c>
      <c r="G1331" s="2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</row>
    <row r="1332" spans="1:32" x14ac:dyDescent="0.2">
      <c r="A1332" s="21" t="s">
        <v>3059</v>
      </c>
      <c r="B1332" s="21" t="s">
        <v>1189</v>
      </c>
      <c r="G1332" s="2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</row>
    <row r="1333" spans="1:32" x14ac:dyDescent="0.2">
      <c r="A1333" s="21" t="s">
        <v>3060</v>
      </c>
      <c r="B1333" s="21" t="s">
        <v>1190</v>
      </c>
      <c r="G1333" s="2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</row>
    <row r="1334" spans="1:32" x14ac:dyDescent="0.2">
      <c r="A1334" s="21" t="s">
        <v>3061</v>
      </c>
      <c r="B1334" s="21" t="s">
        <v>1191</v>
      </c>
      <c r="G1334" s="2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  <c r="AD1334" s="1"/>
      <c r="AE1334" s="1"/>
      <c r="AF1334" s="1"/>
    </row>
    <row r="1335" spans="1:32" x14ac:dyDescent="0.2">
      <c r="A1335" s="21" t="s">
        <v>3062</v>
      </c>
      <c r="B1335" s="21" t="s">
        <v>1192</v>
      </c>
      <c r="G1335" s="2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</row>
    <row r="1336" spans="1:32" x14ac:dyDescent="0.2">
      <c r="A1336" s="21" t="s">
        <v>3063</v>
      </c>
      <c r="B1336" s="21" t="s">
        <v>1193</v>
      </c>
      <c r="G1336" s="2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</row>
    <row r="1337" spans="1:32" x14ac:dyDescent="0.2">
      <c r="A1337" s="21" t="s">
        <v>3064</v>
      </c>
      <c r="B1337" s="21" t="s">
        <v>1194</v>
      </c>
      <c r="G1337" s="2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</row>
    <row r="1338" spans="1:32" x14ac:dyDescent="0.2">
      <c r="A1338" s="21" t="s">
        <v>3065</v>
      </c>
      <c r="B1338" s="21" t="s">
        <v>1195</v>
      </c>
      <c r="G1338" s="2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</row>
    <row r="1339" spans="1:32" x14ac:dyDescent="0.2">
      <c r="A1339" s="21" t="s">
        <v>3066</v>
      </c>
      <c r="B1339" s="21" t="s">
        <v>1196</v>
      </c>
      <c r="G1339" s="2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</row>
    <row r="1340" spans="1:32" x14ac:dyDescent="0.2">
      <c r="A1340" s="21" t="s">
        <v>3067</v>
      </c>
      <c r="B1340" s="21" t="s">
        <v>1670</v>
      </c>
      <c r="G1340" s="2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</row>
    <row r="1341" spans="1:32" x14ac:dyDescent="0.2">
      <c r="A1341" s="21" t="s">
        <v>3068</v>
      </c>
      <c r="B1341" s="21" t="s">
        <v>1197</v>
      </c>
      <c r="G1341" s="2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</row>
    <row r="1342" spans="1:32" x14ac:dyDescent="0.2">
      <c r="A1342" s="21" t="s">
        <v>3069</v>
      </c>
      <c r="B1342" s="21" t="s">
        <v>1198</v>
      </c>
      <c r="G1342" s="2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</row>
    <row r="1343" spans="1:32" x14ac:dyDescent="0.2">
      <c r="A1343" s="21" t="s">
        <v>3070</v>
      </c>
      <c r="B1343" s="21" t="s">
        <v>1199</v>
      </c>
      <c r="G1343" s="2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</row>
    <row r="1344" spans="1:32" x14ac:dyDescent="0.2">
      <c r="A1344" s="21" t="s">
        <v>3071</v>
      </c>
      <c r="B1344" s="21" t="s">
        <v>1673</v>
      </c>
      <c r="G1344" s="2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</row>
    <row r="1345" spans="1:32" x14ac:dyDescent="0.2">
      <c r="A1345" s="21" t="s">
        <v>3072</v>
      </c>
      <c r="B1345" s="21" t="s">
        <v>1200</v>
      </c>
      <c r="G1345" s="2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</row>
    <row r="1346" spans="1:32" x14ac:dyDescent="0.2">
      <c r="A1346" s="21" t="s">
        <v>3073</v>
      </c>
      <c r="B1346" s="21" t="s">
        <v>1201</v>
      </c>
      <c r="G1346" s="2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</row>
    <row r="1347" spans="1:32" x14ac:dyDescent="0.2">
      <c r="A1347" s="21" t="s">
        <v>3074</v>
      </c>
      <c r="B1347" s="21" t="s">
        <v>1202</v>
      </c>
      <c r="G1347" s="2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</row>
    <row r="1348" spans="1:32" x14ac:dyDescent="0.2">
      <c r="A1348" s="21" t="s">
        <v>3075</v>
      </c>
      <c r="B1348" s="21" t="s">
        <v>1618</v>
      </c>
      <c r="G1348" s="2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</row>
    <row r="1349" spans="1:32" x14ac:dyDescent="0.2">
      <c r="A1349" s="21" t="s">
        <v>3076</v>
      </c>
      <c r="B1349" s="21" t="s">
        <v>1203</v>
      </c>
      <c r="G1349" s="2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</row>
    <row r="1350" spans="1:32" x14ac:dyDescent="0.2">
      <c r="A1350" s="21" t="s">
        <v>3077</v>
      </c>
      <c r="B1350" s="21" t="s">
        <v>1204</v>
      </c>
      <c r="G1350" s="2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</row>
    <row r="1351" spans="1:32" x14ac:dyDescent="0.2">
      <c r="A1351" s="21" t="s">
        <v>3078</v>
      </c>
      <c r="B1351" s="21" t="s">
        <v>1205</v>
      </c>
      <c r="G1351" s="2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</row>
    <row r="1352" spans="1:32" x14ac:dyDescent="0.2">
      <c r="A1352" s="21" t="s">
        <v>3079</v>
      </c>
      <c r="B1352" s="21" t="s">
        <v>1206</v>
      </c>
      <c r="G1352" s="2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</row>
    <row r="1353" spans="1:32" x14ac:dyDescent="0.2">
      <c r="A1353" s="21" t="s">
        <v>3080</v>
      </c>
      <c r="B1353" s="21" t="s">
        <v>1207</v>
      </c>
      <c r="G1353" s="2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</row>
    <row r="1354" spans="1:32" x14ac:dyDescent="0.2">
      <c r="A1354" s="21" t="s">
        <v>3081</v>
      </c>
      <c r="B1354" s="21" t="s">
        <v>1676</v>
      </c>
      <c r="G1354" s="2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</row>
    <row r="1355" spans="1:32" x14ac:dyDescent="0.2">
      <c r="A1355" s="21" t="s">
        <v>3082</v>
      </c>
      <c r="B1355" s="21" t="s">
        <v>1208</v>
      </c>
      <c r="G1355" s="2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</row>
    <row r="1356" spans="1:32" x14ac:dyDescent="0.2">
      <c r="A1356" s="21" t="s">
        <v>3083</v>
      </c>
      <c r="B1356" s="21" t="s">
        <v>1209</v>
      </c>
      <c r="G1356" s="2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</row>
    <row r="1357" spans="1:32" x14ac:dyDescent="0.2">
      <c r="A1357" s="21" t="s">
        <v>3084</v>
      </c>
      <c r="B1357" s="21" t="s">
        <v>1210</v>
      </c>
      <c r="G1357" s="2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/>
      <c r="Z1357" s="1"/>
      <c r="AA1357" s="1"/>
      <c r="AB1357" s="1"/>
      <c r="AC1357" s="1"/>
      <c r="AD1357" s="1"/>
      <c r="AE1357" s="1"/>
      <c r="AF1357" s="1"/>
    </row>
    <row r="1358" spans="1:32" x14ac:dyDescent="0.2">
      <c r="A1358" s="21" t="s">
        <v>3085</v>
      </c>
      <c r="B1358" s="21" t="s">
        <v>1211</v>
      </c>
      <c r="G1358" s="2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/>
      <c r="Z1358" s="1"/>
      <c r="AA1358" s="1"/>
      <c r="AB1358" s="1"/>
      <c r="AC1358" s="1"/>
      <c r="AD1358" s="1"/>
      <c r="AE1358" s="1"/>
      <c r="AF1358" s="1"/>
    </row>
    <row r="1359" spans="1:32" x14ac:dyDescent="0.2">
      <c r="A1359" s="21" t="s">
        <v>3086</v>
      </c>
      <c r="B1359" s="21" t="s">
        <v>1212</v>
      </c>
      <c r="G1359" s="2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/>
      <c r="Z1359" s="1"/>
      <c r="AA1359" s="1"/>
      <c r="AB1359" s="1"/>
      <c r="AC1359" s="1"/>
      <c r="AD1359" s="1"/>
      <c r="AE1359" s="1"/>
      <c r="AF1359" s="1"/>
    </row>
    <row r="1360" spans="1:32" x14ac:dyDescent="0.2">
      <c r="A1360" s="21" t="s">
        <v>3087</v>
      </c>
      <c r="B1360" s="21" t="s">
        <v>1213</v>
      </c>
      <c r="G1360" s="2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</row>
    <row r="1361" spans="1:32" x14ac:dyDescent="0.2">
      <c r="A1361" s="21" t="s">
        <v>3088</v>
      </c>
      <c r="B1361" s="21" t="s">
        <v>1214</v>
      </c>
      <c r="G1361" s="2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</row>
    <row r="1362" spans="1:32" x14ac:dyDescent="0.2">
      <c r="A1362" s="21" t="s">
        <v>3089</v>
      </c>
      <c r="B1362" s="21" t="s">
        <v>1215</v>
      </c>
      <c r="G1362" s="2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</row>
    <row r="1363" spans="1:32" x14ac:dyDescent="0.2">
      <c r="A1363" s="21" t="s">
        <v>3090</v>
      </c>
      <c r="B1363" s="21" t="s">
        <v>1216</v>
      </c>
      <c r="G1363" s="2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</row>
    <row r="1364" spans="1:32" x14ac:dyDescent="0.2">
      <c r="A1364" s="21" t="s">
        <v>3091</v>
      </c>
      <c r="B1364" s="21" t="s">
        <v>1674</v>
      </c>
      <c r="G1364" s="2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</row>
    <row r="1365" spans="1:32" x14ac:dyDescent="0.2">
      <c r="A1365" s="21" t="s">
        <v>3092</v>
      </c>
      <c r="B1365" s="21" t="s">
        <v>1217</v>
      </c>
      <c r="G1365" s="2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</row>
    <row r="1366" spans="1:32" x14ac:dyDescent="0.2">
      <c r="A1366" s="21" t="s">
        <v>3093</v>
      </c>
      <c r="B1366" s="21" t="s">
        <v>1675</v>
      </c>
      <c r="G1366" s="2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</row>
    <row r="1367" spans="1:32" x14ac:dyDescent="0.2">
      <c r="A1367" s="21" t="s">
        <v>3094</v>
      </c>
      <c r="B1367" s="21" t="s">
        <v>1218</v>
      </c>
      <c r="G1367" s="2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</row>
    <row r="1368" spans="1:32" x14ac:dyDescent="0.2">
      <c r="A1368" s="21" t="s">
        <v>3095</v>
      </c>
      <c r="B1368" s="21" t="s">
        <v>1219</v>
      </c>
      <c r="G1368" s="2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</row>
    <row r="1369" spans="1:32" x14ac:dyDescent="0.2">
      <c r="A1369" s="21" t="s">
        <v>3096</v>
      </c>
      <c r="B1369" s="21" t="s">
        <v>1220</v>
      </c>
      <c r="G1369" s="2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</row>
    <row r="1370" spans="1:32" x14ac:dyDescent="0.2">
      <c r="A1370" s="21" t="s">
        <v>3097</v>
      </c>
      <c r="B1370" s="21" t="s">
        <v>1221</v>
      </c>
      <c r="G1370" s="2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</row>
    <row r="1371" spans="1:32" x14ac:dyDescent="0.2">
      <c r="A1371" s="21" t="s">
        <v>3098</v>
      </c>
      <c r="B1371" s="21" t="s">
        <v>1222</v>
      </c>
      <c r="G1371" s="2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</row>
    <row r="1372" spans="1:32" x14ac:dyDescent="0.2">
      <c r="A1372" s="21" t="s">
        <v>3099</v>
      </c>
      <c r="B1372" s="21" t="s">
        <v>1223</v>
      </c>
      <c r="G1372" s="2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</row>
    <row r="1373" spans="1:32" x14ac:dyDescent="0.2">
      <c r="A1373" s="21" t="s">
        <v>3100</v>
      </c>
      <c r="B1373" s="21" t="s">
        <v>1224</v>
      </c>
      <c r="G1373" s="2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</row>
    <row r="1374" spans="1:32" x14ac:dyDescent="0.2">
      <c r="A1374" s="21" t="s">
        <v>3101</v>
      </c>
      <c r="B1374" s="21" t="s">
        <v>1677</v>
      </c>
      <c r="G1374" s="2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</row>
    <row r="1375" spans="1:32" x14ac:dyDescent="0.2">
      <c r="A1375" s="21" t="s">
        <v>3102</v>
      </c>
      <c r="B1375" s="21" t="s">
        <v>1626</v>
      </c>
      <c r="G1375" s="2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</row>
    <row r="1376" spans="1:32" x14ac:dyDescent="0.2">
      <c r="A1376" s="21" t="s">
        <v>3103</v>
      </c>
      <c r="B1376" s="21" t="s">
        <v>1225</v>
      </c>
      <c r="G1376" s="2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</row>
    <row r="1377" spans="1:32" x14ac:dyDescent="0.2">
      <c r="A1377" s="21" t="s">
        <v>3104</v>
      </c>
      <c r="B1377" s="21" t="s">
        <v>1226</v>
      </c>
      <c r="G1377" s="2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</row>
    <row r="1378" spans="1:32" x14ac:dyDescent="0.2">
      <c r="A1378" s="21" t="s">
        <v>3105</v>
      </c>
      <c r="B1378" s="21" t="s">
        <v>1227</v>
      </c>
      <c r="G1378" s="2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</row>
    <row r="1379" spans="1:32" x14ac:dyDescent="0.2">
      <c r="A1379" s="21" t="s">
        <v>3106</v>
      </c>
      <c r="B1379" s="21" t="s">
        <v>1678</v>
      </c>
      <c r="G1379" s="2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</row>
    <row r="1380" spans="1:32" x14ac:dyDescent="0.2">
      <c r="A1380" s="21" t="s">
        <v>3107</v>
      </c>
      <c r="B1380" s="21" t="s">
        <v>1228</v>
      </c>
      <c r="G1380" s="2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</row>
    <row r="1381" spans="1:32" x14ac:dyDescent="0.2">
      <c r="A1381" s="21" t="s">
        <v>3108</v>
      </c>
      <c r="B1381" s="21" t="s">
        <v>1229</v>
      </c>
      <c r="G1381" s="2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</row>
    <row r="1382" spans="1:32" x14ac:dyDescent="0.2">
      <c r="A1382" s="21" t="s">
        <v>3109</v>
      </c>
      <c r="B1382" s="21" t="s">
        <v>1230</v>
      </c>
      <c r="G1382" s="2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</row>
    <row r="1383" spans="1:32" x14ac:dyDescent="0.2">
      <c r="A1383" s="21" t="s">
        <v>3110</v>
      </c>
      <c r="B1383" s="21" t="s">
        <v>1231</v>
      </c>
      <c r="G1383" s="2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</row>
    <row r="1384" spans="1:32" x14ac:dyDescent="0.2">
      <c r="A1384" s="21" t="s">
        <v>3111</v>
      </c>
      <c r="B1384" s="21" t="s">
        <v>1232</v>
      </c>
      <c r="G1384" s="2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</row>
    <row r="1385" spans="1:32" x14ac:dyDescent="0.2">
      <c r="A1385" s="21" t="s">
        <v>3112</v>
      </c>
      <c r="B1385" s="21" t="s">
        <v>1233</v>
      </c>
      <c r="G1385" s="2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</row>
    <row r="1386" spans="1:32" x14ac:dyDescent="0.2">
      <c r="A1386" s="21" t="s">
        <v>3113</v>
      </c>
      <c r="B1386" s="21" t="s">
        <v>1680</v>
      </c>
      <c r="G1386" s="2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</row>
    <row r="1387" spans="1:32" x14ac:dyDescent="0.2">
      <c r="A1387" s="21" t="s">
        <v>3114</v>
      </c>
      <c r="B1387" s="21" t="s">
        <v>1234</v>
      </c>
      <c r="G1387" s="2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</row>
    <row r="1388" spans="1:32" x14ac:dyDescent="0.2">
      <c r="A1388" s="21" t="s">
        <v>3115</v>
      </c>
      <c r="B1388" s="21" t="s">
        <v>1235</v>
      </c>
      <c r="G1388" s="2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</row>
    <row r="1389" spans="1:32" x14ac:dyDescent="0.2">
      <c r="A1389" s="21" t="s">
        <v>3116</v>
      </c>
      <c r="B1389" s="21" t="s">
        <v>1236</v>
      </c>
      <c r="G1389" s="2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</row>
    <row r="1390" spans="1:32" x14ac:dyDescent="0.2">
      <c r="A1390" s="21" t="s">
        <v>3117</v>
      </c>
      <c r="B1390" s="21" t="s">
        <v>1237</v>
      </c>
      <c r="G1390" s="2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</row>
    <row r="1391" spans="1:32" x14ac:dyDescent="0.2">
      <c r="A1391" s="21" t="s">
        <v>3118</v>
      </c>
      <c r="B1391" s="21" t="s">
        <v>1238</v>
      </c>
      <c r="G1391" s="2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</row>
    <row r="1392" spans="1:32" x14ac:dyDescent="0.2">
      <c r="A1392" s="21" t="s">
        <v>3119</v>
      </c>
      <c r="B1392" s="21" t="s">
        <v>1681</v>
      </c>
      <c r="G1392" s="2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</row>
    <row r="1393" spans="1:32" x14ac:dyDescent="0.2">
      <c r="A1393" s="21" t="s">
        <v>3120</v>
      </c>
      <c r="B1393" s="21" t="s">
        <v>1630</v>
      </c>
      <c r="G1393" s="2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</row>
    <row r="1394" spans="1:32" x14ac:dyDescent="0.2">
      <c r="A1394" s="21" t="s">
        <v>3121</v>
      </c>
      <c r="B1394" s="21" t="s">
        <v>1239</v>
      </c>
      <c r="G1394" s="2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</row>
    <row r="1395" spans="1:32" x14ac:dyDescent="0.2">
      <c r="A1395" s="21" t="s">
        <v>3122</v>
      </c>
      <c r="B1395" s="21" t="s">
        <v>1240</v>
      </c>
      <c r="G1395" s="2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</row>
    <row r="1396" spans="1:32" x14ac:dyDescent="0.2">
      <c r="A1396" s="21" t="s">
        <v>3123</v>
      </c>
      <c r="B1396" s="21" t="s">
        <v>1241</v>
      </c>
      <c r="G1396" s="2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</row>
    <row r="1397" spans="1:32" x14ac:dyDescent="0.2">
      <c r="A1397" s="21" t="s">
        <v>3124</v>
      </c>
      <c r="B1397" s="21" t="s">
        <v>1242</v>
      </c>
      <c r="G1397" s="2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</row>
    <row r="1398" spans="1:32" x14ac:dyDescent="0.2">
      <c r="A1398" s="21" t="s">
        <v>3125</v>
      </c>
      <c r="B1398" s="21" t="s">
        <v>1243</v>
      </c>
      <c r="G1398" s="2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</row>
    <row r="1399" spans="1:32" x14ac:dyDescent="0.2">
      <c r="A1399" s="21" t="s">
        <v>3126</v>
      </c>
      <c r="B1399" s="21" t="s">
        <v>1244</v>
      </c>
      <c r="G1399" s="2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</row>
    <row r="1400" spans="1:32" x14ac:dyDescent="0.2">
      <c r="A1400" s="21" t="s">
        <v>3127</v>
      </c>
      <c r="B1400" s="21" t="s">
        <v>1245</v>
      </c>
      <c r="G1400" s="2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</row>
    <row r="1401" spans="1:32" x14ac:dyDescent="0.2">
      <c r="A1401" s="21" t="s">
        <v>3128</v>
      </c>
      <c r="B1401" s="21" t="s">
        <v>1246</v>
      </c>
      <c r="G1401" s="2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</row>
    <row r="1402" spans="1:32" x14ac:dyDescent="0.2">
      <c r="A1402" s="21" t="s">
        <v>3129</v>
      </c>
      <c r="B1402" s="21" t="s">
        <v>1247</v>
      </c>
      <c r="G1402" s="2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</row>
    <row r="1403" spans="1:32" x14ac:dyDescent="0.2">
      <c r="A1403" s="21" t="s">
        <v>3130</v>
      </c>
      <c r="B1403" s="21" t="s">
        <v>1248</v>
      </c>
      <c r="G1403" s="2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</row>
    <row r="1404" spans="1:32" x14ac:dyDescent="0.2">
      <c r="A1404" s="21" t="s">
        <v>3131</v>
      </c>
      <c r="B1404" s="21" t="s">
        <v>1249</v>
      </c>
      <c r="G1404" s="2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</row>
    <row r="1405" spans="1:32" x14ac:dyDescent="0.2">
      <c r="A1405" s="21" t="s">
        <v>3132</v>
      </c>
      <c r="B1405" s="21" t="s">
        <v>1250</v>
      </c>
      <c r="G1405" s="2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</row>
    <row r="1406" spans="1:32" x14ac:dyDescent="0.2">
      <c r="A1406" s="21" t="s">
        <v>3133</v>
      </c>
      <c r="B1406" s="21" t="s">
        <v>1251</v>
      </c>
      <c r="G1406" s="2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</row>
    <row r="1407" spans="1:32" x14ac:dyDescent="0.2">
      <c r="A1407" s="21" t="s">
        <v>3134</v>
      </c>
      <c r="B1407" s="21" t="s">
        <v>1252</v>
      </c>
      <c r="G1407" s="2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</row>
    <row r="1408" spans="1:32" x14ac:dyDescent="0.2">
      <c r="A1408" s="21" t="s">
        <v>3135</v>
      </c>
      <c r="B1408" s="21" t="s">
        <v>1253</v>
      </c>
      <c r="G1408" s="2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</row>
    <row r="1409" spans="1:32" x14ac:dyDescent="0.2">
      <c r="A1409" s="21" t="s">
        <v>3136</v>
      </c>
      <c r="B1409" s="21" t="s">
        <v>1254</v>
      </c>
      <c r="G1409" s="2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</row>
    <row r="1410" spans="1:32" x14ac:dyDescent="0.2">
      <c r="A1410" s="21" t="s">
        <v>3137</v>
      </c>
      <c r="B1410" s="21" t="s">
        <v>1255</v>
      </c>
      <c r="G1410" s="2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</row>
    <row r="1411" spans="1:32" x14ac:dyDescent="0.2">
      <c r="A1411" s="21" t="s">
        <v>3138</v>
      </c>
      <c r="B1411" s="21" t="s">
        <v>1256</v>
      </c>
      <c r="G1411" s="2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</row>
    <row r="1412" spans="1:32" x14ac:dyDescent="0.2">
      <c r="A1412" s="21" t="s">
        <v>3139</v>
      </c>
      <c r="B1412" s="21" t="s">
        <v>1257</v>
      </c>
      <c r="G1412" s="2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</row>
    <row r="1413" spans="1:32" x14ac:dyDescent="0.2">
      <c r="A1413" s="21" t="s">
        <v>3140</v>
      </c>
      <c r="B1413" s="21" t="s">
        <v>1258</v>
      </c>
      <c r="G1413" s="2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</row>
    <row r="1414" spans="1:32" x14ac:dyDescent="0.2">
      <c r="A1414" s="21" t="s">
        <v>3141</v>
      </c>
      <c r="B1414" s="21" t="s">
        <v>1259</v>
      </c>
      <c r="G1414" s="2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</row>
    <row r="1415" spans="1:32" x14ac:dyDescent="0.2">
      <c r="A1415" s="21" t="s">
        <v>3142</v>
      </c>
      <c r="B1415" s="21" t="s">
        <v>1260</v>
      </c>
      <c r="G1415" s="2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</row>
    <row r="1416" spans="1:32" x14ac:dyDescent="0.2">
      <c r="A1416" s="21" t="s">
        <v>3143</v>
      </c>
      <c r="B1416" s="21" t="s">
        <v>1261</v>
      </c>
      <c r="G1416" s="2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</row>
    <row r="1417" spans="1:32" x14ac:dyDescent="0.2">
      <c r="A1417" s="21" t="s">
        <v>3144</v>
      </c>
      <c r="B1417" s="21" t="s">
        <v>1718</v>
      </c>
      <c r="G1417" s="2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</row>
    <row r="1418" spans="1:32" x14ac:dyDescent="0.2">
      <c r="A1418" s="21" t="s">
        <v>3145</v>
      </c>
      <c r="B1418" s="21" t="s">
        <v>1262</v>
      </c>
      <c r="G1418" s="2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</row>
    <row r="1419" spans="1:32" x14ac:dyDescent="0.2">
      <c r="A1419" s="21" t="s">
        <v>3146</v>
      </c>
      <c r="B1419" s="21" t="s">
        <v>1263</v>
      </c>
      <c r="G1419" s="2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</row>
    <row r="1420" spans="1:32" x14ac:dyDescent="0.2">
      <c r="A1420" s="21" t="s">
        <v>3147</v>
      </c>
      <c r="B1420" s="21" t="s">
        <v>1264</v>
      </c>
      <c r="G1420" s="2"/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</row>
    <row r="1421" spans="1:32" x14ac:dyDescent="0.2">
      <c r="A1421" s="21" t="s">
        <v>3148</v>
      </c>
      <c r="B1421" s="21" t="s">
        <v>1265</v>
      </c>
      <c r="G1421" s="2"/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</row>
    <row r="1422" spans="1:32" x14ac:dyDescent="0.2">
      <c r="A1422" s="21" t="s">
        <v>3149</v>
      </c>
      <c r="B1422" s="21" t="s">
        <v>1266</v>
      </c>
      <c r="G1422" s="2"/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</row>
    <row r="1423" spans="1:32" x14ac:dyDescent="0.2">
      <c r="A1423" s="21" t="s">
        <v>3150</v>
      </c>
      <c r="B1423" s="21" t="s">
        <v>1267</v>
      </c>
      <c r="G1423" s="2"/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</row>
    <row r="1424" spans="1:32" x14ac:dyDescent="0.2">
      <c r="A1424" s="21" t="s">
        <v>3151</v>
      </c>
      <c r="B1424" s="21" t="s">
        <v>1268</v>
      </c>
      <c r="G1424" s="2"/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  <c r="AA1424" s="1"/>
      <c r="AB1424" s="1"/>
      <c r="AC1424" s="1"/>
      <c r="AD1424" s="1"/>
      <c r="AE1424" s="1"/>
      <c r="AF1424" s="1"/>
    </row>
    <row r="1425" spans="1:32" x14ac:dyDescent="0.2">
      <c r="A1425" s="21" t="s">
        <v>3152</v>
      </c>
      <c r="B1425" s="21" t="s">
        <v>1269</v>
      </c>
      <c r="G1425" s="2"/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</row>
    <row r="1426" spans="1:32" x14ac:dyDescent="0.2">
      <c r="A1426" s="21" t="s">
        <v>3153</v>
      </c>
      <c r="B1426" s="21" t="s">
        <v>1270</v>
      </c>
      <c r="G1426" s="2"/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</row>
    <row r="1427" spans="1:32" x14ac:dyDescent="0.2">
      <c r="A1427" s="21" t="s">
        <v>3154</v>
      </c>
      <c r="B1427" s="21" t="s">
        <v>1683</v>
      </c>
      <c r="G1427" s="2"/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</row>
    <row r="1428" spans="1:32" x14ac:dyDescent="0.2">
      <c r="A1428" s="21" t="s">
        <v>3155</v>
      </c>
      <c r="B1428" s="21" t="s">
        <v>1682</v>
      </c>
      <c r="G1428" s="2"/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</row>
    <row r="1429" spans="1:32" x14ac:dyDescent="0.2">
      <c r="A1429" s="21" t="s">
        <v>3156</v>
      </c>
      <c r="B1429" s="21" t="s">
        <v>1271</v>
      </c>
      <c r="G1429" s="2"/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</row>
    <row r="1430" spans="1:32" x14ac:dyDescent="0.2">
      <c r="A1430" s="21" t="s">
        <v>3157</v>
      </c>
      <c r="B1430" s="21" t="s">
        <v>1272</v>
      </c>
      <c r="G1430" s="2"/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</row>
    <row r="1431" spans="1:32" x14ac:dyDescent="0.2">
      <c r="A1431" s="21" t="s">
        <v>3158</v>
      </c>
      <c r="B1431" s="21" t="s">
        <v>1273</v>
      </c>
      <c r="G1431" s="2"/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</row>
    <row r="1432" spans="1:32" x14ac:dyDescent="0.2">
      <c r="A1432" s="21" t="s">
        <v>3159</v>
      </c>
      <c r="B1432" s="21" t="s">
        <v>1679</v>
      </c>
      <c r="G1432" s="2"/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</row>
    <row r="1433" spans="1:32" x14ac:dyDescent="0.2">
      <c r="A1433" s="21" t="s">
        <v>3160</v>
      </c>
      <c r="B1433" s="21" t="s">
        <v>1274</v>
      </c>
      <c r="G1433" s="2"/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</row>
    <row r="1434" spans="1:32" x14ac:dyDescent="0.2">
      <c r="A1434" s="21" t="s">
        <v>3161</v>
      </c>
      <c r="B1434" s="21" t="s">
        <v>1700</v>
      </c>
      <c r="G1434" s="2"/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  <c r="AA1434" s="1"/>
      <c r="AB1434" s="1"/>
      <c r="AC1434" s="1"/>
      <c r="AD1434" s="1"/>
      <c r="AE1434" s="1"/>
      <c r="AF1434" s="1"/>
    </row>
    <row r="1435" spans="1:32" x14ac:dyDescent="0.2">
      <c r="A1435" s="21" t="s">
        <v>3162</v>
      </c>
      <c r="B1435" s="21" t="s">
        <v>1275</v>
      </c>
      <c r="G1435" s="2"/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</row>
    <row r="1436" spans="1:32" x14ac:dyDescent="0.2">
      <c r="A1436" s="21" t="s">
        <v>3163</v>
      </c>
      <c r="B1436" s="21" t="s">
        <v>1276</v>
      </c>
      <c r="G1436" s="2"/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</row>
    <row r="1437" spans="1:32" x14ac:dyDescent="0.2">
      <c r="A1437" s="21" t="s">
        <v>3164</v>
      </c>
      <c r="B1437" s="21" t="s">
        <v>1277</v>
      </c>
      <c r="G1437" s="2"/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/>
      <c r="Z1437" s="1"/>
      <c r="AA1437" s="1"/>
      <c r="AB1437" s="1"/>
      <c r="AC1437" s="1"/>
      <c r="AD1437" s="1"/>
      <c r="AE1437" s="1"/>
      <c r="AF1437" s="1"/>
    </row>
    <row r="1438" spans="1:32" x14ac:dyDescent="0.2">
      <c r="A1438" s="21" t="s">
        <v>3165</v>
      </c>
      <c r="B1438" s="21" t="s">
        <v>1278</v>
      </c>
      <c r="G1438" s="2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</row>
    <row r="1439" spans="1:32" x14ac:dyDescent="0.2">
      <c r="A1439" s="21" t="s">
        <v>3166</v>
      </c>
      <c r="B1439" s="21" t="s">
        <v>1279</v>
      </c>
      <c r="G1439" s="2"/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  <c r="AA1439" s="1"/>
      <c r="AB1439" s="1"/>
      <c r="AC1439" s="1"/>
      <c r="AD1439" s="1"/>
      <c r="AE1439" s="1"/>
      <c r="AF1439" s="1"/>
    </row>
    <row r="1440" spans="1:32" x14ac:dyDescent="0.2">
      <c r="A1440" s="21" t="s">
        <v>3167</v>
      </c>
      <c r="B1440" s="21" t="s">
        <v>1280</v>
      </c>
      <c r="G1440" s="2"/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  <c r="AA1440" s="1"/>
      <c r="AB1440" s="1"/>
      <c r="AC1440" s="1"/>
      <c r="AD1440" s="1"/>
      <c r="AE1440" s="1"/>
      <c r="AF1440" s="1"/>
    </row>
    <row r="1441" spans="1:32" x14ac:dyDescent="0.2">
      <c r="A1441" s="21" t="s">
        <v>3168</v>
      </c>
      <c r="B1441" s="21" t="s">
        <v>1281</v>
      </c>
      <c r="G1441" s="2"/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</row>
    <row r="1442" spans="1:32" x14ac:dyDescent="0.2">
      <c r="A1442" s="21" t="s">
        <v>3169</v>
      </c>
      <c r="B1442" s="21" t="s">
        <v>1282</v>
      </c>
      <c r="G1442" s="2"/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</row>
    <row r="1443" spans="1:32" x14ac:dyDescent="0.2">
      <c r="A1443" s="21" t="s">
        <v>3170</v>
      </c>
      <c r="B1443" s="21" t="s">
        <v>1283</v>
      </c>
      <c r="G1443" s="2"/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</row>
    <row r="1444" spans="1:32" x14ac:dyDescent="0.2">
      <c r="A1444" s="21" t="s">
        <v>3171</v>
      </c>
      <c r="B1444" s="21" t="s">
        <v>1284</v>
      </c>
      <c r="G1444" s="2"/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</row>
    <row r="1445" spans="1:32" x14ac:dyDescent="0.2">
      <c r="A1445" s="21" t="s">
        <v>3172</v>
      </c>
      <c r="B1445" s="21" t="s">
        <v>1285</v>
      </c>
      <c r="G1445" s="2"/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  <c r="AA1445" s="1"/>
      <c r="AB1445" s="1"/>
      <c r="AC1445" s="1"/>
      <c r="AD1445" s="1"/>
      <c r="AE1445" s="1"/>
      <c r="AF1445" s="1"/>
    </row>
    <row r="1446" spans="1:32" x14ac:dyDescent="0.2">
      <c r="A1446" s="21" t="s">
        <v>3173</v>
      </c>
      <c r="B1446" s="21" t="s">
        <v>1286</v>
      </c>
      <c r="G1446" s="2"/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  <c r="AD1446" s="1"/>
      <c r="AE1446" s="1"/>
      <c r="AF1446" s="1"/>
    </row>
    <row r="1447" spans="1:32" x14ac:dyDescent="0.2">
      <c r="A1447" s="21" t="s">
        <v>3174</v>
      </c>
      <c r="B1447" s="21" t="s">
        <v>1287</v>
      </c>
      <c r="G1447" s="2"/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/>
      <c r="AE1447" s="1"/>
      <c r="AF1447" s="1"/>
    </row>
    <row r="1448" spans="1:32" x14ac:dyDescent="0.2">
      <c r="A1448" s="21" t="s">
        <v>3175</v>
      </c>
      <c r="B1448" s="21" t="s">
        <v>1288</v>
      </c>
      <c r="G1448" s="2"/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</row>
    <row r="1449" spans="1:32" x14ac:dyDescent="0.2">
      <c r="A1449" s="21" t="s">
        <v>3176</v>
      </c>
      <c r="B1449" s="21" t="s">
        <v>1685</v>
      </c>
      <c r="G1449" s="2"/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</row>
    <row r="1450" spans="1:32" x14ac:dyDescent="0.2">
      <c r="A1450" s="21" t="s">
        <v>3177</v>
      </c>
      <c r="B1450" s="21" t="s">
        <v>1289</v>
      </c>
      <c r="G1450" s="2"/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</row>
    <row r="1451" spans="1:32" x14ac:dyDescent="0.2">
      <c r="A1451" s="21" t="s">
        <v>3178</v>
      </c>
      <c r="B1451" s="21" t="s">
        <v>1290</v>
      </c>
      <c r="G1451" s="2"/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</row>
    <row r="1452" spans="1:32" x14ac:dyDescent="0.2">
      <c r="A1452" s="21" t="s">
        <v>3179</v>
      </c>
      <c r="B1452" s="21" t="s">
        <v>1291</v>
      </c>
      <c r="G1452" s="2"/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  <c r="X1452" s="1"/>
      <c r="Y1452" s="1"/>
      <c r="Z1452" s="1"/>
      <c r="AA1452" s="1"/>
      <c r="AB1452" s="1"/>
      <c r="AC1452" s="1"/>
      <c r="AD1452" s="1"/>
      <c r="AE1452" s="1"/>
      <c r="AF1452" s="1"/>
    </row>
    <row r="1453" spans="1:32" x14ac:dyDescent="0.2">
      <c r="A1453" s="21" t="s">
        <v>3180</v>
      </c>
      <c r="B1453" s="21" t="s">
        <v>1292</v>
      </c>
      <c r="G1453" s="2"/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  <c r="X1453" s="1"/>
      <c r="Y1453" s="1"/>
      <c r="Z1453" s="1"/>
      <c r="AA1453" s="1"/>
      <c r="AB1453" s="1"/>
      <c r="AC1453" s="1"/>
      <c r="AD1453" s="1"/>
      <c r="AE1453" s="1"/>
      <c r="AF1453" s="1"/>
    </row>
    <row r="1454" spans="1:32" x14ac:dyDescent="0.2">
      <c r="A1454" s="21" t="s">
        <v>3181</v>
      </c>
      <c r="B1454" s="21" t="s">
        <v>1293</v>
      </c>
      <c r="G1454" s="2"/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</row>
    <row r="1455" spans="1:32" x14ac:dyDescent="0.2">
      <c r="A1455" s="21" t="s">
        <v>3182</v>
      </c>
      <c r="B1455" s="21" t="s">
        <v>1294</v>
      </c>
      <c r="G1455" s="2"/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</row>
    <row r="1456" spans="1:32" x14ac:dyDescent="0.2">
      <c r="A1456" s="21" t="s">
        <v>3183</v>
      </c>
      <c r="B1456" s="21" t="s">
        <v>1295</v>
      </c>
      <c r="G1456" s="2"/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/>
      <c r="AD1456" s="1"/>
      <c r="AE1456" s="1"/>
      <c r="AF1456" s="1"/>
    </row>
    <row r="1457" spans="1:32" x14ac:dyDescent="0.2">
      <c r="A1457" s="21" t="s">
        <v>3184</v>
      </c>
      <c r="B1457" s="21" t="s">
        <v>1296</v>
      </c>
      <c r="G1457" s="2"/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/>
      <c r="AD1457" s="1"/>
      <c r="AE1457" s="1"/>
      <c r="AF1457" s="1"/>
    </row>
    <row r="1458" spans="1:32" x14ac:dyDescent="0.2">
      <c r="A1458" s="21" t="s">
        <v>3185</v>
      </c>
      <c r="B1458" s="21" t="s">
        <v>1297</v>
      </c>
      <c r="G1458" s="2"/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  <c r="AD1458" s="1"/>
      <c r="AE1458" s="1"/>
      <c r="AF1458" s="1"/>
    </row>
    <row r="1459" spans="1:32" x14ac:dyDescent="0.2">
      <c r="A1459" s="21" t="s">
        <v>3186</v>
      </c>
      <c r="B1459" s="21" t="s">
        <v>1298</v>
      </c>
      <c r="G1459" s="2"/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</row>
    <row r="1460" spans="1:32" x14ac:dyDescent="0.2">
      <c r="A1460" s="21" t="s">
        <v>3187</v>
      </c>
      <c r="B1460" s="21" t="s">
        <v>1299</v>
      </c>
      <c r="G1460" s="2"/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</row>
    <row r="1461" spans="1:32" x14ac:dyDescent="0.2">
      <c r="A1461" s="21" t="s">
        <v>3188</v>
      </c>
      <c r="B1461" s="21" t="s">
        <v>1300</v>
      </c>
      <c r="G1461" s="2"/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  <c r="X1461" s="1"/>
      <c r="Y1461" s="1"/>
      <c r="Z1461" s="1"/>
      <c r="AA1461" s="1"/>
      <c r="AB1461" s="1"/>
      <c r="AC1461" s="1"/>
      <c r="AD1461" s="1"/>
      <c r="AE1461" s="1"/>
      <c r="AF1461" s="1"/>
    </row>
    <row r="1462" spans="1:32" x14ac:dyDescent="0.2">
      <c r="A1462" s="21" t="s">
        <v>3189</v>
      </c>
      <c r="B1462" s="21" t="s">
        <v>1301</v>
      </c>
      <c r="G1462" s="2"/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</row>
    <row r="1463" spans="1:32" x14ac:dyDescent="0.2">
      <c r="A1463" s="21" t="s">
        <v>3190</v>
      </c>
      <c r="B1463" s="21" t="s">
        <v>1302</v>
      </c>
      <c r="G1463" s="2"/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  <c r="AA1463" s="1"/>
      <c r="AB1463" s="1"/>
      <c r="AC1463" s="1"/>
      <c r="AD1463" s="1"/>
      <c r="AE1463" s="1"/>
      <c r="AF1463" s="1"/>
    </row>
    <row r="1464" spans="1:32" x14ac:dyDescent="0.2">
      <c r="A1464" s="21" t="s">
        <v>3191</v>
      </c>
      <c r="B1464" s="21" t="s">
        <v>1303</v>
      </c>
      <c r="G1464" s="2"/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</row>
    <row r="1465" spans="1:32" x14ac:dyDescent="0.2">
      <c r="A1465" s="21" t="s">
        <v>3192</v>
      </c>
      <c r="B1465" s="21" t="s">
        <v>1304</v>
      </c>
      <c r="G1465" s="2"/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</row>
    <row r="1466" spans="1:32" x14ac:dyDescent="0.2">
      <c r="A1466" s="21" t="s">
        <v>3193</v>
      </c>
      <c r="B1466" s="21" t="s">
        <v>1686</v>
      </c>
      <c r="G1466" s="2"/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</row>
    <row r="1467" spans="1:32" x14ac:dyDescent="0.2">
      <c r="A1467" s="21" t="s">
        <v>3194</v>
      </c>
      <c r="B1467" s="21" t="s">
        <v>1305</v>
      </c>
      <c r="G1467" s="2"/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</row>
    <row r="1468" spans="1:32" x14ac:dyDescent="0.2">
      <c r="A1468" s="21" t="s">
        <v>3195</v>
      </c>
      <c r="B1468" s="21" t="s">
        <v>1306</v>
      </c>
      <c r="G1468" s="2"/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</row>
    <row r="1469" spans="1:32" x14ac:dyDescent="0.2">
      <c r="A1469" s="21" t="s">
        <v>3196</v>
      </c>
      <c r="B1469" s="21" t="s">
        <v>1687</v>
      </c>
      <c r="G1469" s="2"/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</row>
    <row r="1470" spans="1:32" x14ac:dyDescent="0.2">
      <c r="A1470" s="21" t="s">
        <v>3197</v>
      </c>
      <c r="B1470" s="21" t="s">
        <v>1307</v>
      </c>
      <c r="G1470" s="2"/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</row>
    <row r="1471" spans="1:32" x14ac:dyDescent="0.2">
      <c r="A1471" s="21" t="s">
        <v>3198</v>
      </c>
      <c r="B1471" s="21" t="s">
        <v>1308</v>
      </c>
      <c r="G1471" s="2"/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</row>
    <row r="1472" spans="1:32" x14ac:dyDescent="0.2">
      <c r="A1472" s="21" t="s">
        <v>3199</v>
      </c>
      <c r="B1472" s="21" t="s">
        <v>1309</v>
      </c>
      <c r="G1472" s="2"/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</row>
    <row r="1473" spans="1:32" x14ac:dyDescent="0.2">
      <c r="A1473" s="21" t="s">
        <v>3200</v>
      </c>
      <c r="B1473" s="21" t="s">
        <v>1310</v>
      </c>
      <c r="G1473" s="2"/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</row>
    <row r="1474" spans="1:32" x14ac:dyDescent="0.2">
      <c r="A1474" s="21" t="s">
        <v>3201</v>
      </c>
      <c r="B1474" s="21" t="s">
        <v>1688</v>
      </c>
      <c r="G1474" s="2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  <c r="AD1474" s="1"/>
      <c r="AE1474" s="1"/>
      <c r="AF1474" s="1"/>
    </row>
    <row r="1475" spans="1:32" x14ac:dyDescent="0.2">
      <c r="A1475" s="21" t="s">
        <v>3202</v>
      </c>
      <c r="B1475" s="21" t="s">
        <v>1311</v>
      </c>
      <c r="G1475" s="2"/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  <c r="X1475" s="1"/>
      <c r="Y1475" s="1"/>
      <c r="Z1475" s="1"/>
      <c r="AA1475" s="1"/>
      <c r="AB1475" s="1"/>
      <c r="AC1475" s="1"/>
      <c r="AD1475" s="1"/>
      <c r="AE1475" s="1"/>
      <c r="AF1475" s="1"/>
    </row>
    <row r="1476" spans="1:32" x14ac:dyDescent="0.2">
      <c r="A1476" s="21" t="s">
        <v>3203</v>
      </c>
      <c r="B1476" s="21" t="s">
        <v>1312</v>
      </c>
      <c r="G1476" s="2"/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</row>
    <row r="1477" spans="1:32" x14ac:dyDescent="0.2">
      <c r="A1477" s="21" t="s">
        <v>3204</v>
      </c>
      <c r="B1477" s="21" t="s">
        <v>1313</v>
      </c>
      <c r="G1477" s="2"/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</row>
    <row r="1478" spans="1:32" x14ac:dyDescent="0.2">
      <c r="A1478" s="21" t="s">
        <v>3205</v>
      </c>
      <c r="B1478" s="21" t="s">
        <v>1314</v>
      </c>
      <c r="G1478" s="2"/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</row>
    <row r="1479" spans="1:32" x14ac:dyDescent="0.2">
      <c r="A1479" s="21" t="s">
        <v>3206</v>
      </c>
      <c r="B1479" s="21" t="s">
        <v>1315</v>
      </c>
      <c r="G1479" s="2"/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</row>
    <row r="1480" spans="1:32" x14ac:dyDescent="0.2">
      <c r="A1480" s="21" t="s">
        <v>3207</v>
      </c>
      <c r="B1480" s="21" t="s">
        <v>1689</v>
      </c>
      <c r="G1480" s="2"/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</row>
    <row r="1481" spans="1:32" x14ac:dyDescent="0.2">
      <c r="A1481" s="21" t="s">
        <v>3208</v>
      </c>
      <c r="B1481" s="21" t="s">
        <v>1316</v>
      </c>
      <c r="G1481" s="2"/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</row>
    <row r="1482" spans="1:32" x14ac:dyDescent="0.2">
      <c r="A1482" s="21" t="s">
        <v>3209</v>
      </c>
      <c r="B1482" s="21" t="s">
        <v>1317</v>
      </c>
      <c r="G1482" s="2"/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</row>
    <row r="1483" spans="1:32" x14ac:dyDescent="0.2">
      <c r="A1483" s="21" t="s">
        <v>3210</v>
      </c>
      <c r="B1483" s="21" t="s">
        <v>1690</v>
      </c>
      <c r="G1483" s="2"/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</row>
    <row r="1484" spans="1:32" x14ac:dyDescent="0.2">
      <c r="A1484" s="21" t="s">
        <v>3211</v>
      </c>
      <c r="B1484" s="21" t="s">
        <v>1318</v>
      </c>
      <c r="G1484" s="2"/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  <c r="AA1484" s="1"/>
      <c r="AB1484" s="1"/>
      <c r="AC1484" s="1"/>
      <c r="AD1484" s="1"/>
      <c r="AE1484" s="1"/>
      <c r="AF1484" s="1"/>
    </row>
    <row r="1485" spans="1:32" x14ac:dyDescent="0.2">
      <c r="A1485" s="21" t="s">
        <v>3212</v>
      </c>
      <c r="B1485" s="21" t="s">
        <v>1319</v>
      </c>
      <c r="G1485" s="2"/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  <c r="AA1485" s="1"/>
      <c r="AB1485" s="1"/>
      <c r="AC1485" s="1"/>
      <c r="AD1485" s="1"/>
      <c r="AE1485" s="1"/>
      <c r="AF1485" s="1"/>
    </row>
    <row r="1486" spans="1:32" x14ac:dyDescent="0.2">
      <c r="A1486" s="21" t="s">
        <v>3213</v>
      </c>
      <c r="B1486" s="21" t="s">
        <v>1320</v>
      </c>
      <c r="G1486" s="2"/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</row>
    <row r="1487" spans="1:32" x14ac:dyDescent="0.2">
      <c r="A1487" s="21" t="s">
        <v>3214</v>
      </c>
      <c r="B1487" s="21" t="s">
        <v>1321</v>
      </c>
      <c r="G1487" s="2"/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</row>
    <row r="1488" spans="1:32" x14ac:dyDescent="0.2">
      <c r="A1488" s="21" t="s">
        <v>3215</v>
      </c>
      <c r="B1488" s="21" t="s">
        <v>1654</v>
      </c>
      <c r="G1488" s="2"/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</row>
    <row r="1489" spans="1:32" x14ac:dyDescent="0.2">
      <c r="A1489" s="21" t="s">
        <v>3216</v>
      </c>
      <c r="B1489" s="21" t="s">
        <v>1322</v>
      </c>
      <c r="G1489" s="2"/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</row>
    <row r="1490" spans="1:32" x14ac:dyDescent="0.2">
      <c r="A1490" s="21" t="s">
        <v>3217</v>
      </c>
      <c r="B1490" s="21" t="s">
        <v>1323</v>
      </c>
      <c r="G1490" s="2"/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</row>
    <row r="1491" spans="1:32" x14ac:dyDescent="0.2">
      <c r="A1491" s="21" t="s">
        <v>3218</v>
      </c>
      <c r="B1491" s="21" t="s">
        <v>1324</v>
      </c>
      <c r="G1491" s="2"/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</row>
    <row r="1492" spans="1:32" x14ac:dyDescent="0.2">
      <c r="A1492" s="21" t="s">
        <v>3219</v>
      </c>
      <c r="B1492" s="21" t="s">
        <v>1325</v>
      </c>
      <c r="G1492" s="2"/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</row>
    <row r="1493" spans="1:32" x14ac:dyDescent="0.2">
      <c r="A1493" s="21" t="s">
        <v>3220</v>
      </c>
      <c r="B1493" s="21" t="s">
        <v>1326</v>
      </c>
      <c r="G1493" s="2"/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</row>
    <row r="1494" spans="1:32" x14ac:dyDescent="0.2">
      <c r="A1494" s="21" t="s">
        <v>3221</v>
      </c>
      <c r="B1494" s="21" t="s">
        <v>1692</v>
      </c>
      <c r="G1494" s="2"/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  <c r="AA1494" s="1"/>
      <c r="AB1494" s="1"/>
      <c r="AC1494" s="1"/>
      <c r="AD1494" s="1"/>
      <c r="AE1494" s="1"/>
      <c r="AF1494" s="1"/>
    </row>
    <row r="1495" spans="1:32" x14ac:dyDescent="0.2">
      <c r="A1495" s="21" t="s">
        <v>3222</v>
      </c>
      <c r="B1495" s="21" t="s">
        <v>1693</v>
      </c>
      <c r="G1495" s="2"/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</row>
    <row r="1496" spans="1:32" x14ac:dyDescent="0.2">
      <c r="A1496" s="21" t="s">
        <v>3223</v>
      </c>
      <c r="B1496" s="21" t="s">
        <v>1327</v>
      </c>
      <c r="G1496" s="2"/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  <c r="AA1496" s="1"/>
      <c r="AB1496" s="1"/>
      <c r="AC1496" s="1"/>
      <c r="AD1496" s="1"/>
      <c r="AE1496" s="1"/>
      <c r="AF1496" s="1"/>
    </row>
    <row r="1497" spans="1:32" x14ac:dyDescent="0.2">
      <c r="A1497" s="21" t="s">
        <v>3224</v>
      </c>
      <c r="B1497" s="21" t="s">
        <v>1328</v>
      </c>
      <c r="G1497" s="2"/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</row>
    <row r="1498" spans="1:32" x14ac:dyDescent="0.2">
      <c r="A1498" s="21" t="s">
        <v>3225</v>
      </c>
      <c r="B1498" s="21" t="s">
        <v>1694</v>
      </c>
      <c r="G1498" s="2"/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</row>
    <row r="1499" spans="1:32" x14ac:dyDescent="0.2">
      <c r="A1499" s="21" t="s">
        <v>3226</v>
      </c>
      <c r="B1499" s="21" t="s">
        <v>1695</v>
      </c>
      <c r="G1499" s="2"/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</row>
    <row r="1500" spans="1:32" x14ac:dyDescent="0.2">
      <c r="A1500" s="21" t="s">
        <v>3227</v>
      </c>
      <c r="B1500" s="21" t="s">
        <v>1329</v>
      </c>
      <c r="G1500" s="2"/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</row>
    <row r="1501" spans="1:32" x14ac:dyDescent="0.2">
      <c r="A1501" s="21" t="s">
        <v>3228</v>
      </c>
      <c r="B1501" s="21" t="s">
        <v>1330</v>
      </c>
      <c r="G1501" s="2"/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  <c r="AA1501" s="1"/>
      <c r="AB1501" s="1"/>
      <c r="AC1501" s="1"/>
      <c r="AD1501" s="1"/>
      <c r="AE1501" s="1"/>
      <c r="AF1501" s="1"/>
    </row>
    <row r="1502" spans="1:32" x14ac:dyDescent="0.2">
      <c r="A1502" s="21" t="s">
        <v>3229</v>
      </c>
      <c r="B1502" s="21" t="s">
        <v>1331</v>
      </c>
      <c r="G1502" s="2"/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</row>
    <row r="1503" spans="1:32" x14ac:dyDescent="0.2">
      <c r="A1503" s="21" t="s">
        <v>3230</v>
      </c>
      <c r="B1503" s="21" t="s">
        <v>1332</v>
      </c>
      <c r="G1503" s="2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</row>
    <row r="1504" spans="1:32" x14ac:dyDescent="0.2">
      <c r="A1504" s="21" t="s">
        <v>3231</v>
      </c>
      <c r="B1504" s="21" t="s">
        <v>1333</v>
      </c>
      <c r="G1504" s="2"/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  <c r="AA1504" s="1"/>
      <c r="AB1504" s="1"/>
      <c r="AC1504" s="1"/>
      <c r="AD1504" s="1"/>
      <c r="AE1504" s="1"/>
      <c r="AF1504" s="1"/>
    </row>
    <row r="1505" spans="1:32" x14ac:dyDescent="0.2">
      <c r="A1505" s="21" t="s">
        <v>3232</v>
      </c>
      <c r="B1505" s="21" t="s">
        <v>1334</v>
      </c>
      <c r="G1505" s="2"/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</row>
    <row r="1506" spans="1:32" x14ac:dyDescent="0.2">
      <c r="A1506" s="21" t="s">
        <v>3233</v>
      </c>
      <c r="B1506" s="21" t="s">
        <v>1335</v>
      </c>
      <c r="G1506" s="2"/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</row>
    <row r="1507" spans="1:32" x14ac:dyDescent="0.2">
      <c r="A1507" s="21" t="s">
        <v>3234</v>
      </c>
      <c r="B1507" s="21" t="s">
        <v>1336</v>
      </c>
      <c r="G1507" s="2"/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</row>
    <row r="1508" spans="1:32" x14ac:dyDescent="0.2">
      <c r="A1508" s="21" t="s">
        <v>3235</v>
      </c>
      <c r="B1508" s="21" t="s">
        <v>1337</v>
      </c>
      <c r="G1508" s="2"/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</row>
    <row r="1509" spans="1:32" x14ac:dyDescent="0.2">
      <c r="A1509" s="21" t="s">
        <v>3236</v>
      </c>
      <c r="B1509" s="21" t="s">
        <v>1338</v>
      </c>
      <c r="G1509" s="2"/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</row>
    <row r="1510" spans="1:32" x14ac:dyDescent="0.2">
      <c r="A1510" s="21" t="s">
        <v>3237</v>
      </c>
      <c r="B1510" s="21" t="s">
        <v>1339</v>
      </c>
      <c r="G1510" s="2"/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</row>
    <row r="1511" spans="1:32" x14ac:dyDescent="0.2">
      <c r="A1511" s="21" t="s">
        <v>3238</v>
      </c>
      <c r="B1511" s="21" t="s">
        <v>1340</v>
      </c>
      <c r="G1511" s="2"/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  <c r="AA1511" s="1"/>
      <c r="AB1511" s="1"/>
      <c r="AC1511" s="1"/>
      <c r="AD1511" s="1"/>
      <c r="AE1511" s="1"/>
      <c r="AF1511" s="1"/>
    </row>
    <row r="1512" spans="1:32" x14ac:dyDescent="0.2">
      <c r="A1512" s="21" t="s">
        <v>3239</v>
      </c>
      <c r="B1512" s="21" t="s">
        <v>1341</v>
      </c>
      <c r="G1512" s="2"/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</row>
    <row r="1513" spans="1:32" x14ac:dyDescent="0.2">
      <c r="A1513" s="21" t="s">
        <v>3240</v>
      </c>
      <c r="B1513" s="21" t="s">
        <v>1342</v>
      </c>
      <c r="G1513" s="2"/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</row>
    <row r="1514" spans="1:32" x14ac:dyDescent="0.2">
      <c r="A1514" s="21" t="s">
        <v>3241</v>
      </c>
      <c r="B1514" s="21" t="s">
        <v>1343</v>
      </c>
      <c r="G1514" s="2"/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  <c r="AA1514" s="1"/>
      <c r="AB1514" s="1"/>
      <c r="AC1514" s="1"/>
      <c r="AD1514" s="1"/>
      <c r="AE1514" s="1"/>
      <c r="AF1514" s="1"/>
    </row>
    <row r="1515" spans="1:32" x14ac:dyDescent="0.2">
      <c r="A1515" s="21" t="s">
        <v>3242</v>
      </c>
      <c r="B1515" s="21" t="s">
        <v>1344</v>
      </c>
      <c r="G1515" s="2"/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  <c r="AA1515" s="1"/>
      <c r="AB1515" s="1"/>
      <c r="AC1515" s="1"/>
      <c r="AD1515" s="1"/>
      <c r="AE1515" s="1"/>
      <c r="AF1515" s="1"/>
    </row>
    <row r="1516" spans="1:32" x14ac:dyDescent="0.2">
      <c r="A1516" s="21" t="s">
        <v>3243</v>
      </c>
      <c r="B1516" s="21" t="s">
        <v>1345</v>
      </c>
      <c r="G1516" s="2"/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  <c r="AA1516" s="1"/>
      <c r="AB1516" s="1"/>
      <c r="AC1516" s="1"/>
      <c r="AD1516" s="1"/>
      <c r="AE1516" s="1"/>
      <c r="AF1516" s="1"/>
    </row>
    <row r="1517" spans="1:32" x14ac:dyDescent="0.2">
      <c r="A1517" s="21" t="s">
        <v>3244</v>
      </c>
      <c r="B1517" s="21" t="s">
        <v>1346</v>
      </c>
      <c r="G1517" s="2"/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  <c r="AA1517" s="1"/>
      <c r="AB1517" s="1"/>
      <c r="AC1517" s="1"/>
      <c r="AD1517" s="1"/>
      <c r="AE1517" s="1"/>
      <c r="AF1517" s="1"/>
    </row>
    <row r="1518" spans="1:32" x14ac:dyDescent="0.2">
      <c r="A1518" s="21" t="s">
        <v>3245</v>
      </c>
      <c r="B1518" s="21" t="s">
        <v>1347</v>
      </c>
      <c r="G1518" s="2"/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  <c r="AA1518" s="1"/>
      <c r="AB1518" s="1"/>
      <c r="AC1518" s="1"/>
      <c r="AD1518" s="1"/>
      <c r="AE1518" s="1"/>
      <c r="AF1518" s="1"/>
    </row>
    <row r="1519" spans="1:32" x14ac:dyDescent="0.2">
      <c r="A1519" s="21" t="s">
        <v>3246</v>
      </c>
      <c r="B1519" s="21" t="s">
        <v>1348</v>
      </c>
      <c r="G1519" s="2"/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  <c r="AA1519" s="1"/>
      <c r="AB1519" s="1"/>
      <c r="AC1519" s="1"/>
      <c r="AD1519" s="1"/>
      <c r="AE1519" s="1"/>
      <c r="AF1519" s="1"/>
    </row>
    <row r="1520" spans="1:32" x14ac:dyDescent="0.2">
      <c r="A1520" s="21" t="s">
        <v>3247</v>
      </c>
      <c r="B1520" s="21" t="s">
        <v>1349</v>
      </c>
      <c r="G1520" s="2"/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  <c r="AA1520" s="1"/>
      <c r="AB1520" s="1"/>
      <c r="AC1520" s="1"/>
      <c r="AD1520" s="1"/>
      <c r="AE1520" s="1"/>
      <c r="AF1520" s="1"/>
    </row>
    <row r="1521" spans="1:32" x14ac:dyDescent="0.2">
      <c r="A1521" s="21" t="s">
        <v>3248</v>
      </c>
      <c r="B1521" s="21" t="s">
        <v>1696</v>
      </c>
      <c r="G1521" s="2"/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  <c r="AA1521" s="1"/>
      <c r="AB1521" s="1"/>
      <c r="AC1521" s="1"/>
      <c r="AD1521" s="1"/>
      <c r="AE1521" s="1"/>
      <c r="AF1521" s="1"/>
    </row>
    <row r="1522" spans="1:32" x14ac:dyDescent="0.2">
      <c r="A1522" s="21" t="s">
        <v>3249</v>
      </c>
      <c r="B1522" s="21" t="s">
        <v>1698</v>
      </c>
      <c r="G1522" s="2"/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  <c r="AA1522" s="1"/>
      <c r="AB1522" s="1"/>
      <c r="AC1522" s="1"/>
      <c r="AD1522" s="1"/>
      <c r="AE1522" s="1"/>
      <c r="AF1522" s="1"/>
    </row>
    <row r="1523" spans="1:32" x14ac:dyDescent="0.2">
      <c r="A1523" s="21" t="s">
        <v>3250</v>
      </c>
      <c r="B1523" s="21" t="s">
        <v>1350</v>
      </c>
      <c r="G1523" s="2"/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  <c r="AA1523" s="1"/>
      <c r="AB1523" s="1"/>
      <c r="AC1523" s="1"/>
      <c r="AD1523" s="1"/>
      <c r="AE1523" s="1"/>
      <c r="AF1523" s="1"/>
    </row>
    <row r="1524" spans="1:32" x14ac:dyDescent="0.2">
      <c r="A1524" s="21" t="s">
        <v>3251</v>
      </c>
      <c r="B1524" s="21" t="s">
        <v>1351</v>
      </c>
      <c r="G1524" s="2"/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  <c r="AD1524" s="1"/>
      <c r="AE1524" s="1"/>
      <c r="AF1524" s="1"/>
    </row>
    <row r="1525" spans="1:32" x14ac:dyDescent="0.2">
      <c r="A1525" s="21" t="s">
        <v>3252</v>
      </c>
      <c r="B1525" s="21" t="s">
        <v>1352</v>
      </c>
      <c r="G1525" s="2"/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</row>
    <row r="1526" spans="1:32" x14ac:dyDescent="0.2">
      <c r="A1526" s="21" t="s">
        <v>3253</v>
      </c>
      <c r="B1526" s="21" t="s">
        <v>1353</v>
      </c>
      <c r="G1526" s="2"/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</row>
    <row r="1527" spans="1:32" x14ac:dyDescent="0.2">
      <c r="A1527" s="21" t="s">
        <v>3254</v>
      </c>
      <c r="B1527" s="21" t="s">
        <v>1354</v>
      </c>
      <c r="G1527" s="2"/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  <c r="AA1527" s="1"/>
      <c r="AB1527" s="1"/>
      <c r="AC1527" s="1"/>
      <c r="AD1527" s="1"/>
      <c r="AE1527" s="1"/>
      <c r="AF1527" s="1"/>
    </row>
    <row r="1528" spans="1:32" x14ac:dyDescent="0.2">
      <c r="A1528" s="21" t="s">
        <v>3255</v>
      </c>
      <c r="B1528" s="21" t="s">
        <v>1355</v>
      </c>
      <c r="G1528" s="2"/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</row>
    <row r="1529" spans="1:32" x14ac:dyDescent="0.2">
      <c r="A1529" s="21" t="s">
        <v>3256</v>
      </c>
      <c r="B1529" s="21" t="s">
        <v>1356</v>
      </c>
      <c r="G1529" s="2"/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  <c r="AA1529" s="1"/>
      <c r="AB1529" s="1"/>
      <c r="AC1529" s="1"/>
      <c r="AD1529" s="1"/>
      <c r="AE1529" s="1"/>
      <c r="AF1529" s="1"/>
    </row>
    <row r="1530" spans="1:32" x14ac:dyDescent="0.2">
      <c r="A1530" s="21" t="s">
        <v>3257</v>
      </c>
      <c r="B1530" s="21" t="s">
        <v>1699</v>
      </c>
      <c r="G1530" s="2"/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  <c r="AA1530" s="1"/>
      <c r="AB1530" s="1"/>
      <c r="AC1530" s="1"/>
      <c r="AD1530" s="1"/>
      <c r="AE1530" s="1"/>
      <c r="AF1530" s="1"/>
    </row>
    <row r="1531" spans="1:32" x14ac:dyDescent="0.2">
      <c r="A1531" s="21" t="s">
        <v>3258</v>
      </c>
      <c r="B1531" s="21" t="s">
        <v>1357</v>
      </c>
      <c r="G1531" s="2"/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</row>
    <row r="1532" spans="1:32" x14ac:dyDescent="0.2">
      <c r="A1532" s="21" t="s">
        <v>3259</v>
      </c>
      <c r="B1532" s="21" t="s">
        <v>1358</v>
      </c>
      <c r="G1532" s="2"/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</row>
    <row r="1533" spans="1:32" x14ac:dyDescent="0.2">
      <c r="A1533" s="21" t="s">
        <v>3260</v>
      </c>
      <c r="B1533" s="21" t="s">
        <v>1359</v>
      </c>
      <c r="G1533" s="2"/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</row>
    <row r="1534" spans="1:32" x14ac:dyDescent="0.2">
      <c r="A1534" s="21" t="s">
        <v>3261</v>
      </c>
      <c r="B1534" s="21" t="s">
        <v>1360</v>
      </c>
      <c r="G1534" s="2"/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</row>
    <row r="1535" spans="1:32" x14ac:dyDescent="0.2">
      <c r="A1535" s="21" t="s">
        <v>3262</v>
      </c>
      <c r="B1535" s="21" t="s">
        <v>1361</v>
      </c>
      <c r="G1535" s="2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</row>
    <row r="1536" spans="1:32" x14ac:dyDescent="0.2">
      <c r="A1536" s="21" t="s">
        <v>3263</v>
      </c>
      <c r="B1536" s="21" t="s">
        <v>1362</v>
      </c>
      <c r="G1536" s="2"/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</row>
    <row r="1537" spans="1:32" x14ac:dyDescent="0.2">
      <c r="A1537" s="21" t="s">
        <v>3264</v>
      </c>
      <c r="B1537" s="21" t="s">
        <v>1363</v>
      </c>
      <c r="G1537" s="2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</row>
    <row r="1538" spans="1:32" x14ac:dyDescent="0.2">
      <c r="A1538" s="21" t="s">
        <v>3265</v>
      </c>
      <c r="B1538" s="21" t="s">
        <v>1364</v>
      </c>
      <c r="G1538" s="2"/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</row>
    <row r="1539" spans="1:32" x14ac:dyDescent="0.2">
      <c r="A1539" s="21" t="s">
        <v>3266</v>
      </c>
      <c r="B1539" s="21" t="s">
        <v>1365</v>
      </c>
      <c r="G1539" s="2"/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</row>
    <row r="1540" spans="1:32" x14ac:dyDescent="0.2">
      <c r="A1540" s="21" t="s">
        <v>3267</v>
      </c>
      <c r="B1540" s="21" t="s">
        <v>1366</v>
      </c>
      <c r="G1540" s="2"/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</row>
    <row r="1541" spans="1:32" x14ac:dyDescent="0.2">
      <c r="A1541" s="21" t="s">
        <v>3268</v>
      </c>
      <c r="B1541" s="21" t="s">
        <v>1367</v>
      </c>
      <c r="G1541" s="2"/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</row>
    <row r="1542" spans="1:32" x14ac:dyDescent="0.2">
      <c r="A1542" s="21" t="s">
        <v>3269</v>
      </c>
      <c r="B1542" s="21" t="s">
        <v>1368</v>
      </c>
      <c r="G1542" s="2"/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</row>
    <row r="1543" spans="1:32" x14ac:dyDescent="0.2">
      <c r="A1543" s="21" t="s">
        <v>3270</v>
      </c>
      <c r="B1543" s="21" t="s">
        <v>1369</v>
      </c>
      <c r="G1543" s="2"/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  <c r="AA1543" s="1"/>
      <c r="AB1543" s="1"/>
      <c r="AC1543" s="1"/>
      <c r="AD1543" s="1"/>
      <c r="AE1543" s="1"/>
      <c r="AF1543" s="1"/>
    </row>
    <row r="1544" spans="1:32" x14ac:dyDescent="0.2">
      <c r="A1544" s="21" t="s">
        <v>3271</v>
      </c>
      <c r="B1544" s="21" t="s">
        <v>1370</v>
      </c>
      <c r="G1544" s="2"/>
      <c r="H1544" s="1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</row>
    <row r="1545" spans="1:32" x14ac:dyDescent="0.2">
      <c r="A1545" s="21" t="s">
        <v>3272</v>
      </c>
      <c r="B1545" s="21" t="s">
        <v>1702</v>
      </c>
      <c r="G1545" s="2"/>
      <c r="H1545" s="1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/>
    </row>
    <row r="1546" spans="1:32" x14ac:dyDescent="0.2">
      <c r="A1546" s="21" t="s">
        <v>3273</v>
      </c>
      <c r="B1546" s="21" t="s">
        <v>1371</v>
      </c>
      <c r="G1546" s="2"/>
      <c r="H1546" s="1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</row>
    <row r="1547" spans="1:32" x14ac:dyDescent="0.2">
      <c r="A1547" s="21" t="s">
        <v>3274</v>
      </c>
      <c r="B1547" s="21" t="s">
        <v>1372</v>
      </c>
      <c r="G1547" s="2"/>
      <c r="H1547" s="1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</row>
    <row r="1548" spans="1:32" x14ac:dyDescent="0.2">
      <c r="A1548" s="21" t="s">
        <v>3275</v>
      </c>
      <c r="B1548" s="21" t="s">
        <v>1373</v>
      </c>
      <c r="G1548" s="2"/>
      <c r="H1548" s="1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</row>
    <row r="1549" spans="1:32" x14ac:dyDescent="0.2">
      <c r="A1549" s="21" t="s">
        <v>3276</v>
      </c>
      <c r="B1549" s="21" t="s">
        <v>1374</v>
      </c>
      <c r="G1549" s="2"/>
      <c r="H1549" s="1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</row>
    <row r="1550" spans="1:32" x14ac:dyDescent="0.2">
      <c r="A1550" s="21" t="s">
        <v>3277</v>
      </c>
      <c r="B1550" s="21" t="s">
        <v>1703</v>
      </c>
      <c r="G1550" s="2"/>
      <c r="H1550" s="1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</row>
    <row r="1551" spans="1:32" x14ac:dyDescent="0.2">
      <c r="A1551" s="21" t="s">
        <v>3278</v>
      </c>
      <c r="B1551" s="21" t="s">
        <v>1375</v>
      </c>
      <c r="G1551" s="2"/>
      <c r="H1551" s="1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  <c r="AA1551" s="1"/>
      <c r="AB1551" s="1"/>
      <c r="AC1551" s="1"/>
      <c r="AD1551" s="1"/>
      <c r="AE1551" s="1"/>
      <c r="AF1551" s="1"/>
    </row>
    <row r="1552" spans="1:32" x14ac:dyDescent="0.2">
      <c r="A1552" s="21" t="s">
        <v>3279</v>
      </c>
      <c r="B1552" s="21" t="s">
        <v>1376</v>
      </c>
      <c r="G1552" s="2"/>
      <c r="H1552" s="1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  <c r="AA1552" s="1"/>
      <c r="AB1552" s="1"/>
      <c r="AC1552" s="1"/>
      <c r="AD1552" s="1"/>
      <c r="AE1552" s="1"/>
      <c r="AF1552" s="1"/>
    </row>
    <row r="1553" spans="1:32" x14ac:dyDescent="0.2">
      <c r="A1553" s="21" t="s">
        <v>3280</v>
      </c>
      <c r="B1553" s="21" t="s">
        <v>1704</v>
      </c>
      <c r="G1553" s="2"/>
      <c r="H1553" s="1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  <c r="AA1553" s="1"/>
      <c r="AB1553" s="1"/>
      <c r="AC1553" s="1"/>
      <c r="AD1553" s="1"/>
      <c r="AE1553" s="1"/>
      <c r="AF1553" s="1"/>
    </row>
    <row r="1554" spans="1:32" x14ac:dyDescent="0.2">
      <c r="A1554" s="21" t="s">
        <v>3281</v>
      </c>
      <c r="B1554" s="21" t="s">
        <v>1377</v>
      </c>
      <c r="G1554" s="2"/>
      <c r="H1554" s="1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/>
      <c r="Z1554" s="1"/>
      <c r="AA1554" s="1"/>
      <c r="AB1554" s="1"/>
      <c r="AC1554" s="1"/>
      <c r="AD1554" s="1"/>
      <c r="AE1554" s="1"/>
      <c r="AF1554" s="1"/>
    </row>
    <row r="1555" spans="1:32" x14ac:dyDescent="0.2">
      <c r="A1555" s="21" t="s">
        <v>3282</v>
      </c>
      <c r="B1555" s="21" t="s">
        <v>1378</v>
      </c>
      <c r="G1555" s="2"/>
      <c r="H1555" s="1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/>
      <c r="Z1555" s="1"/>
      <c r="AA1555" s="1"/>
      <c r="AB1555" s="1"/>
      <c r="AC1555" s="1"/>
      <c r="AD1555" s="1"/>
      <c r="AE1555" s="1"/>
      <c r="AF1555" s="1"/>
    </row>
    <row r="1556" spans="1:32" x14ac:dyDescent="0.2">
      <c r="A1556" s="21" t="s">
        <v>3283</v>
      </c>
      <c r="B1556" s="21" t="s">
        <v>1379</v>
      </c>
      <c r="G1556" s="2"/>
      <c r="H1556" s="1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</row>
    <row r="1557" spans="1:32" x14ac:dyDescent="0.2">
      <c r="A1557" s="21" t="s">
        <v>3284</v>
      </c>
      <c r="B1557" s="21" t="s">
        <v>1380</v>
      </c>
      <c r="G1557" s="2"/>
      <c r="H1557" s="1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</row>
    <row r="1558" spans="1:32" x14ac:dyDescent="0.2">
      <c r="A1558" s="21" t="s">
        <v>3285</v>
      </c>
      <c r="B1558" s="21" t="s">
        <v>1381</v>
      </c>
      <c r="G1558" s="2"/>
      <c r="H1558" s="1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</row>
    <row r="1559" spans="1:32" x14ac:dyDescent="0.2">
      <c r="A1559" s="21" t="s">
        <v>3286</v>
      </c>
      <c r="B1559" s="21" t="s">
        <v>1382</v>
      </c>
      <c r="G1559" s="2"/>
      <c r="H1559" s="1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</row>
    <row r="1560" spans="1:32" x14ac:dyDescent="0.2">
      <c r="A1560" s="21" t="s">
        <v>3287</v>
      </c>
      <c r="B1560" s="21" t="s">
        <v>1383</v>
      </c>
      <c r="G1560" s="2"/>
      <c r="H1560" s="1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</row>
    <row r="1561" spans="1:32" x14ac:dyDescent="0.2">
      <c r="A1561" s="21" t="s">
        <v>3288</v>
      </c>
      <c r="B1561" s="21" t="s">
        <v>1577</v>
      </c>
      <c r="G1561" s="2"/>
      <c r="H1561" s="1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</row>
    <row r="1562" spans="1:32" x14ac:dyDescent="0.2">
      <c r="A1562" s="21" t="s">
        <v>3289</v>
      </c>
      <c r="B1562" s="21" t="s">
        <v>1384</v>
      </c>
      <c r="G1562" s="2"/>
      <c r="H1562" s="1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</row>
    <row r="1563" spans="1:32" x14ac:dyDescent="0.2">
      <c r="A1563" s="21" t="s">
        <v>3290</v>
      </c>
      <c r="B1563" s="21" t="s">
        <v>1385</v>
      </c>
      <c r="G1563" s="2"/>
      <c r="H1563" s="1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</row>
    <row r="1564" spans="1:32" x14ac:dyDescent="0.2">
      <c r="A1564" s="21" t="s">
        <v>3291</v>
      </c>
      <c r="B1564" s="21" t="s">
        <v>1386</v>
      </c>
      <c r="G1564" s="2"/>
      <c r="H1564" s="1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</row>
    <row r="1565" spans="1:32" x14ac:dyDescent="0.2">
      <c r="A1565" s="21" t="s">
        <v>3292</v>
      </c>
      <c r="B1565" s="21" t="s">
        <v>1387</v>
      </c>
      <c r="G1565" s="2"/>
      <c r="H1565" s="1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</row>
    <row r="1566" spans="1:32" x14ac:dyDescent="0.2">
      <c r="A1566" s="21" t="s">
        <v>3293</v>
      </c>
      <c r="B1566" s="21" t="s">
        <v>1625</v>
      </c>
      <c r="G1566" s="2"/>
      <c r="H1566" s="1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</row>
    <row r="1567" spans="1:32" x14ac:dyDescent="0.2">
      <c r="A1567" s="21" t="s">
        <v>3294</v>
      </c>
      <c r="B1567" s="21" t="s">
        <v>1706</v>
      </c>
      <c r="G1567" s="2"/>
      <c r="H1567" s="1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  <c r="X1567" s="1"/>
      <c r="Y1567" s="1"/>
      <c r="Z1567" s="1"/>
      <c r="AA1567" s="1"/>
      <c r="AB1567" s="1"/>
      <c r="AC1567" s="1"/>
      <c r="AD1567" s="1"/>
      <c r="AE1567" s="1"/>
      <c r="AF1567" s="1"/>
    </row>
    <row r="1568" spans="1:32" x14ac:dyDescent="0.2">
      <c r="A1568" s="21" t="s">
        <v>3295</v>
      </c>
      <c r="B1568" s="21" t="s">
        <v>1388</v>
      </c>
      <c r="G1568" s="2"/>
      <c r="H1568" s="1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</row>
    <row r="1569" spans="1:32" x14ac:dyDescent="0.2">
      <c r="A1569" s="21" t="s">
        <v>3296</v>
      </c>
      <c r="B1569" s="21" t="s">
        <v>1389</v>
      </c>
      <c r="G1569" s="2"/>
      <c r="H1569" s="1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</row>
    <row r="1570" spans="1:32" x14ac:dyDescent="0.2">
      <c r="A1570" s="21" t="s">
        <v>3297</v>
      </c>
      <c r="B1570" s="21" t="s">
        <v>1390</v>
      </c>
      <c r="G1570" s="2"/>
      <c r="H1570" s="1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  <c r="X1570" s="1"/>
      <c r="Y1570" s="1"/>
      <c r="Z1570" s="1"/>
      <c r="AA1570" s="1"/>
      <c r="AB1570" s="1"/>
      <c r="AC1570" s="1"/>
      <c r="AD1570" s="1"/>
      <c r="AE1570" s="1"/>
      <c r="AF1570" s="1"/>
    </row>
    <row r="1571" spans="1:32" x14ac:dyDescent="0.2">
      <c r="A1571" s="21" t="s">
        <v>3298</v>
      </c>
      <c r="B1571" s="21" t="s">
        <v>1391</v>
      </c>
      <c r="G1571" s="2"/>
      <c r="H1571" s="1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  <c r="X1571" s="1"/>
      <c r="Y1571" s="1"/>
      <c r="Z1571" s="1"/>
      <c r="AA1571" s="1"/>
      <c r="AB1571" s="1"/>
      <c r="AC1571" s="1"/>
      <c r="AD1571" s="1"/>
      <c r="AE1571" s="1"/>
      <c r="AF1571" s="1"/>
    </row>
    <row r="1572" spans="1:32" x14ac:dyDescent="0.2">
      <c r="A1572" s="21" t="s">
        <v>3299</v>
      </c>
      <c r="B1572" s="21" t="s">
        <v>1705</v>
      </c>
      <c r="G1572" s="2"/>
      <c r="H1572" s="1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  <c r="X1572" s="1"/>
      <c r="Y1572" s="1"/>
      <c r="Z1572" s="1"/>
      <c r="AA1572" s="1"/>
      <c r="AB1572" s="1"/>
      <c r="AC1572" s="1"/>
      <c r="AD1572" s="1"/>
      <c r="AE1572" s="1"/>
      <c r="AF1572" s="1"/>
    </row>
    <row r="1573" spans="1:32" x14ac:dyDescent="0.2">
      <c r="A1573" s="21" t="s">
        <v>3300</v>
      </c>
      <c r="B1573" s="21" t="s">
        <v>1392</v>
      </c>
      <c r="G1573" s="2"/>
      <c r="H1573" s="1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  <c r="X1573" s="1"/>
      <c r="Y1573" s="1"/>
      <c r="Z1573" s="1"/>
      <c r="AA1573" s="1"/>
      <c r="AB1573" s="1"/>
      <c r="AC1573" s="1"/>
      <c r="AD1573" s="1"/>
      <c r="AE1573" s="1"/>
      <c r="AF1573" s="1"/>
    </row>
    <row r="1574" spans="1:32" x14ac:dyDescent="0.2">
      <c r="A1574" s="21" t="s">
        <v>3301</v>
      </c>
      <c r="B1574" s="21" t="s">
        <v>1393</v>
      </c>
      <c r="G1574" s="2"/>
      <c r="H1574" s="1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</row>
    <row r="1575" spans="1:32" x14ac:dyDescent="0.2">
      <c r="A1575" s="21" t="s">
        <v>3302</v>
      </c>
      <c r="B1575" s="21" t="s">
        <v>1394</v>
      </c>
      <c r="G1575" s="2"/>
      <c r="H1575" s="1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</row>
    <row r="1576" spans="1:32" x14ac:dyDescent="0.2">
      <c r="A1576" s="21" t="s">
        <v>3303</v>
      </c>
      <c r="B1576" s="21" t="s">
        <v>1395</v>
      </c>
      <c r="G1576" s="2"/>
      <c r="H1576" s="1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  <c r="X1576" s="1"/>
      <c r="Y1576" s="1"/>
      <c r="Z1576" s="1"/>
      <c r="AA1576" s="1"/>
      <c r="AB1576" s="1"/>
      <c r="AC1576" s="1"/>
      <c r="AD1576" s="1"/>
      <c r="AE1576" s="1"/>
      <c r="AF1576" s="1"/>
    </row>
    <row r="1577" spans="1:32" x14ac:dyDescent="0.2">
      <c r="A1577" s="21" t="s">
        <v>3304</v>
      </c>
      <c r="B1577" s="21" t="s">
        <v>1396</v>
      </c>
      <c r="G1577" s="2"/>
      <c r="H1577" s="1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  <c r="X1577" s="1"/>
      <c r="Y1577" s="1"/>
      <c r="Z1577" s="1"/>
      <c r="AA1577" s="1"/>
      <c r="AB1577" s="1"/>
      <c r="AC1577" s="1"/>
      <c r="AD1577" s="1"/>
      <c r="AE1577" s="1"/>
      <c r="AF1577" s="1"/>
    </row>
    <row r="1578" spans="1:32" x14ac:dyDescent="0.2">
      <c r="A1578" s="21" t="s">
        <v>3305</v>
      </c>
      <c r="B1578" s="21" t="s">
        <v>1397</v>
      </c>
      <c r="G1578" s="2"/>
      <c r="H1578" s="1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  <c r="X1578" s="1"/>
      <c r="Y1578" s="1"/>
      <c r="Z1578" s="1"/>
      <c r="AA1578" s="1"/>
      <c r="AB1578" s="1"/>
      <c r="AC1578" s="1"/>
      <c r="AD1578" s="1"/>
      <c r="AE1578" s="1"/>
      <c r="AF1578" s="1"/>
    </row>
    <row r="1579" spans="1:32" x14ac:dyDescent="0.2">
      <c r="A1579" s="21" t="s">
        <v>3306</v>
      </c>
      <c r="B1579" s="21" t="s">
        <v>1398</v>
      </c>
      <c r="G1579" s="2"/>
      <c r="H1579" s="1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  <c r="X1579" s="1"/>
      <c r="Y1579" s="1"/>
      <c r="Z1579" s="1"/>
      <c r="AA1579" s="1"/>
      <c r="AB1579" s="1"/>
      <c r="AC1579" s="1"/>
      <c r="AD1579" s="1"/>
      <c r="AE1579" s="1"/>
      <c r="AF1579" s="1"/>
    </row>
    <row r="1580" spans="1:32" x14ac:dyDescent="0.2">
      <c r="A1580" s="21" t="s">
        <v>3307</v>
      </c>
      <c r="B1580" s="21" t="s">
        <v>1707</v>
      </c>
      <c r="G1580" s="2"/>
      <c r="H1580" s="1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</row>
    <row r="1581" spans="1:32" x14ac:dyDescent="0.2">
      <c r="A1581" s="21" t="s">
        <v>3308</v>
      </c>
      <c r="B1581" s="21" t="s">
        <v>1708</v>
      </c>
      <c r="G1581" s="2"/>
      <c r="H1581" s="1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</row>
    <row r="1582" spans="1:32" x14ac:dyDescent="0.2">
      <c r="A1582" s="21" t="s">
        <v>3309</v>
      </c>
      <c r="B1582" s="21" t="s">
        <v>1399</v>
      </c>
      <c r="G1582" s="2"/>
      <c r="H1582" s="1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  <c r="X1582" s="1"/>
      <c r="Y1582" s="1"/>
      <c r="Z1582" s="1"/>
      <c r="AA1582" s="1"/>
      <c r="AB1582" s="1"/>
      <c r="AC1582" s="1"/>
      <c r="AD1582" s="1"/>
      <c r="AE1582" s="1"/>
      <c r="AF1582" s="1"/>
    </row>
    <row r="1583" spans="1:32" x14ac:dyDescent="0.2">
      <c r="A1583" s="21" t="s">
        <v>3310</v>
      </c>
      <c r="B1583" s="21" t="s">
        <v>1400</v>
      </c>
      <c r="G1583" s="2"/>
      <c r="H1583" s="1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  <c r="X1583" s="1"/>
      <c r="Y1583" s="1"/>
      <c r="Z1583" s="1"/>
      <c r="AA1583" s="1"/>
      <c r="AB1583" s="1"/>
      <c r="AC1583" s="1"/>
      <c r="AD1583" s="1"/>
      <c r="AE1583" s="1"/>
      <c r="AF1583" s="1"/>
    </row>
    <row r="1584" spans="1:32" x14ac:dyDescent="0.2">
      <c r="A1584" s="21" t="s">
        <v>3311</v>
      </c>
      <c r="B1584" s="21" t="s">
        <v>1401</v>
      </c>
      <c r="G1584" s="2"/>
      <c r="H1584" s="1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  <c r="X1584" s="1"/>
      <c r="Y1584" s="1"/>
      <c r="Z1584" s="1"/>
      <c r="AA1584" s="1"/>
      <c r="AB1584" s="1"/>
      <c r="AC1584" s="1"/>
      <c r="AD1584" s="1"/>
      <c r="AE1584" s="1"/>
      <c r="AF1584" s="1"/>
    </row>
    <row r="1585" spans="1:32" x14ac:dyDescent="0.2">
      <c r="A1585" s="21" t="s">
        <v>3312</v>
      </c>
      <c r="B1585" s="21" t="s">
        <v>1402</v>
      </c>
      <c r="G1585" s="2"/>
      <c r="H1585" s="1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</row>
    <row r="1586" spans="1:32" x14ac:dyDescent="0.2">
      <c r="A1586" s="21" t="s">
        <v>3313</v>
      </c>
      <c r="B1586" s="21" t="s">
        <v>1403</v>
      </c>
      <c r="G1586" s="2"/>
      <c r="H1586" s="1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</row>
    <row r="1587" spans="1:32" x14ac:dyDescent="0.2">
      <c r="A1587" s="21" t="s">
        <v>3314</v>
      </c>
      <c r="B1587" s="21" t="s">
        <v>1404</v>
      </c>
      <c r="G1587" s="2"/>
      <c r="H1587" s="1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  <c r="AD1587" s="1"/>
      <c r="AE1587" s="1"/>
      <c r="AF1587" s="1"/>
    </row>
    <row r="1588" spans="1:32" x14ac:dyDescent="0.2">
      <c r="A1588" s="21" t="s">
        <v>3315</v>
      </c>
      <c r="B1588" s="21" t="s">
        <v>1405</v>
      </c>
      <c r="G1588" s="2"/>
      <c r="H1588" s="1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  <c r="X1588" s="1"/>
      <c r="Y1588" s="1"/>
      <c r="Z1588" s="1"/>
      <c r="AA1588" s="1"/>
      <c r="AB1588" s="1"/>
      <c r="AC1588" s="1"/>
      <c r="AD1588" s="1"/>
      <c r="AE1588" s="1"/>
      <c r="AF1588" s="1"/>
    </row>
    <row r="1589" spans="1:32" x14ac:dyDescent="0.2">
      <c r="A1589" s="21" t="s">
        <v>3316</v>
      </c>
      <c r="B1589" s="21" t="s">
        <v>1406</v>
      </c>
      <c r="G1589" s="2"/>
      <c r="H1589" s="1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</row>
    <row r="1590" spans="1:32" x14ac:dyDescent="0.2">
      <c r="A1590" s="21" t="s">
        <v>3317</v>
      </c>
      <c r="B1590" s="21" t="s">
        <v>1709</v>
      </c>
      <c r="G1590" s="2"/>
      <c r="H1590" s="1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</row>
    <row r="1591" spans="1:32" x14ac:dyDescent="0.2">
      <c r="A1591" s="21" t="s">
        <v>3318</v>
      </c>
      <c r="B1591" s="21" t="s">
        <v>1407</v>
      </c>
      <c r="G1591" s="2"/>
      <c r="H1591" s="1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</row>
    <row r="1592" spans="1:32" x14ac:dyDescent="0.2">
      <c r="A1592" s="21" t="s">
        <v>3319</v>
      </c>
      <c r="B1592" s="21" t="s">
        <v>1408</v>
      </c>
      <c r="G1592" s="2"/>
      <c r="H1592" s="1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</row>
    <row r="1593" spans="1:32" x14ac:dyDescent="0.2">
      <c r="A1593" s="21" t="s">
        <v>3320</v>
      </c>
      <c r="B1593" s="21" t="s">
        <v>1409</v>
      </c>
      <c r="G1593" s="2"/>
      <c r="H1593" s="1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</row>
    <row r="1594" spans="1:32" x14ac:dyDescent="0.2">
      <c r="A1594" s="21" t="s">
        <v>3321</v>
      </c>
      <c r="B1594" s="21" t="s">
        <v>1410</v>
      </c>
      <c r="G1594" s="2"/>
      <c r="H1594" s="1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</row>
    <row r="1595" spans="1:32" x14ac:dyDescent="0.2">
      <c r="A1595" s="21" t="s">
        <v>3322</v>
      </c>
      <c r="B1595" s="21" t="s">
        <v>1411</v>
      </c>
      <c r="G1595" s="2"/>
      <c r="H1595" s="1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</row>
    <row r="1596" spans="1:32" x14ac:dyDescent="0.2">
      <c r="A1596" s="21" t="s">
        <v>3323</v>
      </c>
      <c r="B1596" s="21" t="s">
        <v>1412</v>
      </c>
      <c r="G1596" s="2"/>
      <c r="H1596" s="1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</row>
    <row r="1597" spans="1:32" x14ac:dyDescent="0.2">
      <c r="A1597" s="21" t="s">
        <v>3324</v>
      </c>
      <c r="B1597" s="21" t="s">
        <v>1413</v>
      </c>
      <c r="G1597" s="2"/>
      <c r="H1597" s="1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  <c r="X1597" s="1"/>
      <c r="Y1597" s="1"/>
      <c r="Z1597" s="1"/>
      <c r="AA1597" s="1"/>
      <c r="AB1597" s="1"/>
      <c r="AC1597" s="1"/>
      <c r="AD1597" s="1"/>
      <c r="AE1597" s="1"/>
      <c r="AF1597" s="1"/>
    </row>
    <row r="1598" spans="1:32" x14ac:dyDescent="0.2">
      <c r="A1598" s="21" t="s">
        <v>3325</v>
      </c>
      <c r="B1598" s="21" t="s">
        <v>1414</v>
      </c>
      <c r="G1598" s="2"/>
      <c r="H1598" s="1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</row>
    <row r="1599" spans="1:32" x14ac:dyDescent="0.2">
      <c r="A1599" s="21" t="s">
        <v>3326</v>
      </c>
      <c r="B1599" s="21" t="s">
        <v>1710</v>
      </c>
      <c r="G1599" s="2"/>
      <c r="H1599" s="1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</row>
    <row r="1600" spans="1:32" x14ac:dyDescent="0.2">
      <c r="A1600" s="21" t="s">
        <v>3327</v>
      </c>
      <c r="B1600" s="21" t="s">
        <v>1711</v>
      </c>
      <c r="G1600" s="2"/>
      <c r="H1600" s="1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</row>
    <row r="1601" spans="1:32" x14ac:dyDescent="0.2">
      <c r="A1601" s="21" t="s">
        <v>3328</v>
      </c>
      <c r="B1601" s="21" t="s">
        <v>1415</v>
      </c>
      <c r="G1601" s="2"/>
      <c r="H1601" s="1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</row>
    <row r="1602" spans="1:32" x14ac:dyDescent="0.2">
      <c r="A1602" s="21" t="s">
        <v>3329</v>
      </c>
      <c r="B1602" s="21" t="s">
        <v>1416</v>
      </c>
      <c r="G1602" s="2"/>
      <c r="H1602" s="1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</row>
    <row r="1603" spans="1:32" x14ac:dyDescent="0.2">
      <c r="A1603" s="21" t="s">
        <v>3330</v>
      </c>
      <c r="B1603" s="21" t="s">
        <v>1417</v>
      </c>
      <c r="G1603" s="2"/>
      <c r="H1603" s="1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</row>
    <row r="1604" spans="1:32" x14ac:dyDescent="0.2">
      <c r="A1604" s="21" t="s">
        <v>3331</v>
      </c>
      <c r="B1604" s="21" t="s">
        <v>1418</v>
      </c>
      <c r="G1604" s="2"/>
      <c r="H1604" s="1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</row>
    <row r="1605" spans="1:32" x14ac:dyDescent="0.2">
      <c r="A1605" s="21" t="s">
        <v>3332</v>
      </c>
      <c r="B1605" s="21" t="s">
        <v>1419</v>
      </c>
      <c r="G1605" s="2"/>
      <c r="H1605" s="1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</row>
    <row r="1606" spans="1:32" x14ac:dyDescent="0.2">
      <c r="A1606" s="21" t="s">
        <v>3333</v>
      </c>
      <c r="B1606" s="21" t="s">
        <v>1420</v>
      </c>
      <c r="G1606" s="2"/>
      <c r="H1606" s="1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</row>
    <row r="1607" spans="1:32" x14ac:dyDescent="0.2">
      <c r="A1607" s="21" t="s">
        <v>3334</v>
      </c>
      <c r="B1607" s="21" t="s">
        <v>1421</v>
      </c>
      <c r="G1607" s="2"/>
      <c r="H1607" s="1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</row>
    <row r="1608" spans="1:32" x14ac:dyDescent="0.2">
      <c r="A1608" s="21" t="s">
        <v>3335</v>
      </c>
      <c r="B1608" s="21" t="s">
        <v>1422</v>
      </c>
      <c r="G1608" s="2"/>
      <c r="H1608" s="1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</row>
    <row r="1609" spans="1:32" x14ac:dyDescent="0.2">
      <c r="A1609" s="21" t="s">
        <v>3336</v>
      </c>
      <c r="B1609" s="21" t="s">
        <v>1423</v>
      </c>
      <c r="G1609" s="2"/>
      <c r="H1609" s="1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</row>
    <row r="1610" spans="1:32" x14ac:dyDescent="0.2">
      <c r="A1610" s="21" t="s">
        <v>3337</v>
      </c>
      <c r="B1610" s="21" t="s">
        <v>1712</v>
      </c>
      <c r="G1610" s="2"/>
      <c r="H1610" s="1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</row>
    <row r="1611" spans="1:32" x14ac:dyDescent="0.2">
      <c r="A1611" s="21" t="s">
        <v>3338</v>
      </c>
      <c r="B1611" s="21" t="s">
        <v>1424</v>
      </c>
      <c r="G1611" s="2"/>
      <c r="H1611" s="1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</row>
    <row r="1612" spans="1:32" x14ac:dyDescent="0.2">
      <c r="A1612" s="21" t="s">
        <v>3339</v>
      </c>
      <c r="B1612" s="21" t="s">
        <v>1425</v>
      </c>
      <c r="G1612" s="2"/>
      <c r="H1612" s="1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</row>
    <row r="1613" spans="1:32" x14ac:dyDescent="0.2">
      <c r="A1613" s="21" t="s">
        <v>3340</v>
      </c>
      <c r="B1613" s="21" t="s">
        <v>1426</v>
      </c>
      <c r="G1613" s="2"/>
      <c r="H1613" s="1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</row>
    <row r="1614" spans="1:32" x14ac:dyDescent="0.2">
      <c r="A1614" s="21" t="s">
        <v>3341</v>
      </c>
      <c r="B1614" s="21" t="s">
        <v>1427</v>
      </c>
      <c r="G1614" s="2"/>
      <c r="H1614" s="1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</row>
    <row r="1615" spans="1:32" x14ac:dyDescent="0.2">
      <c r="A1615" s="21" t="s">
        <v>3342</v>
      </c>
      <c r="B1615" s="21" t="s">
        <v>1428</v>
      </c>
      <c r="G1615" s="2"/>
      <c r="H1615" s="1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</row>
    <row r="1616" spans="1:32" x14ac:dyDescent="0.2">
      <c r="A1616" s="21" t="s">
        <v>3343</v>
      </c>
      <c r="B1616" s="21" t="s">
        <v>1429</v>
      </c>
      <c r="G1616" s="2"/>
      <c r="H1616" s="1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</row>
    <row r="1617" spans="1:32" x14ac:dyDescent="0.2">
      <c r="A1617" s="21" t="s">
        <v>3344</v>
      </c>
      <c r="B1617" s="21" t="s">
        <v>1430</v>
      </c>
      <c r="G1617" s="2"/>
      <c r="H1617" s="1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</row>
    <row r="1618" spans="1:32" x14ac:dyDescent="0.2">
      <c r="A1618" s="21" t="s">
        <v>3345</v>
      </c>
      <c r="B1618" s="21" t="s">
        <v>1431</v>
      </c>
      <c r="G1618" s="2"/>
      <c r="H1618" s="1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</row>
    <row r="1619" spans="1:32" x14ac:dyDescent="0.2">
      <c r="A1619" s="21" t="s">
        <v>3346</v>
      </c>
      <c r="B1619" s="21" t="s">
        <v>1432</v>
      </c>
      <c r="G1619" s="2"/>
      <c r="H1619" s="1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</row>
    <row r="1620" spans="1:32" x14ac:dyDescent="0.2">
      <c r="A1620" s="21" t="s">
        <v>3347</v>
      </c>
      <c r="B1620" s="21" t="s">
        <v>1713</v>
      </c>
      <c r="G1620" s="2"/>
      <c r="H1620" s="1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</row>
    <row r="1621" spans="1:32" x14ac:dyDescent="0.2">
      <c r="A1621" s="21" t="s">
        <v>3348</v>
      </c>
      <c r="B1621" s="21" t="s">
        <v>1433</v>
      </c>
      <c r="G1621" s="2"/>
      <c r="H1621" s="1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</row>
    <row r="1622" spans="1:32" x14ac:dyDescent="0.2">
      <c r="A1622" s="21" t="s">
        <v>3349</v>
      </c>
      <c r="B1622" s="21" t="s">
        <v>1434</v>
      </c>
      <c r="G1622" s="2"/>
      <c r="H1622" s="1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</row>
    <row r="1623" spans="1:32" x14ac:dyDescent="0.2">
      <c r="A1623" s="21" t="s">
        <v>3350</v>
      </c>
      <c r="B1623" s="21" t="s">
        <v>1435</v>
      </c>
      <c r="G1623" s="2"/>
      <c r="H1623" s="1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</row>
    <row r="1624" spans="1:32" x14ac:dyDescent="0.2">
      <c r="A1624" s="21" t="s">
        <v>3351</v>
      </c>
      <c r="B1624" s="21" t="s">
        <v>1436</v>
      </c>
      <c r="G1624" s="2"/>
      <c r="H1624" s="1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</row>
    <row r="1625" spans="1:32" x14ac:dyDescent="0.2">
      <c r="A1625" s="21" t="s">
        <v>3352</v>
      </c>
      <c r="B1625" s="21" t="s">
        <v>1437</v>
      </c>
      <c r="G1625" s="2"/>
      <c r="H1625" s="1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</row>
    <row r="1626" spans="1:32" x14ac:dyDescent="0.2">
      <c r="A1626" s="21" t="s">
        <v>3353</v>
      </c>
      <c r="B1626" s="21" t="s">
        <v>1438</v>
      </c>
      <c r="G1626" s="2"/>
      <c r="H1626" s="1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</row>
    <row r="1627" spans="1:32" x14ac:dyDescent="0.2">
      <c r="A1627" s="21" t="s">
        <v>3354</v>
      </c>
      <c r="B1627" s="21" t="s">
        <v>1715</v>
      </c>
      <c r="G1627" s="2"/>
      <c r="H1627" s="1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</row>
    <row r="1628" spans="1:32" x14ac:dyDescent="0.2">
      <c r="A1628" s="21" t="s">
        <v>3355</v>
      </c>
      <c r="B1628" s="21" t="s">
        <v>1439</v>
      </c>
      <c r="G1628" s="2"/>
      <c r="H1628" s="1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</row>
    <row r="1629" spans="1:32" x14ac:dyDescent="0.2">
      <c r="A1629" s="21" t="s">
        <v>3356</v>
      </c>
      <c r="B1629" s="21" t="s">
        <v>1440</v>
      </c>
      <c r="G1629" s="2"/>
      <c r="H1629" s="1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</row>
    <row r="1630" spans="1:32" x14ac:dyDescent="0.2">
      <c r="A1630" s="21" t="s">
        <v>3357</v>
      </c>
      <c r="B1630" s="21" t="s">
        <v>1441</v>
      </c>
      <c r="G1630" s="2"/>
      <c r="H1630" s="1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</row>
    <row r="1631" spans="1:32" x14ac:dyDescent="0.2">
      <c r="A1631" s="21" t="s">
        <v>3358</v>
      </c>
      <c r="B1631" s="21" t="s">
        <v>1442</v>
      </c>
      <c r="G1631" s="2"/>
      <c r="H1631" s="1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</row>
    <row r="1632" spans="1:32" x14ac:dyDescent="0.2">
      <c r="A1632" s="21" t="s">
        <v>3359</v>
      </c>
      <c r="B1632" s="21" t="s">
        <v>1716</v>
      </c>
      <c r="G1632" s="2"/>
      <c r="H1632" s="1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</row>
    <row r="1633" spans="1:32" x14ac:dyDescent="0.2">
      <c r="A1633" s="21" t="s">
        <v>3360</v>
      </c>
      <c r="B1633" s="21" t="s">
        <v>1443</v>
      </c>
      <c r="G1633" s="2"/>
      <c r="H1633" s="1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</row>
    <row r="1634" spans="1:32" x14ac:dyDescent="0.2">
      <c r="A1634" s="21" t="s">
        <v>3361</v>
      </c>
      <c r="B1634" s="21" t="s">
        <v>1444</v>
      </c>
      <c r="G1634" s="2"/>
      <c r="H1634" s="1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</row>
    <row r="1635" spans="1:32" x14ac:dyDescent="0.2">
      <c r="A1635" s="21" t="s">
        <v>3362</v>
      </c>
      <c r="B1635" s="21" t="s">
        <v>1445</v>
      </c>
      <c r="G1635" s="2"/>
      <c r="H1635" s="1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</row>
    <row r="1636" spans="1:32" x14ac:dyDescent="0.2">
      <c r="A1636" s="21" t="s">
        <v>3363</v>
      </c>
      <c r="B1636" s="21" t="s">
        <v>1446</v>
      </c>
      <c r="G1636" s="2"/>
      <c r="H1636" s="1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</row>
    <row r="1637" spans="1:32" x14ac:dyDescent="0.2">
      <c r="A1637" s="21" t="s">
        <v>3364</v>
      </c>
      <c r="B1637" s="21" t="s">
        <v>1447</v>
      </c>
      <c r="G1637" s="2"/>
      <c r="H1637" s="1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</row>
    <row r="1638" spans="1:32" x14ac:dyDescent="0.2">
      <c r="A1638" s="21" t="s">
        <v>3365</v>
      </c>
      <c r="B1638" s="21" t="s">
        <v>1448</v>
      </c>
      <c r="G1638" s="2"/>
      <c r="H1638" s="1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</row>
    <row r="1639" spans="1:32" x14ac:dyDescent="0.2">
      <c r="A1639" s="21" t="s">
        <v>3366</v>
      </c>
      <c r="B1639" s="21" t="s">
        <v>1449</v>
      </c>
      <c r="G1639" s="2"/>
      <c r="H1639" s="1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</row>
    <row r="1640" spans="1:32" x14ac:dyDescent="0.2">
      <c r="A1640" s="21" t="s">
        <v>3367</v>
      </c>
      <c r="B1640" s="21" t="s">
        <v>1450</v>
      </c>
      <c r="G1640" s="2"/>
      <c r="H1640" s="1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/>
      <c r="Z1640" s="1"/>
      <c r="AA1640" s="1"/>
      <c r="AB1640" s="1"/>
      <c r="AC1640" s="1"/>
      <c r="AD1640" s="1"/>
      <c r="AE1640" s="1"/>
      <c r="AF1640" s="1"/>
    </row>
    <row r="1641" spans="1:32" x14ac:dyDescent="0.2">
      <c r="A1641" s="21" t="s">
        <v>3368</v>
      </c>
      <c r="B1641" s="21" t="s">
        <v>1717</v>
      </c>
      <c r="G1641" s="2"/>
      <c r="H1641" s="1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/>
      <c r="Z1641" s="1"/>
      <c r="AA1641" s="1"/>
      <c r="AB1641" s="1"/>
      <c r="AC1641" s="1"/>
      <c r="AD1641" s="1"/>
      <c r="AE1641" s="1"/>
      <c r="AF1641" s="1"/>
    </row>
    <row r="1642" spans="1:32" x14ac:dyDescent="0.2">
      <c r="A1642" s="21" t="s">
        <v>3369</v>
      </c>
      <c r="B1642" s="21" t="s">
        <v>1451</v>
      </c>
      <c r="G1642" s="2"/>
      <c r="H1642" s="1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/>
      <c r="Z1642" s="1"/>
      <c r="AA1642" s="1"/>
      <c r="AB1642" s="1"/>
      <c r="AC1642" s="1"/>
      <c r="AD1642" s="1"/>
      <c r="AE1642" s="1"/>
      <c r="AF1642" s="1"/>
    </row>
    <row r="1643" spans="1:32" x14ac:dyDescent="0.2">
      <c r="A1643" s="21" t="s">
        <v>3370</v>
      </c>
      <c r="B1643" s="21" t="s">
        <v>1452</v>
      </c>
      <c r="G1643" s="2"/>
      <c r="H1643" s="1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</row>
    <row r="1644" spans="1:32" x14ac:dyDescent="0.2">
      <c r="A1644" s="21" t="s">
        <v>3371</v>
      </c>
      <c r="B1644" s="21" t="s">
        <v>1453</v>
      </c>
      <c r="G1644" s="2"/>
      <c r="H1644" s="1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</row>
    <row r="1645" spans="1:32" x14ac:dyDescent="0.2">
      <c r="A1645" s="21" t="s">
        <v>3372</v>
      </c>
      <c r="B1645" s="21" t="s">
        <v>1454</v>
      </c>
      <c r="G1645" s="2"/>
      <c r="H1645" s="1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</row>
    <row r="1646" spans="1:32" x14ac:dyDescent="0.2">
      <c r="A1646" s="21" t="s">
        <v>3373</v>
      </c>
      <c r="B1646" s="21" t="s">
        <v>1455</v>
      </c>
      <c r="G1646" s="2"/>
      <c r="H1646" s="1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</row>
    <row r="1647" spans="1:32" x14ac:dyDescent="0.2">
      <c r="A1647" s="21" t="s">
        <v>3374</v>
      </c>
      <c r="B1647" s="21" t="s">
        <v>1456</v>
      </c>
      <c r="G1647" s="2"/>
      <c r="H1647" s="1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  <c r="X1647" s="1"/>
      <c r="Y1647" s="1"/>
      <c r="Z1647" s="1"/>
      <c r="AA1647" s="1"/>
      <c r="AB1647" s="1"/>
      <c r="AC1647" s="1"/>
      <c r="AD1647" s="1"/>
      <c r="AE1647" s="1"/>
      <c r="AF1647" s="1"/>
    </row>
    <row r="1648" spans="1:32" x14ac:dyDescent="0.2">
      <c r="A1648" s="21" t="s">
        <v>3375</v>
      </c>
      <c r="B1648" s="21" t="s">
        <v>1457</v>
      </c>
      <c r="G1648" s="2"/>
      <c r="H1648" s="1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</row>
    <row r="1649" spans="1:32" x14ac:dyDescent="0.2">
      <c r="A1649" s="21" t="s">
        <v>3376</v>
      </c>
      <c r="B1649" s="21" t="s">
        <v>1458</v>
      </c>
      <c r="G1649" s="2"/>
      <c r="H1649" s="1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  <c r="X1649" s="1"/>
      <c r="Y1649" s="1"/>
      <c r="Z1649" s="1"/>
      <c r="AA1649" s="1"/>
      <c r="AB1649" s="1"/>
      <c r="AC1649" s="1"/>
      <c r="AD1649" s="1"/>
      <c r="AE1649" s="1"/>
      <c r="AF1649" s="1"/>
    </row>
    <row r="1650" spans="1:32" x14ac:dyDescent="0.2">
      <c r="A1650" s="21" t="s">
        <v>3377</v>
      </c>
      <c r="B1650" s="21" t="s">
        <v>1459</v>
      </c>
      <c r="G1650" s="2"/>
      <c r="H1650" s="1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</row>
    <row r="1651" spans="1:32" x14ac:dyDescent="0.2">
      <c r="A1651" s="21" t="s">
        <v>3378</v>
      </c>
      <c r="B1651" s="21" t="s">
        <v>1460</v>
      </c>
      <c r="G1651" s="2"/>
      <c r="H1651" s="1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</row>
    <row r="1652" spans="1:32" x14ac:dyDescent="0.2">
      <c r="A1652" s="21" t="s">
        <v>3379</v>
      </c>
      <c r="B1652" s="21" t="s">
        <v>1461</v>
      </c>
      <c r="G1652" s="2"/>
      <c r="H1652" s="1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</row>
    <row r="1653" spans="1:32" x14ac:dyDescent="0.2">
      <c r="A1653" s="21" t="s">
        <v>3380</v>
      </c>
      <c r="B1653" s="21" t="s">
        <v>1462</v>
      </c>
      <c r="G1653" s="2"/>
      <c r="H1653" s="1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</row>
    <row r="1654" spans="1:32" x14ac:dyDescent="0.2">
      <c r="A1654" s="21" t="s">
        <v>3381</v>
      </c>
      <c r="B1654" s="21" t="s">
        <v>1463</v>
      </c>
      <c r="G1654" s="2"/>
      <c r="H1654" s="1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</row>
    <row r="1655" spans="1:32" x14ac:dyDescent="0.2">
      <c r="A1655" s="21" t="s">
        <v>3382</v>
      </c>
      <c r="B1655" s="21" t="s">
        <v>1464</v>
      </c>
      <c r="G1655" s="2"/>
      <c r="H1655" s="1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</row>
    <row r="1656" spans="1:32" x14ac:dyDescent="0.2">
      <c r="A1656" s="21" t="s">
        <v>3383</v>
      </c>
      <c r="B1656" s="21" t="s">
        <v>1465</v>
      </c>
      <c r="G1656" s="2"/>
      <c r="H1656" s="1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</row>
    <row r="1657" spans="1:32" x14ac:dyDescent="0.2">
      <c r="A1657" s="21" t="s">
        <v>3384</v>
      </c>
      <c r="B1657" s="21" t="s">
        <v>1466</v>
      </c>
      <c r="G1657" s="2"/>
      <c r="H1657" s="1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  <c r="X1657" s="1"/>
      <c r="Y1657" s="1"/>
      <c r="Z1657" s="1"/>
      <c r="AA1657" s="1"/>
      <c r="AB1657" s="1"/>
      <c r="AC1657" s="1"/>
      <c r="AD1657" s="1"/>
      <c r="AE1657" s="1"/>
      <c r="AF1657" s="1"/>
    </row>
    <row r="1658" spans="1:32" x14ac:dyDescent="0.2">
      <c r="A1658" s="21" t="s">
        <v>3385</v>
      </c>
      <c r="B1658" s="21" t="s">
        <v>1467</v>
      </c>
      <c r="G1658" s="2"/>
      <c r="H1658" s="1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</row>
    <row r="1659" spans="1:32" x14ac:dyDescent="0.2">
      <c r="A1659" s="21" t="s">
        <v>3386</v>
      </c>
      <c r="B1659" s="21" t="s">
        <v>1468</v>
      </c>
      <c r="G1659" s="2"/>
      <c r="H1659" s="1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</row>
    <row r="1660" spans="1:32" x14ac:dyDescent="0.2">
      <c r="A1660" s="21" t="s">
        <v>3387</v>
      </c>
      <c r="B1660" s="21" t="s">
        <v>1469</v>
      </c>
      <c r="G1660" s="2"/>
      <c r="H1660" s="1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</row>
    <row r="1661" spans="1:32" x14ac:dyDescent="0.2">
      <c r="A1661" s="21" t="s">
        <v>3388</v>
      </c>
      <c r="B1661" s="21" t="s">
        <v>1470</v>
      </c>
      <c r="G1661" s="2"/>
      <c r="H1661" s="1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  <c r="X1661" s="1"/>
      <c r="Y1661" s="1"/>
      <c r="Z1661" s="1"/>
      <c r="AA1661" s="1"/>
      <c r="AB1661" s="1"/>
      <c r="AC1661" s="1"/>
      <c r="AD1661" s="1"/>
      <c r="AE1661" s="1"/>
      <c r="AF1661" s="1"/>
    </row>
    <row r="1662" spans="1:32" x14ac:dyDescent="0.2">
      <c r="A1662" s="21" t="s">
        <v>3389</v>
      </c>
      <c r="B1662" s="21" t="s">
        <v>1471</v>
      </c>
      <c r="G1662" s="2"/>
      <c r="H1662" s="1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  <c r="AA1662" s="1"/>
      <c r="AB1662" s="1"/>
      <c r="AC1662" s="1"/>
      <c r="AD1662" s="1"/>
      <c r="AE1662" s="1"/>
      <c r="AF1662" s="1"/>
    </row>
    <row r="1663" spans="1:32" x14ac:dyDescent="0.2">
      <c r="A1663" s="21" t="s">
        <v>3390</v>
      </c>
      <c r="B1663" s="21" t="s">
        <v>1472</v>
      </c>
      <c r="G1663" s="2"/>
      <c r="H1663" s="1"/>
      <c r="I1663" s="1"/>
      <c r="J1663" s="1"/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  <c r="X1663" s="1"/>
      <c r="Y1663" s="1"/>
      <c r="Z1663" s="1"/>
      <c r="AA1663" s="1"/>
      <c r="AB1663" s="1"/>
      <c r="AC1663" s="1"/>
      <c r="AD1663" s="1"/>
      <c r="AE1663" s="1"/>
      <c r="AF1663" s="1"/>
    </row>
    <row r="1664" spans="1:32" x14ac:dyDescent="0.2">
      <c r="A1664" s="21" t="s">
        <v>3391</v>
      </c>
      <c r="B1664" s="21" t="s">
        <v>1473</v>
      </c>
      <c r="G1664" s="2"/>
      <c r="H1664" s="1"/>
      <c r="I1664" s="1"/>
      <c r="J1664" s="1"/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  <c r="X1664" s="1"/>
      <c r="Y1664" s="1"/>
      <c r="Z1664" s="1"/>
      <c r="AA1664" s="1"/>
      <c r="AB1664" s="1"/>
      <c r="AC1664" s="1"/>
      <c r="AD1664" s="1"/>
      <c r="AE1664" s="1"/>
      <c r="AF1664" s="1"/>
    </row>
    <row r="1665" spans="1:32" x14ac:dyDescent="0.2">
      <c r="A1665" s="21" t="s">
        <v>3392</v>
      </c>
      <c r="B1665" s="21" t="s">
        <v>1474</v>
      </c>
      <c r="G1665" s="2"/>
      <c r="H1665" s="1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  <c r="AA1665" s="1"/>
      <c r="AB1665" s="1"/>
      <c r="AC1665" s="1"/>
      <c r="AD1665" s="1"/>
      <c r="AE1665" s="1"/>
      <c r="AF1665" s="1"/>
    </row>
    <row r="1666" spans="1:32" x14ac:dyDescent="0.2">
      <c r="A1666" s="21" t="s">
        <v>3393</v>
      </c>
      <c r="B1666" s="21" t="s">
        <v>1475</v>
      </c>
      <c r="G1666" s="2"/>
      <c r="H1666" s="1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  <c r="AA1666" s="1"/>
      <c r="AB1666" s="1"/>
      <c r="AC1666" s="1"/>
      <c r="AD1666" s="1"/>
      <c r="AE1666" s="1"/>
      <c r="AF1666" s="1"/>
    </row>
    <row r="1667" spans="1:32" x14ac:dyDescent="0.2">
      <c r="A1667" s="21" t="s">
        <v>3394</v>
      </c>
      <c r="B1667" s="21" t="s">
        <v>1476</v>
      </c>
      <c r="G1667" s="2"/>
      <c r="H1667" s="1"/>
      <c r="I1667" s="1"/>
      <c r="J1667" s="1"/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  <c r="X1667" s="1"/>
      <c r="Y1667" s="1"/>
      <c r="Z1667" s="1"/>
      <c r="AA1667" s="1"/>
      <c r="AB1667" s="1"/>
      <c r="AC1667" s="1"/>
      <c r="AD1667" s="1"/>
      <c r="AE1667" s="1"/>
      <c r="AF1667" s="1"/>
    </row>
    <row r="1668" spans="1:32" x14ac:dyDescent="0.2">
      <c r="A1668" s="21" t="s">
        <v>3395</v>
      </c>
      <c r="B1668" s="21" t="s">
        <v>1477</v>
      </c>
      <c r="G1668" s="2"/>
      <c r="H1668" s="1"/>
      <c r="I1668" s="1"/>
      <c r="J1668" s="1"/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  <c r="X1668" s="1"/>
      <c r="Y1668" s="1"/>
      <c r="Z1668" s="1"/>
      <c r="AA1668" s="1"/>
      <c r="AB1668" s="1"/>
      <c r="AC1668" s="1"/>
      <c r="AD1668" s="1"/>
      <c r="AE1668" s="1"/>
      <c r="AF1668" s="1"/>
    </row>
    <row r="1669" spans="1:32" x14ac:dyDescent="0.2">
      <c r="A1669" s="21" t="s">
        <v>3396</v>
      </c>
      <c r="B1669" s="21" t="s">
        <v>1478</v>
      </c>
      <c r="G1669" s="2"/>
      <c r="H1669" s="1"/>
      <c r="I1669" s="1"/>
      <c r="J1669" s="1"/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  <c r="X1669" s="1"/>
      <c r="Y1669" s="1"/>
      <c r="Z1669" s="1"/>
      <c r="AA1669" s="1"/>
      <c r="AB1669" s="1"/>
      <c r="AC1669" s="1"/>
      <c r="AD1669" s="1"/>
      <c r="AE1669" s="1"/>
      <c r="AF1669" s="1"/>
    </row>
    <row r="1670" spans="1:32" x14ac:dyDescent="0.2">
      <c r="A1670" s="21" t="s">
        <v>3397</v>
      </c>
      <c r="B1670" s="21" t="s">
        <v>1479</v>
      </c>
      <c r="G1670" s="2"/>
      <c r="H1670" s="1"/>
      <c r="I1670" s="1"/>
      <c r="J1670" s="1"/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  <c r="X1670" s="1"/>
      <c r="Y1670" s="1"/>
      <c r="Z1670" s="1"/>
      <c r="AA1670" s="1"/>
      <c r="AB1670" s="1"/>
      <c r="AC1670" s="1"/>
      <c r="AD1670" s="1"/>
      <c r="AE1670" s="1"/>
      <c r="AF1670" s="1"/>
    </row>
    <row r="1671" spans="1:32" x14ac:dyDescent="0.2">
      <c r="A1671" s="21" t="s">
        <v>3398</v>
      </c>
      <c r="B1671" s="21" t="s">
        <v>1480</v>
      </c>
      <c r="G1671" s="2"/>
      <c r="H1671" s="1"/>
      <c r="I1671" s="1"/>
      <c r="J1671" s="1"/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  <c r="X1671" s="1"/>
      <c r="Y1671" s="1"/>
      <c r="Z1671" s="1"/>
      <c r="AA1671" s="1"/>
      <c r="AB1671" s="1"/>
      <c r="AC1671" s="1"/>
      <c r="AD1671" s="1"/>
      <c r="AE1671" s="1"/>
      <c r="AF1671" s="1"/>
    </row>
    <row r="1672" spans="1:32" x14ac:dyDescent="0.2">
      <c r="A1672" s="21" t="s">
        <v>3399</v>
      </c>
      <c r="B1672" s="21" t="s">
        <v>1481</v>
      </c>
      <c r="G1672" s="2"/>
      <c r="H1672" s="1"/>
      <c r="I1672" s="1"/>
      <c r="J1672" s="1"/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  <c r="X1672" s="1"/>
      <c r="Y1672" s="1"/>
      <c r="Z1672" s="1"/>
      <c r="AA1672" s="1"/>
      <c r="AB1672" s="1"/>
      <c r="AC1672" s="1"/>
      <c r="AD1672" s="1"/>
      <c r="AE1672" s="1"/>
      <c r="AF1672" s="1"/>
    </row>
    <row r="1673" spans="1:32" x14ac:dyDescent="0.2">
      <c r="A1673" s="21" t="s">
        <v>3400</v>
      </c>
      <c r="B1673" s="21" t="s">
        <v>1482</v>
      </c>
      <c r="G1673" s="2"/>
      <c r="H1673" s="1"/>
      <c r="I1673" s="1"/>
      <c r="J1673" s="1"/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  <c r="X1673" s="1"/>
      <c r="Y1673" s="1"/>
      <c r="Z1673" s="1"/>
      <c r="AA1673" s="1"/>
      <c r="AB1673" s="1"/>
      <c r="AC1673" s="1"/>
      <c r="AD1673" s="1"/>
      <c r="AE1673" s="1"/>
      <c r="AF1673" s="1"/>
    </row>
    <row r="1674" spans="1:32" x14ac:dyDescent="0.2">
      <c r="A1674" s="21" t="s">
        <v>3401</v>
      </c>
      <c r="B1674" s="21" t="s">
        <v>1483</v>
      </c>
      <c r="G1674" s="2"/>
      <c r="H1674" s="1"/>
      <c r="I1674" s="1"/>
      <c r="J1674" s="1"/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  <c r="X1674" s="1"/>
      <c r="Y1674" s="1"/>
      <c r="Z1674" s="1"/>
      <c r="AA1674" s="1"/>
      <c r="AB1674" s="1"/>
      <c r="AC1674" s="1"/>
      <c r="AD1674" s="1"/>
      <c r="AE1674" s="1"/>
      <c r="AF1674" s="1"/>
    </row>
    <row r="1675" spans="1:32" x14ac:dyDescent="0.2">
      <c r="A1675" s="21" t="s">
        <v>3402</v>
      </c>
      <c r="B1675" s="21" t="s">
        <v>1484</v>
      </c>
      <c r="G1675" s="2"/>
      <c r="H1675" s="1"/>
      <c r="I1675" s="1"/>
      <c r="J1675" s="1"/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  <c r="X1675" s="1"/>
      <c r="Y1675" s="1"/>
      <c r="Z1675" s="1"/>
      <c r="AA1675" s="1"/>
      <c r="AB1675" s="1"/>
      <c r="AC1675" s="1"/>
      <c r="AD1675" s="1"/>
      <c r="AE1675" s="1"/>
      <c r="AF1675" s="1"/>
    </row>
    <row r="1676" spans="1:32" x14ac:dyDescent="0.2">
      <c r="A1676" s="21" t="s">
        <v>3403</v>
      </c>
      <c r="B1676" s="21" t="s">
        <v>1485</v>
      </c>
      <c r="G1676" s="2"/>
      <c r="H1676" s="1"/>
      <c r="I1676" s="1"/>
      <c r="J1676" s="1"/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  <c r="X1676" s="1"/>
      <c r="Y1676" s="1"/>
      <c r="Z1676" s="1"/>
      <c r="AA1676" s="1"/>
      <c r="AB1676" s="1"/>
      <c r="AC1676" s="1"/>
      <c r="AD1676" s="1"/>
      <c r="AE1676" s="1"/>
      <c r="AF1676" s="1"/>
    </row>
    <row r="1677" spans="1:32" x14ac:dyDescent="0.2">
      <c r="A1677" s="21" t="s">
        <v>3404</v>
      </c>
      <c r="B1677" s="21" t="s">
        <v>1486</v>
      </c>
      <c r="G1677" s="2"/>
      <c r="H1677" s="1"/>
      <c r="I1677" s="1"/>
      <c r="J1677" s="1"/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  <c r="X1677" s="1"/>
      <c r="Y1677" s="1"/>
      <c r="Z1677" s="1"/>
      <c r="AA1677" s="1"/>
      <c r="AB1677" s="1"/>
      <c r="AC1677" s="1"/>
      <c r="AD1677" s="1"/>
      <c r="AE1677" s="1"/>
      <c r="AF1677" s="1"/>
    </row>
    <row r="1678" spans="1:32" x14ac:dyDescent="0.2">
      <c r="A1678" s="21" t="s">
        <v>3405</v>
      </c>
      <c r="B1678" s="21" t="s">
        <v>1487</v>
      </c>
      <c r="G1678" s="2"/>
      <c r="H1678" s="1"/>
      <c r="I1678" s="1"/>
      <c r="J1678" s="1"/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  <c r="X1678" s="1"/>
      <c r="Y1678" s="1"/>
      <c r="Z1678" s="1"/>
      <c r="AA1678" s="1"/>
      <c r="AB1678" s="1"/>
      <c r="AC1678" s="1"/>
      <c r="AD1678" s="1"/>
      <c r="AE1678" s="1"/>
      <c r="AF1678" s="1"/>
    </row>
    <row r="1679" spans="1:32" x14ac:dyDescent="0.2">
      <c r="A1679" s="21" t="s">
        <v>3406</v>
      </c>
      <c r="B1679" s="21" t="s">
        <v>1488</v>
      </c>
      <c r="G1679" s="2"/>
      <c r="H1679" s="1"/>
      <c r="I1679" s="1"/>
      <c r="J1679" s="1"/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  <c r="X1679" s="1"/>
      <c r="Y1679" s="1"/>
      <c r="Z1679" s="1"/>
      <c r="AA1679" s="1"/>
      <c r="AB1679" s="1"/>
      <c r="AC1679" s="1"/>
      <c r="AD1679" s="1"/>
      <c r="AE1679" s="1"/>
      <c r="AF1679" s="1"/>
    </row>
    <row r="1680" spans="1:32" x14ac:dyDescent="0.2">
      <c r="A1680" s="21" t="s">
        <v>3407</v>
      </c>
      <c r="B1680" s="21" t="s">
        <v>1724</v>
      </c>
      <c r="G1680" s="2"/>
      <c r="H1680" s="1"/>
      <c r="I1680" s="1"/>
      <c r="J1680" s="1"/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  <c r="X1680" s="1"/>
      <c r="Y1680" s="1"/>
      <c r="Z1680" s="1"/>
      <c r="AA1680" s="1"/>
      <c r="AB1680" s="1"/>
      <c r="AC1680" s="1"/>
      <c r="AD1680" s="1"/>
      <c r="AE1680" s="1"/>
      <c r="AF1680" s="1"/>
    </row>
    <row r="1681" spans="1:32" x14ac:dyDescent="0.2">
      <c r="A1681" s="21" t="s">
        <v>3408</v>
      </c>
      <c r="B1681" s="21" t="s">
        <v>1489</v>
      </c>
      <c r="G1681" s="2"/>
      <c r="H1681" s="1"/>
      <c r="I1681" s="1"/>
      <c r="J1681" s="1"/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  <c r="X1681" s="1"/>
      <c r="Y1681" s="1"/>
      <c r="Z1681" s="1"/>
      <c r="AA1681" s="1"/>
      <c r="AB1681" s="1"/>
      <c r="AC1681" s="1"/>
      <c r="AD1681" s="1"/>
      <c r="AE1681" s="1"/>
      <c r="AF1681" s="1"/>
    </row>
    <row r="1682" spans="1:32" x14ac:dyDescent="0.2">
      <c r="A1682" s="21" t="s">
        <v>3409</v>
      </c>
      <c r="B1682" s="21" t="s">
        <v>1490</v>
      </c>
      <c r="G1682" s="2"/>
      <c r="H1682" s="1"/>
      <c r="I1682" s="1"/>
      <c r="J1682" s="1"/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  <c r="X1682" s="1"/>
      <c r="Y1682" s="1"/>
      <c r="Z1682" s="1"/>
      <c r="AA1682" s="1"/>
      <c r="AB1682" s="1"/>
      <c r="AC1682" s="1"/>
      <c r="AD1682" s="1"/>
      <c r="AE1682" s="1"/>
      <c r="AF1682" s="1"/>
    </row>
    <row r="1683" spans="1:32" x14ac:dyDescent="0.2">
      <c r="A1683" s="21" t="s">
        <v>3410</v>
      </c>
      <c r="B1683" s="21" t="s">
        <v>1491</v>
      </c>
      <c r="G1683" s="2"/>
      <c r="H1683" s="1"/>
      <c r="I1683" s="1"/>
      <c r="J1683" s="1"/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  <c r="X1683" s="1"/>
      <c r="Y1683" s="1"/>
      <c r="Z1683" s="1"/>
      <c r="AA1683" s="1"/>
      <c r="AB1683" s="1"/>
      <c r="AC1683" s="1"/>
      <c r="AD1683" s="1"/>
      <c r="AE1683" s="1"/>
      <c r="AF1683" s="1"/>
    </row>
    <row r="1684" spans="1:32" x14ac:dyDescent="0.2">
      <c r="A1684" s="21" t="s">
        <v>3411</v>
      </c>
      <c r="B1684" s="21" t="s">
        <v>1492</v>
      </c>
      <c r="G1684" s="2"/>
      <c r="H1684" s="1"/>
      <c r="I1684" s="1"/>
      <c r="J1684" s="1"/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  <c r="X1684" s="1"/>
      <c r="Y1684" s="1"/>
      <c r="Z1684" s="1"/>
      <c r="AA1684" s="1"/>
      <c r="AB1684" s="1"/>
      <c r="AC1684" s="1"/>
      <c r="AD1684" s="1"/>
      <c r="AE1684" s="1"/>
      <c r="AF1684" s="1"/>
    </row>
    <row r="1685" spans="1:32" x14ac:dyDescent="0.2">
      <c r="A1685" s="21" t="s">
        <v>3412</v>
      </c>
      <c r="B1685" s="21" t="s">
        <v>1493</v>
      </c>
      <c r="G1685" s="2"/>
      <c r="H1685" s="1"/>
      <c r="I1685" s="1"/>
      <c r="J1685" s="1"/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  <c r="X1685" s="1"/>
      <c r="Y1685" s="1"/>
      <c r="Z1685" s="1"/>
      <c r="AA1685" s="1"/>
      <c r="AB1685" s="1"/>
      <c r="AC1685" s="1"/>
      <c r="AD1685" s="1"/>
      <c r="AE1685" s="1"/>
      <c r="AF1685" s="1"/>
    </row>
    <row r="1686" spans="1:32" x14ac:dyDescent="0.2">
      <c r="A1686" s="21" t="s">
        <v>3413</v>
      </c>
      <c r="B1686" s="21" t="s">
        <v>1494</v>
      </c>
      <c r="G1686" s="2"/>
      <c r="H1686" s="1"/>
      <c r="I1686" s="1"/>
      <c r="J1686" s="1"/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  <c r="X1686" s="1"/>
      <c r="Y1686" s="1"/>
      <c r="Z1686" s="1"/>
      <c r="AA1686" s="1"/>
      <c r="AB1686" s="1"/>
      <c r="AC1686" s="1"/>
      <c r="AD1686" s="1"/>
      <c r="AE1686" s="1"/>
      <c r="AF1686" s="1"/>
    </row>
    <row r="1687" spans="1:32" x14ac:dyDescent="0.2">
      <c r="A1687" s="21" t="s">
        <v>3414</v>
      </c>
      <c r="B1687" s="21" t="s">
        <v>1725</v>
      </c>
      <c r="G1687" s="2"/>
      <c r="H1687" s="1"/>
      <c r="I1687" s="1"/>
      <c r="J1687" s="1"/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  <c r="X1687" s="1"/>
      <c r="Y1687" s="1"/>
      <c r="Z1687" s="1"/>
      <c r="AA1687" s="1"/>
      <c r="AB1687" s="1"/>
      <c r="AC1687" s="1"/>
      <c r="AD1687" s="1"/>
      <c r="AE1687" s="1"/>
      <c r="AF1687" s="1"/>
    </row>
    <row r="1688" spans="1:32" x14ac:dyDescent="0.2">
      <c r="A1688" s="21" t="s">
        <v>3415</v>
      </c>
      <c r="B1688" s="21" t="s">
        <v>1495</v>
      </c>
      <c r="G1688" s="2"/>
      <c r="H1688" s="1"/>
      <c r="I1688" s="1"/>
      <c r="J1688" s="1"/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  <c r="X1688" s="1"/>
      <c r="Y1688" s="1"/>
      <c r="Z1688" s="1"/>
      <c r="AA1688" s="1"/>
      <c r="AB1688" s="1"/>
      <c r="AC1688" s="1"/>
      <c r="AD1688" s="1"/>
      <c r="AE1688" s="1"/>
      <c r="AF1688" s="1"/>
    </row>
    <row r="1689" spans="1:32" x14ac:dyDescent="0.2">
      <c r="A1689" s="21" t="s">
        <v>3416</v>
      </c>
      <c r="B1689" s="21" t="s">
        <v>1496</v>
      </c>
      <c r="G1689" s="2"/>
      <c r="H1689" s="1"/>
      <c r="I1689" s="1"/>
      <c r="J1689" s="1"/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  <c r="X1689" s="1"/>
      <c r="Y1689" s="1"/>
      <c r="Z1689" s="1"/>
      <c r="AA1689" s="1"/>
      <c r="AB1689" s="1"/>
      <c r="AC1689" s="1"/>
      <c r="AD1689" s="1"/>
      <c r="AE1689" s="1"/>
      <c r="AF1689" s="1"/>
    </row>
    <row r="1690" spans="1:32" x14ac:dyDescent="0.2">
      <c r="A1690" s="21" t="s">
        <v>3417</v>
      </c>
      <c r="B1690" s="21" t="s">
        <v>1497</v>
      </c>
      <c r="G1690" s="2"/>
      <c r="H1690" s="1"/>
      <c r="I1690" s="1"/>
      <c r="J1690" s="1"/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</row>
    <row r="1691" spans="1:32" x14ac:dyDescent="0.2">
      <c r="A1691" s="21" t="s">
        <v>3418</v>
      </c>
      <c r="B1691" s="21" t="s">
        <v>1498</v>
      </c>
      <c r="G1691" s="2"/>
      <c r="H1691" s="1"/>
      <c r="I1691" s="1"/>
      <c r="J1691" s="1"/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  <c r="X1691" s="1"/>
      <c r="Y1691" s="1"/>
      <c r="Z1691" s="1"/>
      <c r="AA1691" s="1"/>
      <c r="AB1691" s="1"/>
      <c r="AC1691" s="1"/>
      <c r="AD1691" s="1"/>
      <c r="AE1691" s="1"/>
      <c r="AF1691" s="1"/>
    </row>
    <row r="1692" spans="1:32" x14ac:dyDescent="0.2">
      <c r="A1692" s="21" t="s">
        <v>3419</v>
      </c>
      <c r="B1692" s="21" t="s">
        <v>1499</v>
      </c>
      <c r="G1692" s="2"/>
      <c r="H1692" s="1"/>
      <c r="I1692" s="1"/>
      <c r="J1692" s="1"/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  <c r="X1692" s="1"/>
      <c r="Y1692" s="1"/>
      <c r="Z1692" s="1"/>
      <c r="AA1692" s="1"/>
      <c r="AB1692" s="1"/>
      <c r="AC1692" s="1"/>
      <c r="AD1692" s="1"/>
      <c r="AE1692" s="1"/>
      <c r="AF1692" s="1"/>
    </row>
    <row r="1693" spans="1:32" x14ac:dyDescent="0.2">
      <c r="A1693" s="21" t="s">
        <v>3420</v>
      </c>
      <c r="B1693" s="21" t="s">
        <v>1701</v>
      </c>
      <c r="G1693" s="2"/>
      <c r="H1693" s="1"/>
      <c r="I1693" s="1"/>
      <c r="J1693" s="1"/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  <c r="AA1693" s="1"/>
      <c r="AB1693" s="1"/>
      <c r="AC1693" s="1"/>
      <c r="AD1693" s="1"/>
      <c r="AE1693" s="1"/>
      <c r="AF1693" s="1"/>
    </row>
    <row r="1694" spans="1:32" x14ac:dyDescent="0.2">
      <c r="A1694" s="21" t="s">
        <v>3421</v>
      </c>
      <c r="B1694" s="21" t="s">
        <v>1500</v>
      </c>
      <c r="G1694" s="2"/>
      <c r="H1694" s="1"/>
      <c r="I1694" s="1"/>
      <c r="J1694" s="1"/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  <c r="AA1694" s="1"/>
      <c r="AB1694" s="1"/>
      <c r="AC1694" s="1"/>
      <c r="AD1694" s="1"/>
      <c r="AE1694" s="1"/>
      <c r="AF1694" s="1"/>
    </row>
    <row r="1695" spans="1:32" x14ac:dyDescent="0.2">
      <c r="A1695" s="21" t="s">
        <v>3422</v>
      </c>
      <c r="B1695" s="21" t="s">
        <v>1501</v>
      </c>
      <c r="G1695" s="2"/>
      <c r="H1695" s="1"/>
      <c r="I1695" s="1"/>
      <c r="J1695" s="1"/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</row>
    <row r="1696" spans="1:32" x14ac:dyDescent="0.2">
      <c r="A1696" s="21" t="s">
        <v>3423</v>
      </c>
      <c r="B1696" s="21" t="s">
        <v>1502</v>
      </c>
      <c r="G1696" s="2"/>
      <c r="H1696" s="1"/>
      <c r="I1696" s="1"/>
      <c r="J1696" s="1"/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  <c r="AA1696" s="1"/>
      <c r="AB1696" s="1"/>
      <c r="AC1696" s="1"/>
      <c r="AD1696" s="1"/>
      <c r="AE1696" s="1"/>
      <c r="AF1696" s="1"/>
    </row>
    <row r="1697" spans="1:32" x14ac:dyDescent="0.2">
      <c r="A1697" s="21" t="s">
        <v>3424</v>
      </c>
      <c r="B1697" s="21" t="s">
        <v>1503</v>
      </c>
      <c r="G1697" s="2"/>
      <c r="H1697" s="1"/>
      <c r="I1697" s="1"/>
      <c r="J1697" s="1"/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  <c r="AA1697" s="1"/>
      <c r="AB1697" s="1"/>
      <c r="AC1697" s="1"/>
      <c r="AD1697" s="1"/>
      <c r="AE1697" s="1"/>
      <c r="AF1697" s="1"/>
    </row>
    <row r="1698" spans="1:32" x14ac:dyDescent="0.2">
      <c r="A1698" s="21" t="s">
        <v>3425</v>
      </c>
      <c r="B1698" s="21" t="s">
        <v>1504</v>
      </c>
      <c r="G1698" s="2"/>
      <c r="H1698" s="1"/>
      <c r="I1698" s="1"/>
      <c r="J1698" s="1"/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  <c r="X1698" s="1"/>
      <c r="Y1698" s="1"/>
      <c r="Z1698" s="1"/>
      <c r="AA1698" s="1"/>
      <c r="AB1698" s="1"/>
      <c r="AC1698" s="1"/>
      <c r="AD1698" s="1"/>
      <c r="AE1698" s="1"/>
      <c r="AF1698" s="1"/>
    </row>
    <row r="1699" spans="1:32" x14ac:dyDescent="0.2">
      <c r="A1699" s="21" t="s">
        <v>3426</v>
      </c>
      <c r="B1699" s="21" t="s">
        <v>1505</v>
      </c>
      <c r="G1699" s="2"/>
      <c r="H1699" s="1"/>
      <c r="I1699" s="1"/>
      <c r="J1699" s="1"/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  <c r="X1699" s="1"/>
      <c r="Y1699" s="1"/>
      <c r="Z1699" s="1"/>
      <c r="AA1699" s="1"/>
      <c r="AB1699" s="1"/>
      <c r="AC1699" s="1"/>
      <c r="AD1699" s="1"/>
      <c r="AE1699" s="1"/>
      <c r="AF1699" s="1"/>
    </row>
    <row r="1700" spans="1:32" x14ac:dyDescent="0.2">
      <c r="A1700" s="21" t="s">
        <v>3427</v>
      </c>
      <c r="B1700" s="21" t="s">
        <v>1506</v>
      </c>
      <c r="G1700" s="2"/>
      <c r="H1700" s="1"/>
      <c r="I1700" s="1"/>
      <c r="J1700" s="1"/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  <c r="X1700" s="1"/>
      <c r="Y1700" s="1"/>
      <c r="Z1700" s="1"/>
      <c r="AA1700" s="1"/>
      <c r="AB1700" s="1"/>
      <c r="AC1700" s="1"/>
      <c r="AD1700" s="1"/>
      <c r="AE1700" s="1"/>
      <c r="AF1700" s="1"/>
    </row>
    <row r="1701" spans="1:32" x14ac:dyDescent="0.2">
      <c r="A1701" s="21" t="s">
        <v>3428</v>
      </c>
      <c r="B1701" s="21" t="s">
        <v>1507</v>
      </c>
      <c r="G1701" s="2"/>
      <c r="H1701" s="1"/>
      <c r="I1701" s="1"/>
      <c r="J1701" s="1"/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  <c r="X1701" s="1"/>
      <c r="Y1701" s="1"/>
      <c r="Z1701" s="1"/>
      <c r="AA1701" s="1"/>
      <c r="AB1701" s="1"/>
      <c r="AC1701" s="1"/>
      <c r="AD1701" s="1"/>
      <c r="AE1701" s="1"/>
      <c r="AF1701" s="1"/>
    </row>
    <row r="1702" spans="1:32" x14ac:dyDescent="0.2">
      <c r="A1702" s="21" t="s">
        <v>3429</v>
      </c>
      <c r="B1702" s="21" t="s">
        <v>1508</v>
      </c>
      <c r="G1702" s="2"/>
      <c r="H1702" s="1"/>
      <c r="I1702" s="1"/>
      <c r="J1702" s="1"/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  <c r="X1702" s="1"/>
      <c r="Y1702" s="1"/>
      <c r="Z1702" s="1"/>
      <c r="AA1702" s="1"/>
      <c r="AB1702" s="1"/>
      <c r="AC1702" s="1"/>
      <c r="AD1702" s="1"/>
      <c r="AE1702" s="1"/>
      <c r="AF1702" s="1"/>
    </row>
    <row r="1703" spans="1:32" x14ac:dyDescent="0.2">
      <c r="A1703" s="21" t="s">
        <v>3430</v>
      </c>
      <c r="B1703" s="21" t="s">
        <v>1509</v>
      </c>
      <c r="G1703" s="2"/>
      <c r="H1703" s="1"/>
      <c r="I1703" s="1"/>
      <c r="J1703" s="1"/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  <c r="X1703" s="1"/>
      <c r="Y1703" s="1"/>
      <c r="Z1703" s="1"/>
      <c r="AA1703" s="1"/>
      <c r="AB1703" s="1"/>
      <c r="AC1703" s="1"/>
      <c r="AD1703" s="1"/>
      <c r="AE1703" s="1"/>
      <c r="AF1703" s="1"/>
    </row>
    <row r="1704" spans="1:32" x14ac:dyDescent="0.2">
      <c r="A1704" s="21" t="s">
        <v>3431</v>
      </c>
      <c r="B1704" s="21" t="s">
        <v>1510</v>
      </c>
      <c r="G1704" s="2"/>
      <c r="H1704" s="1"/>
      <c r="I1704" s="1"/>
      <c r="J1704" s="1"/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/>
      <c r="Z1704" s="1"/>
      <c r="AA1704" s="1"/>
      <c r="AB1704" s="1"/>
      <c r="AC1704" s="1"/>
      <c r="AD1704" s="1"/>
      <c r="AE1704" s="1"/>
      <c r="AF1704" s="1"/>
    </row>
    <row r="1705" spans="1:32" x14ac:dyDescent="0.2">
      <c r="A1705" s="21" t="s">
        <v>3432</v>
      </c>
      <c r="B1705" s="21" t="s">
        <v>1727</v>
      </c>
      <c r="G1705" s="2"/>
      <c r="H1705" s="1"/>
      <c r="I1705" s="1"/>
      <c r="J1705" s="1"/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/>
      <c r="Z1705" s="1"/>
      <c r="AA1705" s="1"/>
      <c r="AB1705" s="1"/>
      <c r="AC1705" s="1"/>
      <c r="AD1705" s="1"/>
      <c r="AE1705" s="1"/>
      <c r="AF1705" s="1"/>
    </row>
    <row r="1706" spans="1:32" x14ac:dyDescent="0.2">
      <c r="A1706" s="21" t="s">
        <v>3433</v>
      </c>
      <c r="B1706" s="21" t="s">
        <v>1511</v>
      </c>
      <c r="G1706" s="2"/>
      <c r="H1706" s="1"/>
      <c r="I1706" s="1"/>
      <c r="J1706" s="1"/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  <c r="AD1706" s="1"/>
      <c r="AE1706" s="1"/>
      <c r="AF1706" s="1"/>
    </row>
    <row r="1707" spans="1:32" x14ac:dyDescent="0.2">
      <c r="A1707" s="21" t="s">
        <v>3434</v>
      </c>
      <c r="B1707" s="21" t="s">
        <v>1512</v>
      </c>
      <c r="G1707" s="2"/>
      <c r="H1707" s="1"/>
      <c r="I1707" s="1"/>
      <c r="J1707" s="1"/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/>
      <c r="Z1707" s="1"/>
      <c r="AA1707" s="1"/>
      <c r="AB1707" s="1"/>
      <c r="AC1707" s="1"/>
      <c r="AD1707" s="1"/>
      <c r="AE1707" s="1"/>
      <c r="AF1707" s="1"/>
    </row>
    <row r="1708" spans="1:32" x14ac:dyDescent="0.2">
      <c r="A1708" s="21" t="s">
        <v>3435</v>
      </c>
      <c r="B1708" s="21" t="s">
        <v>1728</v>
      </c>
      <c r="G1708" s="2"/>
      <c r="H1708" s="1"/>
      <c r="I1708" s="1"/>
      <c r="J1708" s="1"/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/>
      <c r="Z1708" s="1"/>
      <c r="AA1708" s="1"/>
      <c r="AB1708" s="1"/>
      <c r="AC1708" s="1"/>
      <c r="AD1708" s="1"/>
      <c r="AE1708" s="1"/>
      <c r="AF1708" s="1"/>
    </row>
    <row r="1709" spans="1:32" x14ac:dyDescent="0.2">
      <c r="A1709" s="21" t="s">
        <v>3436</v>
      </c>
      <c r="B1709" s="21" t="s">
        <v>1513</v>
      </c>
      <c r="G1709" s="2"/>
      <c r="H1709" s="1"/>
      <c r="I1709" s="1"/>
      <c r="J1709" s="1"/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/>
      <c r="Z1709" s="1"/>
      <c r="AA1709" s="1"/>
      <c r="AB1709" s="1"/>
      <c r="AC1709" s="1"/>
      <c r="AD1709" s="1"/>
      <c r="AE1709" s="1"/>
      <c r="AF1709" s="1"/>
    </row>
    <row r="1710" spans="1:32" x14ac:dyDescent="0.2">
      <c r="A1710" s="21" t="s">
        <v>3437</v>
      </c>
      <c r="B1710" s="21" t="s">
        <v>1564</v>
      </c>
      <c r="G1710" s="2"/>
      <c r="H1710" s="1"/>
      <c r="I1710" s="1"/>
      <c r="J1710" s="1"/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/>
      <c r="Z1710" s="1"/>
      <c r="AA1710" s="1"/>
      <c r="AB1710" s="1"/>
      <c r="AC1710" s="1"/>
      <c r="AD1710" s="1"/>
      <c r="AE1710" s="1"/>
      <c r="AF1710" s="1"/>
    </row>
    <row r="1711" spans="1:32" x14ac:dyDescent="0.2">
      <c r="A1711" s="21" t="s">
        <v>3438</v>
      </c>
      <c r="B1711" s="21" t="s">
        <v>1667</v>
      </c>
      <c r="G1711" s="2"/>
      <c r="H1711" s="1"/>
      <c r="I1711" s="1"/>
      <c r="J1711" s="1"/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/>
      <c r="Z1711" s="1"/>
      <c r="AA1711" s="1"/>
      <c r="AB1711" s="1"/>
      <c r="AC1711" s="1"/>
      <c r="AD1711" s="1"/>
      <c r="AE1711" s="1"/>
      <c r="AF1711" s="1"/>
    </row>
    <row r="1712" spans="1:32" x14ac:dyDescent="0.2">
      <c r="A1712" s="21" t="s">
        <v>3439</v>
      </c>
      <c r="B1712" s="21" t="s">
        <v>1514</v>
      </c>
      <c r="G1712" s="2"/>
      <c r="H1712" s="1"/>
      <c r="I1712" s="1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/>
      <c r="Z1712" s="1"/>
      <c r="AA1712" s="1"/>
      <c r="AB1712" s="1"/>
      <c r="AC1712" s="1"/>
      <c r="AD1712" s="1"/>
      <c r="AE1712" s="1"/>
      <c r="AF1712" s="1"/>
    </row>
    <row r="1713" spans="1:32" x14ac:dyDescent="0.2">
      <c r="A1713" s="21" t="s">
        <v>3440</v>
      </c>
      <c r="B1713" s="21" t="s">
        <v>1515</v>
      </c>
      <c r="G1713" s="2"/>
      <c r="H1713" s="1"/>
      <c r="I1713" s="1"/>
      <c r="J1713" s="1"/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/>
      <c r="Z1713" s="1"/>
      <c r="AA1713" s="1"/>
      <c r="AB1713" s="1"/>
      <c r="AC1713" s="1"/>
      <c r="AD1713" s="1"/>
      <c r="AE1713" s="1"/>
      <c r="AF1713" s="1"/>
    </row>
    <row r="1714" spans="1:32" x14ac:dyDescent="0.2">
      <c r="A1714" s="21" t="s">
        <v>3441</v>
      </c>
      <c r="B1714" s="21" t="s">
        <v>1516</v>
      </c>
      <c r="G1714" s="2"/>
      <c r="H1714" s="1"/>
      <c r="I1714" s="1"/>
      <c r="J1714" s="1"/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/>
      <c r="Z1714" s="1"/>
      <c r="AA1714" s="1"/>
      <c r="AB1714" s="1"/>
      <c r="AC1714" s="1"/>
      <c r="AD1714" s="1"/>
      <c r="AE1714" s="1"/>
      <c r="AF1714" s="1"/>
    </row>
    <row r="1715" spans="1:32" x14ac:dyDescent="0.2">
      <c r="A1715" s="21" t="s">
        <v>3442</v>
      </c>
      <c r="B1715" s="21" t="s">
        <v>1517</v>
      </c>
      <c r="G1715" s="2"/>
      <c r="H1715" s="1"/>
      <c r="I1715" s="1"/>
      <c r="J1715" s="1"/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/>
      <c r="Z1715" s="1"/>
      <c r="AA1715" s="1"/>
      <c r="AB1715" s="1"/>
      <c r="AC1715" s="1"/>
      <c r="AD1715" s="1"/>
      <c r="AE1715" s="1"/>
      <c r="AF1715" s="1"/>
    </row>
    <row r="1716" spans="1:32" x14ac:dyDescent="0.2">
      <c r="E1716" s="21"/>
      <c r="G1716" s="2"/>
      <c r="H1716" s="1"/>
      <c r="I1716" s="1"/>
      <c r="J1716" s="1"/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/>
      <c r="Z1716" s="1"/>
      <c r="AA1716" s="1"/>
      <c r="AB1716" s="1"/>
      <c r="AC1716" s="1"/>
      <c r="AD1716" s="1"/>
      <c r="AE1716" s="1"/>
      <c r="AF1716" s="1"/>
    </row>
    <row r="1717" spans="1:32" x14ac:dyDescent="0.2">
      <c r="G1717" s="2"/>
      <c r="H1717" s="1"/>
      <c r="I1717" s="1"/>
      <c r="J1717" s="1"/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/>
      <c r="Z1717" s="1"/>
      <c r="AA1717" s="1"/>
      <c r="AB1717" s="1"/>
      <c r="AC1717" s="1"/>
      <c r="AD1717" s="1"/>
      <c r="AE1717" s="1"/>
      <c r="AF1717" s="1"/>
    </row>
    <row r="1718" spans="1:32" x14ac:dyDescent="0.2">
      <c r="G1718" s="2"/>
      <c r="H1718" s="1"/>
      <c r="I1718" s="1"/>
      <c r="J1718" s="1"/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/>
      <c r="Z1718" s="1"/>
      <c r="AA1718" s="1"/>
      <c r="AB1718" s="1"/>
      <c r="AC1718" s="1"/>
      <c r="AD1718" s="1"/>
      <c r="AE1718" s="1"/>
      <c r="AF1718" s="1"/>
    </row>
    <row r="1719" spans="1:32" x14ac:dyDescent="0.2">
      <c r="G1719" s="2"/>
      <c r="H1719" s="1"/>
      <c r="I1719" s="1"/>
      <c r="J1719" s="1"/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/>
      <c r="Z1719" s="1"/>
      <c r="AA1719" s="1"/>
      <c r="AB1719" s="1"/>
      <c r="AC1719" s="1"/>
      <c r="AD1719" s="1"/>
      <c r="AE1719" s="1"/>
      <c r="AF1719" s="1"/>
    </row>
    <row r="1720" spans="1:32" x14ac:dyDescent="0.2">
      <c r="G1720" s="2"/>
      <c r="H1720" s="1"/>
      <c r="I1720" s="1"/>
      <c r="J1720" s="1"/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/>
      <c r="Z1720" s="1"/>
      <c r="AA1720" s="1"/>
      <c r="AB1720" s="1"/>
      <c r="AC1720" s="1"/>
      <c r="AD1720" s="1"/>
      <c r="AE1720" s="1"/>
      <c r="AF1720" s="1"/>
    </row>
    <row r="1721" spans="1:32" x14ac:dyDescent="0.2">
      <c r="G1721" s="2"/>
      <c r="H1721" s="1"/>
      <c r="I1721" s="1"/>
      <c r="J1721" s="1"/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/>
      <c r="Z1721" s="1"/>
      <c r="AA1721" s="1"/>
      <c r="AB1721" s="1"/>
      <c r="AC1721" s="1"/>
      <c r="AD1721" s="1"/>
      <c r="AE1721" s="1"/>
      <c r="AF1721" s="1"/>
    </row>
    <row r="1722" spans="1:32" x14ac:dyDescent="0.2">
      <c r="G1722" s="2"/>
      <c r="H1722" s="1"/>
      <c r="I1722" s="1"/>
      <c r="J1722" s="1"/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/>
      <c r="Z1722" s="1"/>
      <c r="AA1722" s="1"/>
      <c r="AB1722" s="1"/>
      <c r="AC1722" s="1"/>
      <c r="AD1722" s="1"/>
      <c r="AE1722" s="1"/>
      <c r="AF1722" s="1"/>
    </row>
    <row r="1723" spans="1:32" x14ac:dyDescent="0.2">
      <c r="G1723" s="2"/>
      <c r="H1723" s="1"/>
      <c r="I1723" s="1"/>
      <c r="J1723" s="1"/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/>
      <c r="Z1723" s="1"/>
      <c r="AA1723" s="1"/>
      <c r="AB1723" s="1"/>
      <c r="AC1723" s="1"/>
      <c r="AD1723" s="1"/>
      <c r="AE1723" s="1"/>
      <c r="AF1723" s="1"/>
    </row>
    <row r="1724" spans="1:32" x14ac:dyDescent="0.2">
      <c r="G1724" s="2"/>
      <c r="H1724" s="1"/>
      <c r="I1724" s="1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  <c r="AA1724" s="1"/>
      <c r="AB1724" s="1"/>
      <c r="AC1724" s="1"/>
      <c r="AD1724" s="1"/>
      <c r="AE1724" s="1"/>
      <c r="AF1724" s="1"/>
    </row>
    <row r="1725" spans="1:32" x14ac:dyDescent="0.2">
      <c r="G1725" s="2"/>
      <c r="H1725" s="1"/>
      <c r="I1725" s="1"/>
      <c r="J1725" s="1"/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/>
      <c r="Z1725" s="1"/>
      <c r="AA1725" s="1"/>
      <c r="AB1725" s="1"/>
      <c r="AC1725" s="1"/>
      <c r="AD1725" s="1"/>
      <c r="AE1725" s="1"/>
      <c r="AF1725" s="1"/>
    </row>
    <row r="1726" spans="1:32" x14ac:dyDescent="0.2">
      <c r="G1726" s="2"/>
      <c r="H1726" s="1"/>
      <c r="I1726" s="1"/>
      <c r="J1726" s="1"/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/>
      <c r="Z1726" s="1"/>
      <c r="AA1726" s="1"/>
      <c r="AB1726" s="1"/>
      <c r="AC1726" s="1"/>
      <c r="AD1726" s="1"/>
      <c r="AE1726" s="1"/>
      <c r="AF1726" s="1"/>
    </row>
    <row r="1727" spans="1:32" x14ac:dyDescent="0.2">
      <c r="G1727" s="2"/>
      <c r="H1727" s="1"/>
      <c r="I1727" s="1"/>
      <c r="J1727" s="1"/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/>
      <c r="Z1727" s="1"/>
      <c r="AA1727" s="1"/>
      <c r="AB1727" s="1"/>
      <c r="AC1727" s="1"/>
      <c r="AD1727" s="1"/>
      <c r="AE1727" s="1"/>
      <c r="AF1727" s="1"/>
    </row>
    <row r="1728" spans="1:32" x14ac:dyDescent="0.2">
      <c r="G1728" s="2"/>
      <c r="H1728" s="1"/>
      <c r="I1728" s="1"/>
      <c r="J1728" s="1"/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/>
      <c r="Z1728" s="1"/>
      <c r="AA1728" s="1"/>
      <c r="AB1728" s="1"/>
      <c r="AC1728" s="1"/>
      <c r="AD1728" s="1"/>
      <c r="AE1728" s="1"/>
      <c r="AF1728" s="1"/>
    </row>
    <row r="1729" spans="7:32" x14ac:dyDescent="0.2">
      <c r="G1729" s="2"/>
      <c r="H1729" s="1"/>
      <c r="I1729" s="1"/>
      <c r="J1729" s="1"/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/>
      <c r="Z1729" s="1"/>
      <c r="AA1729" s="1"/>
      <c r="AB1729" s="1"/>
      <c r="AC1729" s="1"/>
      <c r="AD1729" s="1"/>
      <c r="AE1729" s="1"/>
      <c r="AF1729" s="1"/>
    </row>
    <row r="1730" spans="7:32" x14ac:dyDescent="0.2">
      <c r="G1730" s="2"/>
      <c r="H1730" s="1"/>
      <c r="I1730" s="1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  <c r="AA1730" s="1"/>
      <c r="AB1730" s="1"/>
      <c r="AC1730" s="1"/>
      <c r="AD1730" s="1"/>
      <c r="AE1730" s="1"/>
      <c r="AF1730" s="1"/>
    </row>
    <row r="1731" spans="7:32" x14ac:dyDescent="0.2">
      <c r="G1731" s="2"/>
      <c r="H1731" s="1"/>
      <c r="I1731" s="1"/>
      <c r="J1731" s="1"/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/>
      <c r="Z1731" s="1"/>
      <c r="AA1731" s="1"/>
      <c r="AB1731" s="1"/>
      <c r="AC1731" s="1"/>
      <c r="AD1731" s="1"/>
      <c r="AE1731" s="1"/>
      <c r="AF1731" s="1"/>
    </row>
    <row r="1732" spans="7:32" x14ac:dyDescent="0.2">
      <c r="G1732" s="2"/>
      <c r="H1732" s="1"/>
      <c r="I1732" s="1"/>
      <c r="J1732" s="1"/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/>
      <c r="Z1732" s="1"/>
      <c r="AA1732" s="1"/>
      <c r="AB1732" s="1"/>
      <c r="AC1732" s="1"/>
      <c r="AD1732" s="1"/>
      <c r="AE1732" s="1"/>
      <c r="AF1732" s="1"/>
    </row>
    <row r="1733" spans="7:32" x14ac:dyDescent="0.2">
      <c r="G1733" s="2"/>
      <c r="H1733" s="1"/>
      <c r="I1733" s="1"/>
      <c r="J1733" s="1"/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/>
      <c r="Z1733" s="1"/>
      <c r="AA1733" s="1"/>
      <c r="AB1733" s="1"/>
      <c r="AC1733" s="1"/>
      <c r="AD1733" s="1"/>
      <c r="AE1733" s="1"/>
      <c r="AF1733" s="1"/>
    </row>
    <row r="1734" spans="7:32" x14ac:dyDescent="0.2">
      <c r="G1734" s="2"/>
      <c r="H1734" s="1"/>
      <c r="I1734" s="1"/>
      <c r="J1734" s="1"/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/>
      <c r="Z1734" s="1"/>
      <c r="AA1734" s="1"/>
      <c r="AB1734" s="1"/>
      <c r="AC1734" s="1"/>
      <c r="AD1734" s="1"/>
      <c r="AE1734" s="1"/>
      <c r="AF1734" s="1"/>
    </row>
    <row r="1735" spans="7:32" x14ac:dyDescent="0.2">
      <c r="G1735" s="2"/>
      <c r="H1735" s="1"/>
      <c r="I1735" s="1"/>
      <c r="J1735" s="1"/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/>
      <c r="Z1735" s="1"/>
      <c r="AA1735" s="1"/>
      <c r="AB1735" s="1"/>
      <c r="AC1735" s="1"/>
      <c r="AD1735" s="1"/>
      <c r="AE1735" s="1"/>
      <c r="AF1735" s="1"/>
    </row>
    <row r="1736" spans="7:32" x14ac:dyDescent="0.2">
      <c r="G1736" s="2"/>
      <c r="H1736" s="1"/>
      <c r="I1736" s="1"/>
      <c r="J1736" s="1"/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/>
      <c r="Z1736" s="1"/>
      <c r="AA1736" s="1"/>
      <c r="AB1736" s="1"/>
      <c r="AC1736" s="1"/>
      <c r="AD1736" s="1"/>
      <c r="AE1736" s="1"/>
      <c r="AF1736" s="1"/>
    </row>
    <row r="1737" spans="7:32" x14ac:dyDescent="0.2">
      <c r="G1737" s="2"/>
      <c r="H1737" s="1"/>
      <c r="I1737" s="1"/>
      <c r="J1737" s="1"/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/>
      <c r="Z1737" s="1"/>
      <c r="AA1737" s="1"/>
      <c r="AB1737" s="1"/>
      <c r="AC1737" s="1"/>
      <c r="AD1737" s="1"/>
      <c r="AE1737" s="1"/>
      <c r="AF1737" s="1"/>
    </row>
    <row r="1738" spans="7:32" x14ac:dyDescent="0.2">
      <c r="G1738" s="2"/>
      <c r="H1738" s="1"/>
      <c r="I1738" s="1"/>
      <c r="J1738" s="1"/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/>
      <c r="Z1738" s="1"/>
      <c r="AA1738" s="1"/>
      <c r="AB1738" s="1"/>
      <c r="AC1738" s="1"/>
      <c r="AD1738" s="1"/>
      <c r="AE1738" s="1"/>
      <c r="AF1738" s="1"/>
    </row>
    <row r="1739" spans="7:32" x14ac:dyDescent="0.2">
      <c r="G1739" s="2"/>
      <c r="H1739" s="1"/>
      <c r="I1739" s="1"/>
      <c r="J1739" s="1"/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/>
      <c r="Z1739" s="1"/>
      <c r="AA1739" s="1"/>
      <c r="AB1739" s="1"/>
      <c r="AC1739" s="1"/>
      <c r="AD1739" s="1"/>
      <c r="AE1739" s="1"/>
      <c r="AF1739" s="1"/>
    </row>
    <row r="1740" spans="7:32" x14ac:dyDescent="0.2">
      <c r="G1740" s="2"/>
      <c r="H1740" s="1"/>
      <c r="I1740" s="1"/>
      <c r="J1740" s="1"/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/>
      <c r="Z1740" s="1"/>
      <c r="AA1740" s="1"/>
      <c r="AB1740" s="1"/>
      <c r="AC1740" s="1"/>
      <c r="AD1740" s="1"/>
      <c r="AE1740" s="1"/>
      <c r="AF1740" s="1"/>
    </row>
    <row r="1741" spans="7:32" x14ac:dyDescent="0.2">
      <c r="G1741" s="2"/>
      <c r="H1741" s="1"/>
      <c r="I1741" s="1"/>
      <c r="J1741" s="1"/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/>
      <c r="Z1741" s="1"/>
      <c r="AA1741" s="1"/>
      <c r="AB1741" s="1"/>
      <c r="AC1741" s="1"/>
      <c r="AD1741" s="1"/>
      <c r="AE1741" s="1"/>
      <c r="AF1741" s="1"/>
    </row>
    <row r="1742" spans="7:32" x14ac:dyDescent="0.2">
      <c r="G1742" s="2"/>
      <c r="H1742" s="1"/>
      <c r="I1742" s="1"/>
      <c r="J1742" s="1"/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/>
      <c r="Z1742" s="1"/>
      <c r="AA1742" s="1"/>
      <c r="AB1742" s="1"/>
      <c r="AC1742" s="1"/>
      <c r="AD1742" s="1"/>
      <c r="AE1742" s="1"/>
      <c r="AF1742" s="1"/>
    </row>
    <row r="1743" spans="7:32" x14ac:dyDescent="0.2">
      <c r="G1743" s="2"/>
      <c r="H1743" s="1"/>
      <c r="I1743" s="1"/>
      <c r="J1743" s="1"/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/>
      <c r="Z1743" s="1"/>
      <c r="AA1743" s="1"/>
      <c r="AB1743" s="1"/>
      <c r="AC1743" s="1"/>
      <c r="AD1743" s="1"/>
      <c r="AE1743" s="1"/>
      <c r="AF1743" s="1"/>
    </row>
    <row r="1744" spans="7:32" x14ac:dyDescent="0.2">
      <c r="G1744" s="2"/>
      <c r="H1744" s="1"/>
      <c r="I1744" s="1"/>
      <c r="J1744" s="1"/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  <c r="AA1744" s="1"/>
      <c r="AB1744" s="1"/>
      <c r="AC1744" s="1"/>
      <c r="AD1744" s="1"/>
      <c r="AE1744" s="1"/>
      <c r="AF1744" s="1"/>
    </row>
    <row r="1745" spans="7:32" x14ac:dyDescent="0.2">
      <c r="G1745" s="2"/>
      <c r="H1745" s="1"/>
      <c r="I1745" s="1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  <c r="AA1745" s="1"/>
      <c r="AB1745" s="1"/>
      <c r="AC1745" s="1"/>
      <c r="AD1745" s="1"/>
      <c r="AE1745" s="1"/>
      <c r="AF1745" s="1"/>
    </row>
    <row r="1746" spans="7:32" x14ac:dyDescent="0.2">
      <c r="G1746" s="2"/>
      <c r="H1746" s="1"/>
      <c r="I1746" s="1"/>
      <c r="J1746" s="1"/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/>
      <c r="Z1746" s="1"/>
      <c r="AA1746" s="1"/>
      <c r="AB1746" s="1"/>
      <c r="AC1746" s="1"/>
      <c r="AD1746" s="1"/>
      <c r="AE1746" s="1"/>
      <c r="AF1746" s="1"/>
    </row>
    <row r="1747" spans="7:32" x14ac:dyDescent="0.2">
      <c r="G1747" s="2"/>
      <c r="H1747" s="1"/>
      <c r="I1747" s="1"/>
      <c r="J1747" s="1"/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  <c r="AA1747" s="1"/>
      <c r="AB1747" s="1"/>
      <c r="AC1747" s="1"/>
      <c r="AD1747" s="1"/>
      <c r="AE1747" s="1"/>
      <c r="AF1747" s="1"/>
    </row>
    <row r="1748" spans="7:32" x14ac:dyDescent="0.2">
      <c r="G1748" s="2"/>
      <c r="H1748" s="1"/>
      <c r="I1748" s="1"/>
      <c r="J1748" s="1"/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  <c r="AA1748" s="1"/>
      <c r="AB1748" s="1"/>
      <c r="AC1748" s="1"/>
      <c r="AD1748" s="1"/>
      <c r="AE1748" s="1"/>
      <c r="AF1748" s="1"/>
    </row>
    <row r="1749" spans="7:32" x14ac:dyDescent="0.2">
      <c r="G1749" s="2"/>
      <c r="H1749" s="1"/>
      <c r="I1749" s="1"/>
      <c r="J1749" s="1"/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</row>
    <row r="1750" spans="7:32" x14ac:dyDescent="0.2">
      <c r="G1750" s="2"/>
      <c r="H1750" s="1"/>
      <c r="I1750" s="1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  <c r="AA1750" s="1"/>
      <c r="AB1750" s="1"/>
      <c r="AC1750" s="1"/>
      <c r="AD1750" s="1"/>
      <c r="AE1750" s="1"/>
      <c r="AF1750" s="1"/>
    </row>
    <row r="1751" spans="7:32" x14ac:dyDescent="0.2">
      <c r="G1751" s="2"/>
      <c r="H1751" s="1"/>
      <c r="I1751" s="1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  <c r="AA1751" s="1"/>
      <c r="AB1751" s="1"/>
      <c r="AC1751" s="1"/>
      <c r="AD1751" s="1"/>
      <c r="AE1751" s="1"/>
      <c r="AF1751" s="1"/>
    </row>
    <row r="1752" spans="7:32" x14ac:dyDescent="0.2">
      <c r="G1752" s="2"/>
      <c r="H1752" s="1"/>
      <c r="I1752" s="1"/>
      <c r="J1752" s="1"/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  <c r="AA1752" s="1"/>
      <c r="AB1752" s="1"/>
      <c r="AC1752" s="1"/>
      <c r="AD1752" s="1"/>
      <c r="AE1752" s="1"/>
      <c r="AF1752" s="1"/>
    </row>
    <row r="1753" spans="7:32" x14ac:dyDescent="0.2">
      <c r="G1753" s="2"/>
      <c r="H1753" s="1"/>
      <c r="I1753" s="1"/>
      <c r="J1753" s="1"/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  <c r="AA1753" s="1"/>
      <c r="AB1753" s="1"/>
      <c r="AC1753" s="1"/>
      <c r="AD1753" s="1"/>
      <c r="AE1753" s="1"/>
      <c r="AF1753" s="1"/>
    </row>
    <row r="1754" spans="7:32" x14ac:dyDescent="0.2">
      <c r="G1754" s="2"/>
      <c r="H1754" s="1"/>
      <c r="I1754" s="1"/>
      <c r="J1754" s="1"/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  <c r="AA1754" s="1"/>
      <c r="AB1754" s="1"/>
      <c r="AC1754" s="1"/>
      <c r="AD1754" s="1"/>
      <c r="AE1754" s="1"/>
      <c r="AF1754" s="1"/>
    </row>
    <row r="1755" spans="7:32" x14ac:dyDescent="0.2">
      <c r="G1755" s="2"/>
      <c r="H1755" s="1"/>
      <c r="I1755" s="1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  <c r="AA1755" s="1"/>
      <c r="AB1755" s="1"/>
      <c r="AC1755" s="1"/>
      <c r="AD1755" s="1"/>
      <c r="AE1755" s="1"/>
      <c r="AF1755" s="1"/>
    </row>
    <row r="1756" spans="7:32" x14ac:dyDescent="0.2">
      <c r="G1756" s="2"/>
      <c r="H1756" s="1"/>
      <c r="I1756" s="1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  <c r="AA1756" s="1"/>
      <c r="AB1756" s="1"/>
      <c r="AC1756" s="1"/>
      <c r="AD1756" s="1"/>
      <c r="AE1756" s="1"/>
      <c r="AF1756" s="1"/>
    </row>
    <row r="1757" spans="7:32" x14ac:dyDescent="0.2">
      <c r="G1757" s="2"/>
      <c r="H1757" s="1"/>
      <c r="I1757" s="1"/>
      <c r="J1757" s="1"/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  <c r="AA1757" s="1"/>
      <c r="AB1757" s="1"/>
      <c r="AC1757" s="1"/>
      <c r="AD1757" s="1"/>
      <c r="AE1757" s="1"/>
      <c r="AF1757" s="1"/>
    </row>
    <row r="1758" spans="7:32" x14ac:dyDescent="0.2">
      <c r="G1758" s="2"/>
      <c r="H1758" s="1"/>
      <c r="I1758" s="1"/>
      <c r="J1758" s="1"/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  <c r="AA1758" s="1"/>
      <c r="AB1758" s="1"/>
      <c r="AC1758" s="1"/>
      <c r="AD1758" s="1"/>
      <c r="AE1758" s="1"/>
      <c r="AF1758" s="1"/>
    </row>
    <row r="1759" spans="7:32" x14ac:dyDescent="0.2">
      <c r="G1759" s="2"/>
      <c r="H1759" s="1"/>
      <c r="I1759" s="1"/>
      <c r="J1759" s="1"/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  <c r="AA1759" s="1"/>
      <c r="AB1759" s="1"/>
      <c r="AC1759" s="1"/>
      <c r="AD1759" s="1"/>
      <c r="AE1759" s="1"/>
      <c r="AF1759" s="1"/>
    </row>
    <row r="1760" spans="7:32" x14ac:dyDescent="0.2">
      <c r="G1760" s="2"/>
      <c r="H1760" s="1"/>
      <c r="I1760" s="1"/>
      <c r="J1760" s="1"/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  <c r="AA1760" s="1"/>
      <c r="AB1760" s="1"/>
      <c r="AC1760" s="1"/>
      <c r="AD1760" s="1"/>
      <c r="AE1760" s="1"/>
      <c r="AF1760" s="1"/>
    </row>
    <row r="1761" spans="7:32" x14ac:dyDescent="0.2">
      <c r="G1761" s="2"/>
      <c r="H1761" s="1"/>
      <c r="I1761" s="1"/>
      <c r="J1761" s="1"/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  <c r="AA1761" s="1"/>
      <c r="AB1761" s="1"/>
      <c r="AC1761" s="1"/>
      <c r="AD1761" s="1"/>
      <c r="AE1761" s="1"/>
      <c r="AF1761" s="1"/>
    </row>
    <row r="1762" spans="7:32" x14ac:dyDescent="0.2">
      <c r="G1762" s="2"/>
      <c r="H1762" s="1"/>
      <c r="I1762" s="1"/>
      <c r="J1762" s="1"/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  <c r="AA1762" s="1"/>
      <c r="AB1762" s="1"/>
      <c r="AC1762" s="1"/>
      <c r="AD1762" s="1"/>
      <c r="AE1762" s="1"/>
      <c r="AF1762" s="1"/>
    </row>
    <row r="1763" spans="7:32" x14ac:dyDescent="0.2">
      <c r="G1763" s="2"/>
      <c r="H1763" s="1"/>
      <c r="I1763" s="1"/>
      <c r="J1763" s="1"/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  <c r="AD1763" s="1"/>
      <c r="AE1763" s="1"/>
      <c r="AF1763" s="1"/>
    </row>
    <row r="1764" spans="7:32" x14ac:dyDescent="0.2">
      <c r="G1764" s="2"/>
      <c r="H1764" s="1"/>
      <c r="I1764" s="1"/>
      <c r="J1764" s="1"/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  <c r="AA1764" s="1"/>
      <c r="AB1764" s="1"/>
      <c r="AC1764" s="1"/>
      <c r="AD1764" s="1"/>
      <c r="AE1764" s="1"/>
      <c r="AF1764" s="1"/>
    </row>
    <row r="1765" spans="7:32" x14ac:dyDescent="0.2">
      <c r="G1765" s="2"/>
      <c r="H1765" s="1"/>
      <c r="I1765" s="1"/>
      <c r="J1765" s="1"/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  <c r="AA1765" s="1"/>
      <c r="AB1765" s="1"/>
      <c r="AC1765" s="1"/>
      <c r="AD1765" s="1"/>
      <c r="AE1765" s="1"/>
      <c r="AF1765" s="1"/>
    </row>
    <row r="1766" spans="7:32" x14ac:dyDescent="0.2">
      <c r="G1766" s="2"/>
      <c r="H1766" s="1"/>
      <c r="I1766" s="1"/>
      <c r="J1766" s="1"/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  <c r="AA1766" s="1"/>
      <c r="AB1766" s="1"/>
      <c r="AC1766" s="1"/>
      <c r="AD1766" s="1"/>
      <c r="AE1766" s="1"/>
      <c r="AF1766" s="1"/>
    </row>
    <row r="1767" spans="7:32" x14ac:dyDescent="0.2">
      <c r="G1767" s="2"/>
      <c r="H1767" s="1"/>
      <c r="I1767" s="1"/>
      <c r="J1767" s="1"/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  <c r="AA1767" s="1"/>
      <c r="AB1767" s="1"/>
      <c r="AC1767" s="1"/>
      <c r="AD1767" s="1"/>
      <c r="AE1767" s="1"/>
      <c r="AF1767" s="1"/>
    </row>
    <row r="1768" spans="7:32" x14ac:dyDescent="0.2">
      <c r="G1768" s="2"/>
      <c r="H1768" s="1"/>
      <c r="I1768" s="1"/>
      <c r="J1768" s="1"/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</row>
    <row r="1769" spans="7:32" x14ac:dyDescent="0.2">
      <c r="G1769" s="2"/>
      <c r="H1769" s="1"/>
      <c r="I1769" s="1"/>
      <c r="J1769" s="1"/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  <c r="AA1769" s="1"/>
      <c r="AB1769" s="1"/>
      <c r="AC1769" s="1"/>
      <c r="AD1769" s="1"/>
      <c r="AE1769" s="1"/>
      <c r="AF1769" s="1"/>
    </row>
    <row r="1770" spans="7:32" x14ac:dyDescent="0.2">
      <c r="G1770" s="2"/>
      <c r="H1770" s="1"/>
      <c r="I1770" s="1"/>
      <c r="J1770" s="1"/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/>
      <c r="AA1770" s="1"/>
      <c r="AB1770" s="1"/>
      <c r="AC1770" s="1"/>
      <c r="AD1770" s="1"/>
      <c r="AE1770" s="1"/>
      <c r="AF1770" s="1"/>
    </row>
    <row r="1771" spans="7:32" x14ac:dyDescent="0.2">
      <c r="G1771" s="2"/>
      <c r="H1771" s="1"/>
      <c r="I1771" s="1"/>
      <c r="J1771" s="1"/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/>
      <c r="AA1771" s="1"/>
      <c r="AB1771" s="1"/>
      <c r="AC1771" s="1"/>
      <c r="AD1771" s="1"/>
      <c r="AE1771" s="1"/>
      <c r="AF1771" s="1"/>
    </row>
    <row r="1772" spans="7:32" x14ac:dyDescent="0.2">
      <c r="G1772" s="2"/>
      <c r="H1772" s="1"/>
      <c r="I1772" s="1"/>
      <c r="J1772" s="1"/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  <c r="AA1772" s="1"/>
      <c r="AB1772" s="1"/>
      <c r="AC1772" s="1"/>
      <c r="AD1772" s="1"/>
      <c r="AE1772" s="1"/>
      <c r="AF1772" s="1"/>
    </row>
    <row r="1773" spans="7:32" x14ac:dyDescent="0.2">
      <c r="G1773" s="2"/>
      <c r="H1773" s="1"/>
      <c r="I1773" s="1"/>
      <c r="J1773" s="1"/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  <c r="AA1773" s="1"/>
      <c r="AB1773" s="1"/>
      <c r="AC1773" s="1"/>
      <c r="AD1773" s="1"/>
      <c r="AE1773" s="1"/>
      <c r="AF1773" s="1"/>
    </row>
    <row r="1774" spans="7:32" x14ac:dyDescent="0.2">
      <c r="G1774" s="2"/>
      <c r="H1774" s="1"/>
      <c r="I1774" s="1"/>
      <c r="J1774" s="1"/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  <c r="AA1774" s="1"/>
      <c r="AB1774" s="1"/>
      <c r="AC1774" s="1"/>
      <c r="AD1774" s="1"/>
      <c r="AE1774" s="1"/>
      <c r="AF1774" s="1"/>
    </row>
    <row r="1775" spans="7:32" x14ac:dyDescent="0.2">
      <c r="G1775" s="2"/>
      <c r="H1775" s="1"/>
      <c r="I1775" s="1"/>
      <c r="J1775" s="1"/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  <c r="AA1775" s="1"/>
      <c r="AB1775" s="1"/>
      <c r="AC1775" s="1"/>
      <c r="AD1775" s="1"/>
      <c r="AE1775" s="1"/>
      <c r="AF1775" s="1"/>
    </row>
    <row r="1776" spans="7:32" x14ac:dyDescent="0.2">
      <c r="G1776" s="2"/>
      <c r="H1776" s="1"/>
      <c r="I1776" s="1"/>
      <c r="J1776" s="1"/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  <c r="AA1776" s="1"/>
      <c r="AB1776" s="1"/>
      <c r="AC1776" s="1"/>
      <c r="AD1776" s="1"/>
      <c r="AE1776" s="1"/>
      <c r="AF1776" s="1"/>
    </row>
    <row r="1777" spans="7:32" x14ac:dyDescent="0.2">
      <c r="G1777" s="2"/>
      <c r="H1777" s="1"/>
      <c r="I1777" s="1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  <c r="AA1777" s="1"/>
      <c r="AB1777" s="1"/>
      <c r="AC1777" s="1"/>
      <c r="AD1777" s="1"/>
      <c r="AE1777" s="1"/>
      <c r="AF1777" s="1"/>
    </row>
    <row r="1778" spans="7:32" x14ac:dyDescent="0.2">
      <c r="G1778" s="2"/>
      <c r="H1778" s="1"/>
      <c r="I1778" s="1"/>
      <c r="J1778" s="1"/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  <c r="AA1778" s="1"/>
      <c r="AB1778" s="1"/>
      <c r="AC1778" s="1"/>
      <c r="AD1778" s="1"/>
      <c r="AE1778" s="1"/>
      <c r="AF1778" s="1"/>
    </row>
    <row r="1779" spans="7:32" x14ac:dyDescent="0.2">
      <c r="G1779" s="2"/>
      <c r="H1779" s="1"/>
      <c r="I1779" s="1"/>
      <c r="J1779" s="1"/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  <c r="AA1779" s="1"/>
      <c r="AB1779" s="1"/>
      <c r="AC1779" s="1"/>
      <c r="AD1779" s="1"/>
      <c r="AE1779" s="1"/>
      <c r="AF1779" s="1"/>
    </row>
    <row r="1780" spans="7:32" x14ac:dyDescent="0.2">
      <c r="G1780" s="2"/>
      <c r="H1780" s="1"/>
      <c r="I1780" s="1"/>
      <c r="J1780" s="1"/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  <c r="AA1780" s="1"/>
      <c r="AB1780" s="1"/>
      <c r="AC1780" s="1"/>
      <c r="AD1780" s="1"/>
      <c r="AE1780" s="1"/>
      <c r="AF1780" s="1"/>
    </row>
    <row r="1781" spans="7:32" x14ac:dyDescent="0.2">
      <c r="G1781" s="2"/>
      <c r="H1781" s="1"/>
      <c r="I1781" s="1"/>
      <c r="J1781" s="1"/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  <c r="AA1781" s="1"/>
      <c r="AB1781" s="1"/>
      <c r="AC1781" s="1"/>
      <c r="AD1781" s="1"/>
      <c r="AE1781" s="1"/>
      <c r="AF1781" s="1"/>
    </row>
    <row r="1782" spans="7:32" x14ac:dyDescent="0.2">
      <c r="G1782" s="2"/>
      <c r="H1782" s="1"/>
      <c r="I1782" s="1"/>
      <c r="J1782" s="1"/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  <c r="AD1782" s="1"/>
      <c r="AE1782" s="1"/>
      <c r="AF1782" s="1"/>
    </row>
    <row r="1783" spans="7:32" x14ac:dyDescent="0.2">
      <c r="G1783" s="2"/>
      <c r="H1783" s="1"/>
      <c r="I1783" s="1"/>
      <c r="J1783" s="1"/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  <c r="AA1783" s="1"/>
      <c r="AB1783" s="1"/>
      <c r="AC1783" s="1"/>
      <c r="AD1783" s="1"/>
      <c r="AE1783" s="1"/>
      <c r="AF1783" s="1"/>
    </row>
    <row r="1784" spans="7:32" x14ac:dyDescent="0.2">
      <c r="G1784" s="2"/>
      <c r="H1784" s="1"/>
      <c r="I1784" s="1"/>
      <c r="J1784" s="1"/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  <c r="AA1784" s="1"/>
      <c r="AB1784" s="1"/>
      <c r="AC1784" s="1"/>
      <c r="AD1784" s="1"/>
      <c r="AE1784" s="1"/>
      <c r="AF1784" s="1"/>
    </row>
    <row r="1785" spans="7:32" x14ac:dyDescent="0.2">
      <c r="G1785" s="2"/>
      <c r="H1785" s="1"/>
      <c r="I1785" s="1"/>
      <c r="J1785" s="1"/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  <c r="AA1785" s="1"/>
      <c r="AB1785" s="1"/>
      <c r="AC1785" s="1"/>
      <c r="AD1785" s="1"/>
      <c r="AE1785" s="1"/>
      <c r="AF1785" s="1"/>
    </row>
    <row r="1786" spans="7:32" x14ac:dyDescent="0.2">
      <c r="G1786" s="2"/>
      <c r="H1786" s="1"/>
      <c r="I1786" s="1"/>
      <c r="J1786" s="1"/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</row>
    <row r="1787" spans="7:32" x14ac:dyDescent="0.2">
      <c r="G1787" s="2"/>
      <c r="H1787" s="1"/>
      <c r="I1787" s="1"/>
      <c r="J1787" s="1"/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</row>
    <row r="1788" spans="7:32" x14ac:dyDescent="0.2">
      <c r="G1788" s="2"/>
      <c r="H1788" s="1"/>
      <c r="I1788" s="1"/>
      <c r="J1788" s="1"/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/>
      <c r="Z1788" s="1"/>
      <c r="AA1788" s="1"/>
      <c r="AB1788" s="1"/>
      <c r="AC1788" s="1"/>
      <c r="AD1788" s="1"/>
      <c r="AE1788" s="1"/>
      <c r="AF1788" s="1"/>
    </row>
    <row r="1789" spans="7:32" x14ac:dyDescent="0.2">
      <c r="G1789" s="2"/>
      <c r="H1789" s="1"/>
      <c r="I1789" s="1"/>
      <c r="J1789" s="1"/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  <c r="AD1789" s="1"/>
      <c r="AE1789" s="1"/>
      <c r="AF1789" s="1"/>
    </row>
    <row r="1790" spans="7:32" x14ac:dyDescent="0.2">
      <c r="G1790" s="2"/>
      <c r="H1790" s="1"/>
      <c r="I1790" s="1"/>
      <c r="J1790" s="1"/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/>
      <c r="Z1790" s="1"/>
      <c r="AA1790" s="1"/>
      <c r="AB1790" s="1"/>
      <c r="AC1790" s="1"/>
      <c r="AD1790" s="1"/>
      <c r="AE1790" s="1"/>
      <c r="AF1790" s="1"/>
    </row>
    <row r="1791" spans="7:32" x14ac:dyDescent="0.2">
      <c r="G1791" s="2"/>
      <c r="H1791" s="1"/>
      <c r="I1791" s="1"/>
      <c r="J1791" s="1"/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</row>
    <row r="1792" spans="7:32" x14ac:dyDescent="0.2">
      <c r="G1792" s="2"/>
      <c r="H1792" s="1"/>
      <c r="I1792" s="1"/>
      <c r="J1792" s="1"/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</row>
    <row r="1793" spans="7:32" x14ac:dyDescent="0.2">
      <c r="G1793" s="2"/>
      <c r="H1793" s="1"/>
      <c r="I1793" s="1"/>
      <c r="J1793" s="1"/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/>
      <c r="Z1793" s="1"/>
      <c r="AA1793" s="1"/>
      <c r="AB1793" s="1"/>
      <c r="AC1793" s="1"/>
      <c r="AD1793" s="1"/>
      <c r="AE1793" s="1"/>
      <c r="AF1793" s="1"/>
    </row>
    <row r="1794" spans="7:32" x14ac:dyDescent="0.2">
      <c r="G1794" s="2"/>
      <c r="H1794" s="1"/>
      <c r="I1794" s="1"/>
      <c r="J1794" s="1"/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</row>
    <row r="1795" spans="7:32" x14ac:dyDescent="0.2">
      <c r="G1795" s="2"/>
      <c r="H1795" s="1"/>
      <c r="I1795" s="1"/>
      <c r="J1795" s="1"/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</row>
    <row r="1796" spans="7:32" x14ac:dyDescent="0.2">
      <c r="G1796" s="2"/>
      <c r="H1796" s="1"/>
      <c r="I1796" s="1"/>
      <c r="J1796" s="1"/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</row>
    <row r="1797" spans="7:32" x14ac:dyDescent="0.2">
      <c r="G1797" s="2"/>
      <c r="H1797" s="1"/>
      <c r="I1797" s="1"/>
      <c r="J1797" s="1"/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/>
      <c r="Z1797" s="1"/>
      <c r="AA1797" s="1"/>
      <c r="AB1797" s="1"/>
      <c r="AC1797" s="1"/>
      <c r="AD1797" s="1"/>
      <c r="AE1797" s="1"/>
      <c r="AF1797" s="1"/>
    </row>
    <row r="1798" spans="7:32" x14ac:dyDescent="0.2">
      <c r="G1798" s="2"/>
      <c r="H1798" s="1"/>
      <c r="I1798" s="1"/>
      <c r="J1798" s="1"/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</row>
    <row r="1799" spans="7:32" x14ac:dyDescent="0.2">
      <c r="G1799" s="2"/>
      <c r="H1799" s="1"/>
      <c r="I1799" s="1"/>
      <c r="J1799" s="1"/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/>
      <c r="Z1799" s="1"/>
      <c r="AA1799" s="1"/>
      <c r="AB1799" s="1"/>
      <c r="AC1799" s="1"/>
      <c r="AD1799" s="1"/>
      <c r="AE1799" s="1"/>
      <c r="AF1799" s="1"/>
    </row>
    <row r="1800" spans="7:32" x14ac:dyDescent="0.2">
      <c r="G1800" s="2"/>
      <c r="H1800" s="1"/>
      <c r="I1800" s="1"/>
      <c r="J1800" s="1"/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</row>
    <row r="1801" spans="7:32" x14ac:dyDescent="0.2">
      <c r="G1801" s="2"/>
      <c r="H1801" s="1"/>
      <c r="I1801" s="1"/>
      <c r="J1801" s="1"/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/>
      <c r="Z1801" s="1"/>
      <c r="AA1801" s="1"/>
      <c r="AB1801" s="1"/>
      <c r="AC1801" s="1"/>
      <c r="AD1801" s="1"/>
      <c r="AE1801" s="1"/>
      <c r="AF1801" s="1"/>
    </row>
    <row r="1802" spans="7:32" x14ac:dyDescent="0.2">
      <c r="G1802" s="2"/>
      <c r="H1802" s="1"/>
      <c r="I1802" s="1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</row>
    <row r="1803" spans="7:32" x14ac:dyDescent="0.2">
      <c r="G1803" s="2"/>
      <c r="H1803" s="1"/>
      <c r="I1803" s="1"/>
      <c r="J1803" s="1"/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</row>
    <row r="1804" spans="7:32" x14ac:dyDescent="0.2">
      <c r="G1804" s="2"/>
      <c r="H1804" s="1"/>
      <c r="I1804" s="1"/>
      <c r="J1804" s="1"/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</row>
    <row r="1805" spans="7:32" x14ac:dyDescent="0.2">
      <c r="G1805" s="2"/>
      <c r="H1805" s="1"/>
      <c r="I1805" s="1"/>
      <c r="J1805" s="1"/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/>
      <c r="Z1805" s="1"/>
      <c r="AA1805" s="1"/>
      <c r="AB1805" s="1"/>
      <c r="AC1805" s="1"/>
      <c r="AD1805" s="1"/>
      <c r="AE1805" s="1"/>
      <c r="AF1805" s="1"/>
    </row>
    <row r="1806" spans="7:32" x14ac:dyDescent="0.2">
      <c r="G1806" s="2"/>
      <c r="H1806" s="1"/>
      <c r="I1806" s="1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  <c r="AA1806" s="1"/>
      <c r="AB1806" s="1"/>
      <c r="AC1806" s="1"/>
      <c r="AD1806" s="1"/>
      <c r="AE1806" s="1"/>
      <c r="AF1806" s="1"/>
    </row>
    <row r="1807" spans="7:32" x14ac:dyDescent="0.2">
      <c r="G1807" s="2"/>
      <c r="H1807" s="1"/>
      <c r="I1807" s="1"/>
      <c r="J1807" s="1"/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</row>
    <row r="1808" spans="7:32" x14ac:dyDescent="0.2">
      <c r="G1808" s="2"/>
      <c r="H1808" s="1"/>
      <c r="I1808" s="1"/>
      <c r="J1808" s="1"/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</row>
    <row r="1809" spans="7:32" x14ac:dyDescent="0.2">
      <c r="G1809" s="2"/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</row>
    <row r="1810" spans="7:32" x14ac:dyDescent="0.2">
      <c r="G1810" s="2"/>
      <c r="H1810" s="1"/>
      <c r="I1810" s="1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</row>
    <row r="1811" spans="7:32" x14ac:dyDescent="0.2">
      <c r="G1811" s="2"/>
      <c r="H1811" s="1"/>
      <c r="I1811" s="1"/>
      <c r="J1811" s="1"/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</row>
    <row r="1812" spans="7:32" x14ac:dyDescent="0.2">
      <c r="G1812" s="2"/>
      <c r="H1812" s="1"/>
      <c r="I1812" s="1"/>
      <c r="J1812" s="1"/>
      <c r="K1812" s="1"/>
      <c r="L1812" s="1"/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  <c r="X1812" s="1"/>
      <c r="Y1812" s="1"/>
      <c r="Z1812" s="1"/>
      <c r="AA1812" s="1"/>
      <c r="AB1812" s="1"/>
      <c r="AC1812" s="1"/>
      <c r="AD1812" s="1"/>
      <c r="AE1812" s="1"/>
      <c r="AF1812" s="1"/>
    </row>
    <row r="1813" spans="7:32" x14ac:dyDescent="0.2">
      <c r="G1813" s="2"/>
      <c r="H1813" s="1"/>
      <c r="I1813" s="1"/>
      <c r="J1813" s="1"/>
      <c r="K1813" s="1"/>
      <c r="L1813" s="1"/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  <c r="X1813" s="1"/>
      <c r="Y1813" s="1"/>
      <c r="Z1813" s="1"/>
      <c r="AA1813" s="1"/>
      <c r="AB1813" s="1"/>
      <c r="AC1813" s="1"/>
      <c r="AD1813" s="1"/>
      <c r="AE1813" s="1"/>
      <c r="AF1813" s="1"/>
    </row>
    <row r="1814" spans="7:32" x14ac:dyDescent="0.2">
      <c r="G1814" s="2"/>
      <c r="H1814" s="1"/>
      <c r="I1814" s="1"/>
      <c r="J1814" s="1"/>
      <c r="K1814" s="1"/>
      <c r="L1814" s="1"/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  <c r="X1814" s="1"/>
      <c r="Y1814" s="1"/>
      <c r="Z1814" s="1"/>
      <c r="AA1814" s="1"/>
      <c r="AB1814" s="1"/>
      <c r="AC1814" s="1"/>
      <c r="AD1814" s="1"/>
      <c r="AE1814" s="1"/>
      <c r="AF1814" s="1"/>
    </row>
    <row r="1815" spans="7:32" x14ac:dyDescent="0.2">
      <c r="G1815" s="2"/>
      <c r="H1815" s="1"/>
      <c r="I1815" s="1"/>
      <c r="J1815" s="1"/>
      <c r="K1815" s="1"/>
      <c r="L1815" s="1"/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  <c r="X1815" s="1"/>
      <c r="Y1815" s="1"/>
      <c r="Z1815" s="1"/>
      <c r="AA1815" s="1"/>
      <c r="AB1815" s="1"/>
      <c r="AC1815" s="1"/>
      <c r="AD1815" s="1"/>
      <c r="AE1815" s="1"/>
      <c r="AF1815" s="1"/>
    </row>
    <row r="1816" spans="7:32" x14ac:dyDescent="0.2">
      <c r="G1816" s="2"/>
      <c r="H1816" s="1"/>
      <c r="I1816" s="1"/>
      <c r="J1816" s="1"/>
      <c r="K1816" s="1"/>
      <c r="L1816" s="1"/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  <c r="X1816" s="1"/>
      <c r="Y1816" s="1"/>
      <c r="Z1816" s="1"/>
      <c r="AA1816" s="1"/>
      <c r="AB1816" s="1"/>
      <c r="AC1816" s="1"/>
      <c r="AD1816" s="1"/>
      <c r="AE1816" s="1"/>
      <c r="AF1816" s="1"/>
    </row>
    <row r="1817" spans="7:32" x14ac:dyDescent="0.2">
      <c r="G1817" s="2"/>
      <c r="H1817" s="1"/>
      <c r="I1817" s="1"/>
      <c r="J1817" s="1"/>
      <c r="K1817" s="1"/>
      <c r="L1817" s="1"/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  <c r="X1817" s="1"/>
      <c r="Y1817" s="1"/>
      <c r="Z1817" s="1"/>
      <c r="AA1817" s="1"/>
      <c r="AB1817" s="1"/>
      <c r="AC1817" s="1"/>
      <c r="AD1817" s="1"/>
      <c r="AE1817" s="1"/>
      <c r="AF1817" s="1"/>
    </row>
    <row r="1818" spans="7:32" x14ac:dyDescent="0.2">
      <c r="G1818" s="2"/>
      <c r="H1818" s="1"/>
      <c r="I1818" s="1"/>
      <c r="J1818" s="1"/>
      <c r="K1818" s="1"/>
      <c r="L1818" s="1"/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  <c r="X1818" s="1"/>
      <c r="Y1818" s="1"/>
      <c r="Z1818" s="1"/>
      <c r="AA1818" s="1"/>
      <c r="AB1818" s="1"/>
      <c r="AC1818" s="1"/>
      <c r="AD1818" s="1"/>
      <c r="AE1818" s="1"/>
      <c r="AF1818" s="1"/>
    </row>
    <row r="1819" spans="7:32" x14ac:dyDescent="0.2">
      <c r="G1819" s="2"/>
      <c r="H1819" s="1"/>
      <c r="I1819" s="1"/>
      <c r="J1819" s="1"/>
      <c r="K1819" s="1"/>
      <c r="L1819" s="1"/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  <c r="X1819" s="1"/>
      <c r="Y1819" s="1"/>
      <c r="Z1819" s="1"/>
      <c r="AA1819" s="1"/>
      <c r="AB1819" s="1"/>
      <c r="AC1819" s="1"/>
      <c r="AD1819" s="1"/>
      <c r="AE1819" s="1"/>
      <c r="AF1819" s="1"/>
    </row>
    <row r="1820" spans="7:32" x14ac:dyDescent="0.2">
      <c r="G1820" s="2"/>
      <c r="H1820" s="1"/>
      <c r="I1820" s="1"/>
      <c r="J1820" s="1"/>
      <c r="K1820" s="1"/>
      <c r="L1820" s="1"/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  <c r="X1820" s="1"/>
      <c r="Y1820" s="1"/>
      <c r="Z1820" s="1"/>
      <c r="AA1820" s="1"/>
      <c r="AB1820" s="1"/>
      <c r="AC1820" s="1"/>
      <c r="AD1820" s="1"/>
      <c r="AE1820" s="1"/>
      <c r="AF1820" s="1"/>
    </row>
    <row r="1821" spans="7:32" x14ac:dyDescent="0.2">
      <c r="G1821" s="2"/>
      <c r="H1821" s="1"/>
      <c r="I1821" s="1"/>
      <c r="J1821" s="1"/>
      <c r="K1821" s="1"/>
      <c r="L1821" s="1"/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  <c r="X1821" s="1"/>
      <c r="Y1821" s="1"/>
      <c r="Z1821" s="1"/>
      <c r="AA1821" s="1"/>
      <c r="AB1821" s="1"/>
      <c r="AC1821" s="1"/>
      <c r="AD1821" s="1"/>
      <c r="AE1821" s="1"/>
      <c r="AF1821" s="1"/>
    </row>
    <row r="1822" spans="7:32" x14ac:dyDescent="0.2">
      <c r="G1822" s="2"/>
      <c r="H1822" s="1"/>
      <c r="I1822" s="1"/>
      <c r="J1822" s="1"/>
      <c r="K1822" s="1"/>
      <c r="L1822" s="1"/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  <c r="X1822" s="1"/>
      <c r="Y1822" s="1"/>
      <c r="Z1822" s="1"/>
      <c r="AA1822" s="1"/>
      <c r="AB1822" s="1"/>
      <c r="AC1822" s="1"/>
      <c r="AD1822" s="1"/>
      <c r="AE1822" s="1"/>
      <c r="AF1822" s="1"/>
    </row>
    <row r="1823" spans="7:32" x14ac:dyDescent="0.2">
      <c r="G1823" s="2"/>
      <c r="H1823" s="1"/>
      <c r="I1823" s="1"/>
      <c r="J1823" s="1"/>
      <c r="K1823" s="1"/>
      <c r="L1823" s="1"/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  <c r="X1823" s="1"/>
      <c r="Y1823" s="1"/>
      <c r="Z1823" s="1"/>
      <c r="AA1823" s="1"/>
      <c r="AB1823" s="1"/>
      <c r="AC1823" s="1"/>
      <c r="AD1823" s="1"/>
      <c r="AE1823" s="1"/>
      <c r="AF1823" s="1"/>
    </row>
    <row r="1824" spans="7:32" x14ac:dyDescent="0.2">
      <c r="G1824" s="2"/>
      <c r="H1824" s="1"/>
      <c r="I1824" s="1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</row>
    <row r="1825" spans="7:32" x14ac:dyDescent="0.2">
      <c r="G1825" s="2"/>
      <c r="H1825" s="1"/>
      <c r="I1825" s="1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</row>
    <row r="1826" spans="7:32" x14ac:dyDescent="0.2">
      <c r="G1826" s="2"/>
      <c r="H1826" s="1"/>
      <c r="I1826" s="1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</row>
    <row r="1827" spans="7:32" x14ac:dyDescent="0.2">
      <c r="G1827" s="2"/>
      <c r="H1827" s="1"/>
      <c r="I1827" s="1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</row>
    <row r="1828" spans="7:32" x14ac:dyDescent="0.2">
      <c r="G1828" s="2"/>
      <c r="H1828" s="1"/>
      <c r="I1828" s="1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</row>
    <row r="1829" spans="7:32" x14ac:dyDescent="0.2">
      <c r="G1829" s="2"/>
      <c r="H1829" s="1"/>
      <c r="I1829" s="1"/>
      <c r="J1829" s="1"/>
      <c r="K1829" s="1"/>
      <c r="L1829" s="1"/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  <c r="X1829" s="1"/>
      <c r="Y1829" s="1"/>
      <c r="Z1829" s="1"/>
      <c r="AA1829" s="1"/>
      <c r="AB1829" s="1"/>
      <c r="AC1829" s="1"/>
      <c r="AD1829" s="1"/>
      <c r="AE1829" s="1"/>
      <c r="AF1829" s="1"/>
    </row>
    <row r="1830" spans="7:32" x14ac:dyDescent="0.2">
      <c r="G1830" s="2"/>
      <c r="H1830" s="1"/>
      <c r="I1830" s="1"/>
      <c r="J1830" s="1"/>
      <c r="K1830" s="1"/>
      <c r="L1830" s="1"/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  <c r="X1830" s="1"/>
      <c r="Y1830" s="1"/>
      <c r="Z1830" s="1"/>
      <c r="AA1830" s="1"/>
      <c r="AB1830" s="1"/>
      <c r="AC1830" s="1"/>
      <c r="AD1830" s="1"/>
      <c r="AE1830" s="1"/>
      <c r="AF1830" s="1"/>
    </row>
    <row r="1831" spans="7:32" x14ac:dyDescent="0.2">
      <c r="G1831" s="2"/>
      <c r="H1831" s="1"/>
      <c r="I1831" s="1"/>
      <c r="J1831" s="1"/>
      <c r="K1831" s="1"/>
      <c r="L1831" s="1"/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  <c r="X1831" s="1"/>
      <c r="Y1831" s="1"/>
      <c r="Z1831" s="1"/>
      <c r="AA1831" s="1"/>
      <c r="AB1831" s="1"/>
      <c r="AC1831" s="1"/>
      <c r="AD1831" s="1"/>
      <c r="AE1831" s="1"/>
      <c r="AF1831" s="1"/>
    </row>
    <row r="1832" spans="7:32" x14ac:dyDescent="0.2">
      <c r="G1832" s="2"/>
      <c r="H1832" s="1"/>
      <c r="I1832" s="1"/>
      <c r="J1832" s="1"/>
      <c r="K1832" s="1"/>
      <c r="L1832" s="1"/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  <c r="X1832" s="1"/>
      <c r="Y1832" s="1"/>
      <c r="Z1832" s="1"/>
      <c r="AA1832" s="1"/>
      <c r="AB1832" s="1"/>
      <c r="AC1832" s="1"/>
      <c r="AD1832" s="1"/>
      <c r="AE1832" s="1"/>
      <c r="AF1832" s="1"/>
    </row>
    <row r="1833" spans="7:32" x14ac:dyDescent="0.2">
      <c r="G1833" s="2"/>
      <c r="H1833" s="1"/>
      <c r="I1833" s="1"/>
      <c r="J1833" s="1"/>
      <c r="K1833" s="1"/>
      <c r="L1833" s="1"/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  <c r="X1833" s="1"/>
      <c r="Y1833" s="1"/>
      <c r="Z1833" s="1"/>
      <c r="AA1833" s="1"/>
      <c r="AB1833" s="1"/>
      <c r="AC1833" s="1"/>
      <c r="AD1833" s="1"/>
      <c r="AE1833" s="1"/>
      <c r="AF1833" s="1"/>
    </row>
    <row r="1834" spans="7:32" x14ac:dyDescent="0.2">
      <c r="G1834" s="2"/>
      <c r="H1834" s="1"/>
      <c r="I1834" s="1"/>
      <c r="J1834" s="1"/>
      <c r="K1834" s="1"/>
      <c r="L1834" s="1"/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  <c r="X1834" s="1"/>
      <c r="Y1834" s="1"/>
      <c r="Z1834" s="1"/>
      <c r="AA1834" s="1"/>
      <c r="AB1834" s="1"/>
      <c r="AC1834" s="1"/>
      <c r="AD1834" s="1"/>
      <c r="AE1834" s="1"/>
      <c r="AF1834" s="1"/>
    </row>
    <row r="1835" spans="7:32" x14ac:dyDescent="0.2">
      <c r="G1835" s="2"/>
      <c r="H1835" s="1"/>
      <c r="I1835" s="1"/>
      <c r="J1835" s="1"/>
      <c r="K1835" s="1"/>
      <c r="L1835" s="1"/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  <c r="X1835" s="1"/>
      <c r="Y1835" s="1"/>
      <c r="Z1835" s="1"/>
      <c r="AA1835" s="1"/>
      <c r="AB1835" s="1"/>
      <c r="AC1835" s="1"/>
      <c r="AD1835" s="1"/>
      <c r="AE1835" s="1"/>
      <c r="AF1835" s="1"/>
    </row>
    <row r="1836" spans="7:32" x14ac:dyDescent="0.2">
      <c r="G1836" s="2"/>
      <c r="H1836" s="1"/>
      <c r="I1836" s="1"/>
      <c r="J1836" s="1"/>
      <c r="K1836" s="1"/>
      <c r="L1836" s="1"/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  <c r="X1836" s="1"/>
      <c r="Y1836" s="1"/>
      <c r="Z1836" s="1"/>
      <c r="AA1836" s="1"/>
      <c r="AB1836" s="1"/>
      <c r="AC1836" s="1"/>
      <c r="AD1836" s="1"/>
      <c r="AE1836" s="1"/>
      <c r="AF1836" s="1"/>
    </row>
    <row r="1837" spans="7:32" x14ac:dyDescent="0.2">
      <c r="G1837" s="2"/>
      <c r="H1837" s="1"/>
      <c r="I1837" s="1"/>
      <c r="J1837" s="1"/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</row>
    <row r="1838" spans="7:32" x14ac:dyDescent="0.2">
      <c r="G1838" s="2"/>
      <c r="H1838" s="1"/>
      <c r="I1838" s="1"/>
      <c r="J1838" s="1"/>
      <c r="K1838" s="1"/>
      <c r="L1838" s="1"/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  <c r="X1838" s="1"/>
      <c r="Y1838" s="1"/>
      <c r="Z1838" s="1"/>
      <c r="AA1838" s="1"/>
      <c r="AB1838" s="1"/>
      <c r="AC1838" s="1"/>
      <c r="AD1838" s="1"/>
      <c r="AE1838" s="1"/>
      <c r="AF1838" s="1"/>
    </row>
    <row r="1839" spans="7:32" x14ac:dyDescent="0.2">
      <c r="G1839" s="2"/>
      <c r="H1839" s="1"/>
      <c r="I1839" s="1"/>
      <c r="J1839" s="1"/>
      <c r="K1839" s="1"/>
      <c r="L1839" s="1"/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  <c r="X1839" s="1"/>
      <c r="Y1839" s="1"/>
      <c r="Z1839" s="1"/>
      <c r="AA1839" s="1"/>
      <c r="AB1839" s="1"/>
      <c r="AC1839" s="1"/>
      <c r="AD1839" s="1"/>
      <c r="AE1839" s="1"/>
      <c r="AF1839" s="1"/>
    </row>
    <row r="1840" spans="7:32" x14ac:dyDescent="0.2">
      <c r="G1840" s="2"/>
      <c r="H1840" s="1"/>
      <c r="I1840" s="1"/>
      <c r="J1840" s="1"/>
      <c r="K1840" s="1"/>
      <c r="L1840" s="1"/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  <c r="X1840" s="1"/>
      <c r="Y1840" s="1"/>
      <c r="Z1840" s="1"/>
      <c r="AA1840" s="1"/>
      <c r="AB1840" s="1"/>
      <c r="AC1840" s="1"/>
      <c r="AD1840" s="1"/>
      <c r="AE1840" s="1"/>
      <c r="AF1840" s="1"/>
    </row>
    <row r="1841" spans="7:32" x14ac:dyDescent="0.2">
      <c r="G1841" s="2"/>
      <c r="H1841" s="1"/>
      <c r="I1841" s="1"/>
      <c r="J1841" s="1"/>
      <c r="K1841" s="1"/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  <c r="X1841" s="1"/>
      <c r="Y1841" s="1"/>
      <c r="Z1841" s="1"/>
      <c r="AA1841" s="1"/>
      <c r="AB1841" s="1"/>
      <c r="AC1841" s="1"/>
      <c r="AD1841" s="1"/>
      <c r="AE1841" s="1"/>
      <c r="AF1841" s="1"/>
    </row>
    <row r="1842" spans="7:32" x14ac:dyDescent="0.2">
      <c r="G1842" s="2"/>
      <c r="H1842" s="1"/>
      <c r="I1842" s="1"/>
      <c r="J1842" s="1"/>
      <c r="K1842" s="1"/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  <c r="X1842" s="1"/>
      <c r="Y1842" s="1"/>
      <c r="Z1842" s="1"/>
      <c r="AA1842" s="1"/>
      <c r="AB1842" s="1"/>
      <c r="AC1842" s="1"/>
      <c r="AD1842" s="1"/>
      <c r="AE1842" s="1"/>
      <c r="AF1842" s="1"/>
    </row>
    <row r="1843" spans="7:32" x14ac:dyDescent="0.2">
      <c r="G1843" s="2"/>
      <c r="H1843" s="1"/>
      <c r="I1843" s="1"/>
      <c r="J1843" s="1"/>
      <c r="K1843" s="1"/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  <c r="X1843" s="1"/>
      <c r="Y1843" s="1"/>
      <c r="Z1843" s="1"/>
      <c r="AA1843" s="1"/>
      <c r="AB1843" s="1"/>
      <c r="AC1843" s="1"/>
      <c r="AD1843" s="1"/>
      <c r="AE1843" s="1"/>
      <c r="AF1843" s="1"/>
    </row>
    <row r="1844" spans="7:32" x14ac:dyDescent="0.2">
      <c r="G1844" s="2"/>
      <c r="H1844" s="1"/>
      <c r="I1844" s="1"/>
      <c r="J1844" s="1"/>
      <c r="K1844" s="1"/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  <c r="X1844" s="1"/>
      <c r="Y1844" s="1"/>
      <c r="Z1844" s="1"/>
      <c r="AA1844" s="1"/>
      <c r="AB1844" s="1"/>
      <c r="AC1844" s="1"/>
      <c r="AD1844" s="1"/>
      <c r="AE1844" s="1"/>
      <c r="AF1844" s="1"/>
    </row>
    <row r="1845" spans="7:32" x14ac:dyDescent="0.2">
      <c r="G1845" s="2"/>
      <c r="H1845" s="1"/>
      <c r="I1845" s="1"/>
      <c r="J1845" s="1"/>
      <c r="K1845" s="1"/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  <c r="X1845" s="1"/>
      <c r="Y1845" s="1"/>
      <c r="Z1845" s="1"/>
      <c r="AA1845" s="1"/>
      <c r="AB1845" s="1"/>
      <c r="AC1845" s="1"/>
      <c r="AD1845" s="1"/>
      <c r="AE1845" s="1"/>
      <c r="AF1845" s="1"/>
    </row>
    <row r="1846" spans="7:32" x14ac:dyDescent="0.2">
      <c r="G1846" s="2"/>
      <c r="H1846" s="1"/>
      <c r="I1846" s="1"/>
      <c r="J1846" s="1"/>
      <c r="K1846" s="1"/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  <c r="X1846" s="1"/>
      <c r="Y1846" s="1"/>
      <c r="Z1846" s="1"/>
      <c r="AA1846" s="1"/>
      <c r="AB1846" s="1"/>
      <c r="AC1846" s="1"/>
      <c r="AD1846" s="1"/>
      <c r="AE1846" s="1"/>
      <c r="AF1846" s="1"/>
    </row>
    <row r="1847" spans="7:32" x14ac:dyDescent="0.2">
      <c r="G1847" s="2"/>
      <c r="H1847" s="1"/>
      <c r="I1847" s="1"/>
      <c r="J1847" s="1"/>
      <c r="K1847" s="1"/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  <c r="X1847" s="1"/>
      <c r="Y1847" s="1"/>
      <c r="Z1847" s="1"/>
      <c r="AA1847" s="1"/>
      <c r="AB1847" s="1"/>
      <c r="AC1847" s="1"/>
      <c r="AD1847" s="1"/>
      <c r="AE1847" s="1"/>
      <c r="AF1847" s="1"/>
    </row>
    <row r="1848" spans="7:32" x14ac:dyDescent="0.2">
      <c r="G1848" s="2"/>
      <c r="H1848" s="1"/>
      <c r="I1848" s="1"/>
      <c r="J1848" s="1"/>
      <c r="K1848" s="1"/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  <c r="X1848" s="1"/>
      <c r="Y1848" s="1"/>
      <c r="Z1848" s="1"/>
      <c r="AA1848" s="1"/>
      <c r="AB1848" s="1"/>
      <c r="AC1848" s="1"/>
      <c r="AD1848" s="1"/>
      <c r="AE1848" s="1"/>
      <c r="AF1848" s="1"/>
    </row>
    <row r="1849" spans="7:32" x14ac:dyDescent="0.2">
      <c r="G1849" s="2"/>
      <c r="H1849" s="1"/>
      <c r="I1849" s="1"/>
      <c r="J1849" s="1"/>
      <c r="K1849" s="1"/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  <c r="X1849" s="1"/>
      <c r="Y1849" s="1"/>
      <c r="Z1849" s="1"/>
      <c r="AA1849" s="1"/>
      <c r="AB1849" s="1"/>
      <c r="AC1849" s="1"/>
      <c r="AD1849" s="1"/>
      <c r="AE1849" s="1"/>
      <c r="AF1849" s="1"/>
    </row>
    <row r="1850" spans="7:32" x14ac:dyDescent="0.2">
      <c r="G1850" s="2"/>
      <c r="H1850" s="1"/>
      <c r="I1850" s="1"/>
      <c r="J1850" s="1"/>
      <c r="K1850" s="1"/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  <c r="X1850" s="1"/>
      <c r="Y1850" s="1"/>
      <c r="Z1850" s="1"/>
      <c r="AA1850" s="1"/>
      <c r="AB1850" s="1"/>
      <c r="AC1850" s="1"/>
      <c r="AD1850" s="1"/>
      <c r="AE1850" s="1"/>
      <c r="AF1850" s="1"/>
    </row>
    <row r="1851" spans="7:32" x14ac:dyDescent="0.2">
      <c r="G1851" s="2"/>
      <c r="H1851" s="1"/>
      <c r="I1851" s="1"/>
      <c r="J1851" s="1"/>
      <c r="K1851" s="1"/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  <c r="X1851" s="1"/>
      <c r="Y1851" s="1"/>
      <c r="Z1851" s="1"/>
      <c r="AA1851" s="1"/>
      <c r="AB1851" s="1"/>
      <c r="AC1851" s="1"/>
      <c r="AD1851" s="1"/>
      <c r="AE1851" s="1"/>
      <c r="AF1851" s="1"/>
    </row>
    <row r="1852" spans="7:32" x14ac:dyDescent="0.2">
      <c r="G1852" s="2"/>
      <c r="H1852" s="1"/>
      <c r="I1852" s="1"/>
      <c r="J1852" s="1"/>
      <c r="K1852" s="1"/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/>
      <c r="Z1852" s="1"/>
      <c r="AA1852" s="1"/>
      <c r="AB1852" s="1"/>
      <c r="AC1852" s="1"/>
      <c r="AD1852" s="1"/>
      <c r="AE1852" s="1"/>
      <c r="AF1852" s="1"/>
    </row>
    <row r="1853" spans="7:32" x14ac:dyDescent="0.2">
      <c r="G1853" s="2"/>
      <c r="H1853" s="1"/>
      <c r="I1853" s="1"/>
      <c r="J1853" s="1"/>
      <c r="K1853" s="1"/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/>
      <c r="Z1853" s="1"/>
      <c r="AA1853" s="1"/>
      <c r="AB1853" s="1"/>
      <c r="AC1853" s="1"/>
      <c r="AD1853" s="1"/>
      <c r="AE1853" s="1"/>
      <c r="AF1853" s="1"/>
    </row>
    <row r="1854" spans="7:32" x14ac:dyDescent="0.2">
      <c r="G1854" s="2"/>
      <c r="H1854" s="1"/>
      <c r="I1854" s="1"/>
      <c r="J1854" s="1"/>
      <c r="K1854" s="1"/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  <c r="X1854" s="1"/>
      <c r="Y1854" s="1"/>
      <c r="Z1854" s="1"/>
      <c r="AA1854" s="1"/>
      <c r="AB1854" s="1"/>
      <c r="AC1854" s="1"/>
      <c r="AD1854" s="1"/>
      <c r="AE1854" s="1"/>
      <c r="AF1854" s="1"/>
    </row>
    <row r="1855" spans="7:32" x14ac:dyDescent="0.2">
      <c r="G1855" s="2"/>
      <c r="H1855" s="1"/>
      <c r="I1855" s="1"/>
      <c r="J1855" s="1"/>
      <c r="K1855" s="1"/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  <c r="X1855" s="1"/>
      <c r="Y1855" s="1"/>
      <c r="Z1855" s="1"/>
      <c r="AA1855" s="1"/>
      <c r="AB1855" s="1"/>
      <c r="AC1855" s="1"/>
      <c r="AD1855" s="1"/>
      <c r="AE1855" s="1"/>
      <c r="AF1855" s="1"/>
    </row>
    <row r="1856" spans="7:32" x14ac:dyDescent="0.2">
      <c r="G1856" s="2"/>
      <c r="H1856" s="1"/>
      <c r="I1856" s="1"/>
      <c r="J1856" s="1"/>
      <c r="K1856" s="1"/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  <c r="X1856" s="1"/>
      <c r="Y1856" s="1"/>
      <c r="Z1856" s="1"/>
      <c r="AA1856" s="1"/>
      <c r="AB1856" s="1"/>
      <c r="AC1856" s="1"/>
      <c r="AD1856" s="1"/>
      <c r="AE1856" s="1"/>
      <c r="AF1856" s="1"/>
    </row>
    <row r="1857" spans="7:32" x14ac:dyDescent="0.2">
      <c r="G1857" s="2"/>
      <c r="H1857" s="1"/>
      <c r="I1857" s="1"/>
      <c r="J1857" s="1"/>
      <c r="K1857" s="1"/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  <c r="X1857" s="1"/>
      <c r="Y1857" s="1"/>
      <c r="Z1857" s="1"/>
      <c r="AA1857" s="1"/>
      <c r="AB1857" s="1"/>
      <c r="AC1857" s="1"/>
      <c r="AD1857" s="1"/>
      <c r="AE1857" s="1"/>
      <c r="AF1857" s="1"/>
    </row>
    <row r="1858" spans="7:32" x14ac:dyDescent="0.2">
      <c r="G1858" s="2"/>
      <c r="H1858" s="1"/>
      <c r="I1858" s="1"/>
      <c r="J1858" s="1"/>
      <c r="K1858" s="1"/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/>
      <c r="Z1858" s="1"/>
      <c r="AA1858" s="1"/>
      <c r="AB1858" s="1"/>
      <c r="AC1858" s="1"/>
      <c r="AD1858" s="1"/>
      <c r="AE1858" s="1"/>
      <c r="AF1858" s="1"/>
    </row>
    <row r="1859" spans="7:32" x14ac:dyDescent="0.2">
      <c r="G1859" s="2"/>
      <c r="H1859" s="1"/>
      <c r="I1859" s="1"/>
      <c r="J1859" s="1"/>
      <c r="K1859" s="1"/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  <c r="X1859" s="1"/>
      <c r="Y1859" s="1"/>
      <c r="Z1859" s="1"/>
      <c r="AA1859" s="1"/>
      <c r="AB1859" s="1"/>
      <c r="AC1859" s="1"/>
      <c r="AD1859" s="1"/>
      <c r="AE1859" s="1"/>
      <c r="AF1859" s="1"/>
    </row>
    <row r="1860" spans="7:32" x14ac:dyDescent="0.2">
      <c r="G1860" s="2"/>
      <c r="H1860" s="1"/>
      <c r="I1860" s="1"/>
      <c r="J1860" s="1"/>
      <c r="K1860" s="1"/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  <c r="X1860" s="1"/>
      <c r="Y1860" s="1"/>
      <c r="Z1860" s="1"/>
      <c r="AA1860" s="1"/>
      <c r="AB1860" s="1"/>
      <c r="AC1860" s="1"/>
      <c r="AD1860" s="1"/>
      <c r="AE1860" s="1"/>
      <c r="AF1860" s="1"/>
    </row>
    <row r="1861" spans="7:32" x14ac:dyDescent="0.2">
      <c r="G1861" s="2"/>
      <c r="H1861" s="1"/>
      <c r="I1861" s="1"/>
      <c r="J1861" s="1"/>
      <c r="K1861" s="1"/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  <c r="X1861" s="1"/>
      <c r="Y1861" s="1"/>
      <c r="Z1861" s="1"/>
      <c r="AA1861" s="1"/>
      <c r="AB1861" s="1"/>
      <c r="AC1861" s="1"/>
      <c r="AD1861" s="1"/>
      <c r="AE1861" s="1"/>
      <c r="AF1861" s="1"/>
    </row>
    <row r="1862" spans="7:32" x14ac:dyDescent="0.2">
      <c r="G1862" s="2"/>
      <c r="H1862" s="1"/>
      <c r="I1862" s="1"/>
      <c r="J1862" s="1"/>
      <c r="K1862" s="1"/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  <c r="X1862" s="1"/>
      <c r="Y1862" s="1"/>
      <c r="Z1862" s="1"/>
      <c r="AA1862" s="1"/>
      <c r="AB1862" s="1"/>
      <c r="AC1862" s="1"/>
      <c r="AD1862" s="1"/>
      <c r="AE1862" s="1"/>
      <c r="AF1862" s="1"/>
    </row>
    <row r="1863" spans="7:32" x14ac:dyDescent="0.2">
      <c r="G1863" s="2"/>
      <c r="H1863" s="1"/>
      <c r="I1863" s="1"/>
      <c r="J1863" s="1"/>
      <c r="K1863" s="1"/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  <c r="X1863" s="1"/>
      <c r="Y1863" s="1"/>
      <c r="Z1863" s="1"/>
      <c r="AA1863" s="1"/>
      <c r="AB1863" s="1"/>
      <c r="AC1863" s="1"/>
      <c r="AD1863" s="1"/>
      <c r="AE1863" s="1"/>
      <c r="AF1863" s="1"/>
    </row>
    <row r="1864" spans="7:32" x14ac:dyDescent="0.2">
      <c r="G1864" s="2"/>
      <c r="H1864" s="1"/>
      <c r="I1864" s="1"/>
      <c r="J1864" s="1"/>
      <c r="K1864" s="1"/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  <c r="X1864" s="1"/>
      <c r="Y1864" s="1"/>
      <c r="Z1864" s="1"/>
      <c r="AA1864" s="1"/>
      <c r="AB1864" s="1"/>
      <c r="AC1864" s="1"/>
      <c r="AD1864" s="1"/>
      <c r="AE1864" s="1"/>
      <c r="AF1864" s="1"/>
    </row>
    <row r="1865" spans="7:32" x14ac:dyDescent="0.2">
      <c r="G1865" s="2"/>
      <c r="H1865" s="1"/>
      <c r="I1865" s="1"/>
      <c r="J1865" s="1"/>
      <c r="K1865" s="1"/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  <c r="X1865" s="1"/>
      <c r="Y1865" s="1"/>
      <c r="Z1865" s="1"/>
      <c r="AA1865" s="1"/>
      <c r="AB1865" s="1"/>
      <c r="AC1865" s="1"/>
      <c r="AD1865" s="1"/>
      <c r="AE1865" s="1"/>
      <c r="AF1865" s="1"/>
    </row>
    <row r="1866" spans="7:32" x14ac:dyDescent="0.2">
      <c r="G1866" s="2"/>
      <c r="H1866" s="1"/>
      <c r="I1866" s="1"/>
      <c r="J1866" s="1"/>
      <c r="K1866" s="1"/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  <c r="X1866" s="1"/>
      <c r="Y1866" s="1"/>
      <c r="Z1866" s="1"/>
      <c r="AA1866" s="1"/>
      <c r="AB1866" s="1"/>
      <c r="AC1866" s="1"/>
      <c r="AD1866" s="1"/>
      <c r="AE1866" s="1"/>
      <c r="AF1866" s="1"/>
    </row>
    <row r="1867" spans="7:32" x14ac:dyDescent="0.2">
      <c r="G1867" s="2"/>
      <c r="H1867" s="1"/>
      <c r="I1867" s="1"/>
      <c r="J1867" s="1"/>
      <c r="K1867" s="1"/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  <c r="X1867" s="1"/>
      <c r="Y1867" s="1"/>
      <c r="Z1867" s="1"/>
      <c r="AA1867" s="1"/>
      <c r="AB1867" s="1"/>
      <c r="AC1867" s="1"/>
      <c r="AD1867" s="1"/>
      <c r="AE1867" s="1"/>
      <c r="AF1867" s="1"/>
    </row>
    <row r="1868" spans="7:32" x14ac:dyDescent="0.2">
      <c r="G1868" s="2"/>
      <c r="H1868" s="1"/>
      <c r="I1868" s="1"/>
      <c r="J1868" s="1"/>
      <c r="K1868" s="1"/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  <c r="X1868" s="1"/>
      <c r="Y1868" s="1"/>
      <c r="Z1868" s="1"/>
      <c r="AA1868" s="1"/>
      <c r="AB1868" s="1"/>
      <c r="AC1868" s="1"/>
      <c r="AD1868" s="1"/>
      <c r="AE1868" s="1"/>
      <c r="AF1868" s="1"/>
    </row>
    <row r="1869" spans="7:32" x14ac:dyDescent="0.2">
      <c r="G1869" s="2"/>
      <c r="H1869" s="1"/>
      <c r="I1869" s="1"/>
      <c r="J1869" s="1"/>
      <c r="K1869" s="1"/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</row>
    <row r="1870" spans="7:32" x14ac:dyDescent="0.2">
      <c r="G1870" s="2"/>
      <c r="H1870" s="1"/>
      <c r="I1870" s="1"/>
      <c r="J1870" s="1"/>
      <c r="K1870" s="1"/>
      <c r="L1870" s="1"/>
      <c r="M1870" s="1"/>
      <c r="N1870" s="1"/>
      <c r="O1870" s="1"/>
      <c r="P1870" s="1"/>
      <c r="Q1870" s="1"/>
      <c r="R1870" s="1"/>
      <c r="S1870" s="1"/>
      <c r="T1870" s="1"/>
      <c r="U1870" s="1"/>
      <c r="V1870" s="1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</row>
    <row r="1871" spans="7:32" x14ac:dyDescent="0.2">
      <c r="G1871" s="2"/>
      <c r="H1871" s="1"/>
      <c r="I1871" s="1"/>
      <c r="J1871" s="1"/>
      <c r="K1871" s="1"/>
      <c r="L1871" s="1"/>
      <c r="M1871" s="1"/>
      <c r="N1871" s="1"/>
      <c r="O1871" s="1"/>
      <c r="P1871" s="1"/>
      <c r="Q1871" s="1"/>
      <c r="R1871" s="1"/>
      <c r="S1871" s="1"/>
      <c r="T1871" s="1"/>
      <c r="U1871" s="1"/>
      <c r="V1871" s="1"/>
      <c r="W1871" s="1"/>
      <c r="X1871" s="1"/>
      <c r="Y1871" s="1"/>
      <c r="Z1871" s="1"/>
      <c r="AA1871" s="1"/>
      <c r="AB1871" s="1"/>
      <c r="AC1871" s="1"/>
      <c r="AD1871" s="1"/>
      <c r="AE1871" s="1"/>
      <c r="AF1871" s="1"/>
    </row>
    <row r="1872" spans="7:32" x14ac:dyDescent="0.2">
      <c r="G1872" s="2"/>
      <c r="H1872" s="1"/>
      <c r="I1872" s="1"/>
      <c r="J1872" s="1"/>
      <c r="K1872" s="1"/>
      <c r="L1872" s="1"/>
      <c r="M1872" s="1"/>
      <c r="N1872" s="1"/>
      <c r="O1872" s="1"/>
      <c r="P1872" s="1"/>
      <c r="Q1872" s="1"/>
      <c r="R1872" s="1"/>
      <c r="S1872" s="1"/>
      <c r="T1872" s="1"/>
      <c r="U1872" s="1"/>
      <c r="V1872" s="1"/>
      <c r="W1872" s="1"/>
      <c r="X1872" s="1"/>
      <c r="Y1872" s="1"/>
      <c r="Z1872" s="1"/>
      <c r="AA1872" s="1"/>
      <c r="AB1872" s="1"/>
      <c r="AC1872" s="1"/>
      <c r="AD1872" s="1"/>
      <c r="AE1872" s="1"/>
      <c r="AF1872" s="1"/>
    </row>
    <row r="1873" spans="7:32" x14ac:dyDescent="0.2">
      <c r="G1873" s="2"/>
      <c r="H1873" s="1"/>
      <c r="I1873" s="1"/>
      <c r="J1873" s="1"/>
      <c r="K1873" s="1"/>
      <c r="L1873" s="1"/>
      <c r="M1873" s="1"/>
      <c r="N1873" s="1"/>
      <c r="O1873" s="1"/>
      <c r="P1873" s="1"/>
      <c r="Q1873" s="1"/>
      <c r="R1873" s="1"/>
      <c r="S1873" s="1"/>
      <c r="T1873" s="1"/>
      <c r="U1873" s="1"/>
      <c r="V1873" s="1"/>
      <c r="W1873" s="1"/>
      <c r="X1873" s="1"/>
      <c r="Y1873" s="1"/>
      <c r="Z1873" s="1"/>
      <c r="AA1873" s="1"/>
      <c r="AB1873" s="1"/>
      <c r="AC1873" s="1"/>
      <c r="AD1873" s="1"/>
      <c r="AE1873" s="1"/>
      <c r="AF1873" s="1"/>
    </row>
    <row r="1874" spans="7:32" x14ac:dyDescent="0.2">
      <c r="G1874" s="2"/>
      <c r="H1874" s="1"/>
      <c r="I1874" s="1"/>
      <c r="J1874" s="1"/>
      <c r="K1874" s="1"/>
      <c r="L1874" s="1"/>
      <c r="M1874" s="1"/>
      <c r="N1874" s="1"/>
      <c r="O1874" s="1"/>
      <c r="P1874" s="1"/>
      <c r="Q1874" s="1"/>
      <c r="R1874" s="1"/>
      <c r="S1874" s="1"/>
      <c r="T1874" s="1"/>
      <c r="U1874" s="1"/>
      <c r="V1874" s="1"/>
      <c r="W1874" s="1"/>
      <c r="X1874" s="1"/>
      <c r="Y1874" s="1"/>
      <c r="Z1874" s="1"/>
      <c r="AA1874" s="1"/>
      <c r="AB1874" s="1"/>
      <c r="AC1874" s="1"/>
      <c r="AD1874" s="1"/>
      <c r="AE1874" s="1"/>
      <c r="AF1874" s="1"/>
    </row>
    <row r="1875" spans="7:32" x14ac:dyDescent="0.2">
      <c r="G1875" s="2"/>
      <c r="H1875" s="1"/>
      <c r="I1875" s="1"/>
      <c r="J1875" s="1"/>
      <c r="K1875" s="1"/>
      <c r="L1875" s="1"/>
      <c r="M1875" s="1"/>
      <c r="N1875" s="1"/>
      <c r="O1875" s="1"/>
      <c r="P1875" s="1"/>
      <c r="Q1875" s="1"/>
      <c r="R1875" s="1"/>
      <c r="S1875" s="1"/>
      <c r="T1875" s="1"/>
      <c r="U1875" s="1"/>
      <c r="V1875" s="1"/>
      <c r="W1875" s="1"/>
      <c r="X1875" s="1"/>
      <c r="Y1875" s="1"/>
      <c r="Z1875" s="1"/>
      <c r="AA1875" s="1"/>
      <c r="AB1875" s="1"/>
      <c r="AC1875" s="1"/>
      <c r="AD1875" s="1"/>
      <c r="AE1875" s="1"/>
      <c r="AF1875" s="1"/>
    </row>
    <row r="1876" spans="7:32" x14ac:dyDescent="0.2">
      <c r="G1876" s="2"/>
      <c r="H1876" s="1"/>
      <c r="I1876" s="1"/>
      <c r="J1876" s="1"/>
      <c r="K1876" s="1"/>
      <c r="L1876" s="1"/>
      <c r="M1876" s="1"/>
      <c r="N1876" s="1"/>
      <c r="O1876" s="1"/>
      <c r="P1876" s="1"/>
      <c r="Q1876" s="1"/>
      <c r="R1876" s="1"/>
      <c r="S1876" s="1"/>
      <c r="T1876" s="1"/>
      <c r="U1876" s="1"/>
      <c r="V1876" s="1"/>
      <c r="W1876" s="1"/>
      <c r="X1876" s="1"/>
      <c r="Y1876" s="1"/>
      <c r="Z1876" s="1"/>
      <c r="AA1876" s="1"/>
      <c r="AB1876" s="1"/>
      <c r="AC1876" s="1"/>
      <c r="AD1876" s="1"/>
      <c r="AE1876" s="1"/>
      <c r="AF1876" s="1"/>
    </row>
    <row r="1877" spans="7:32" x14ac:dyDescent="0.2">
      <c r="G1877" s="2"/>
      <c r="H1877" s="1"/>
      <c r="I1877" s="1"/>
      <c r="J1877" s="1"/>
      <c r="K1877" s="1"/>
      <c r="L1877" s="1"/>
      <c r="M1877" s="1"/>
      <c r="N1877" s="1"/>
      <c r="O1877" s="1"/>
      <c r="P1877" s="1"/>
      <c r="Q1877" s="1"/>
      <c r="R1877" s="1"/>
      <c r="S1877" s="1"/>
      <c r="T1877" s="1"/>
      <c r="U1877" s="1"/>
      <c r="V1877" s="1"/>
      <c r="W1877" s="1"/>
      <c r="X1877" s="1"/>
      <c r="Y1877" s="1"/>
      <c r="Z1877" s="1"/>
      <c r="AA1877" s="1"/>
      <c r="AB1877" s="1"/>
      <c r="AC1877" s="1"/>
      <c r="AD1877" s="1"/>
      <c r="AE1877" s="1"/>
      <c r="AF1877" s="1"/>
    </row>
    <row r="1878" spans="7:32" x14ac:dyDescent="0.2">
      <c r="G1878" s="2"/>
      <c r="H1878" s="1"/>
      <c r="I1878" s="1"/>
      <c r="J1878" s="1"/>
      <c r="K1878" s="1"/>
      <c r="L1878" s="1"/>
      <c r="M1878" s="1"/>
      <c r="N1878" s="1"/>
      <c r="O1878" s="1"/>
      <c r="P1878" s="1"/>
      <c r="Q1878" s="1"/>
      <c r="R1878" s="1"/>
      <c r="S1878" s="1"/>
      <c r="T1878" s="1"/>
      <c r="U1878" s="1"/>
      <c r="V1878" s="1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</row>
    <row r="1879" spans="7:32" x14ac:dyDescent="0.2">
      <c r="G1879" s="2"/>
      <c r="H1879" s="1"/>
      <c r="I1879" s="1"/>
      <c r="J1879" s="1"/>
      <c r="K1879" s="1"/>
      <c r="L1879" s="1"/>
      <c r="M1879" s="1"/>
      <c r="N1879" s="1"/>
      <c r="O1879" s="1"/>
      <c r="P1879" s="1"/>
      <c r="Q1879" s="1"/>
      <c r="R1879" s="1"/>
      <c r="S1879" s="1"/>
      <c r="T1879" s="1"/>
      <c r="U1879" s="1"/>
      <c r="V1879" s="1"/>
      <c r="W1879" s="1"/>
      <c r="X1879" s="1"/>
      <c r="Y1879" s="1"/>
      <c r="Z1879" s="1"/>
      <c r="AA1879" s="1"/>
      <c r="AB1879" s="1"/>
      <c r="AC1879" s="1"/>
      <c r="AD1879" s="1"/>
      <c r="AE1879" s="1"/>
      <c r="AF1879" s="1"/>
    </row>
    <row r="1880" spans="7:32" x14ac:dyDescent="0.2">
      <c r="G1880" s="2"/>
      <c r="H1880" s="1"/>
      <c r="I1880" s="1"/>
      <c r="J1880" s="1"/>
      <c r="K1880" s="1"/>
      <c r="L1880" s="1"/>
      <c r="M1880" s="1"/>
      <c r="N1880" s="1"/>
      <c r="O1880" s="1"/>
      <c r="P1880" s="1"/>
      <c r="Q1880" s="1"/>
      <c r="R1880" s="1"/>
      <c r="S1880" s="1"/>
      <c r="T1880" s="1"/>
      <c r="U1880" s="1"/>
      <c r="V1880" s="1"/>
      <c r="W1880" s="1"/>
      <c r="X1880" s="1"/>
      <c r="Y1880" s="1"/>
      <c r="Z1880" s="1"/>
      <c r="AA1880" s="1"/>
      <c r="AB1880" s="1"/>
      <c r="AC1880" s="1"/>
      <c r="AD1880" s="1"/>
      <c r="AE1880" s="1"/>
      <c r="AF1880" s="1"/>
    </row>
    <row r="1881" spans="7:32" x14ac:dyDescent="0.2">
      <c r="G1881" s="2"/>
      <c r="H1881" s="1"/>
      <c r="I1881" s="1"/>
      <c r="J1881" s="1"/>
      <c r="K1881" s="1"/>
      <c r="L1881" s="1"/>
      <c r="M1881" s="1"/>
      <c r="N1881" s="1"/>
      <c r="O1881" s="1"/>
      <c r="P1881" s="1"/>
      <c r="Q1881" s="1"/>
      <c r="R1881" s="1"/>
      <c r="S1881" s="1"/>
      <c r="T1881" s="1"/>
      <c r="U1881" s="1"/>
      <c r="V1881" s="1"/>
      <c r="W1881" s="1"/>
      <c r="X1881" s="1"/>
      <c r="Y1881" s="1"/>
      <c r="Z1881" s="1"/>
      <c r="AA1881" s="1"/>
      <c r="AB1881" s="1"/>
      <c r="AC1881" s="1"/>
      <c r="AD1881" s="1"/>
      <c r="AE1881" s="1"/>
      <c r="AF1881" s="1"/>
    </row>
    <row r="1882" spans="7:32" x14ac:dyDescent="0.2">
      <c r="G1882" s="2"/>
      <c r="H1882" s="1"/>
      <c r="I1882" s="1"/>
      <c r="J1882" s="1"/>
      <c r="K1882" s="1"/>
      <c r="L1882" s="1"/>
      <c r="M1882" s="1"/>
      <c r="N1882" s="1"/>
      <c r="O1882" s="1"/>
      <c r="P1882" s="1"/>
      <c r="Q1882" s="1"/>
      <c r="R1882" s="1"/>
      <c r="S1882" s="1"/>
      <c r="T1882" s="1"/>
      <c r="U1882" s="1"/>
      <c r="V1882" s="1"/>
      <c r="W1882" s="1"/>
      <c r="X1882" s="1"/>
      <c r="Y1882" s="1"/>
      <c r="Z1882" s="1"/>
      <c r="AA1882" s="1"/>
      <c r="AB1882" s="1"/>
      <c r="AC1882" s="1"/>
      <c r="AD1882" s="1"/>
      <c r="AE1882" s="1"/>
      <c r="AF1882" s="1"/>
    </row>
    <row r="1883" spans="7:32" x14ac:dyDescent="0.2">
      <c r="G1883" s="2"/>
      <c r="H1883" s="1"/>
      <c r="I1883" s="1"/>
      <c r="J1883" s="1"/>
      <c r="K1883" s="1"/>
      <c r="L1883" s="1"/>
      <c r="M1883" s="1"/>
      <c r="N1883" s="1"/>
      <c r="O1883" s="1"/>
      <c r="P1883" s="1"/>
      <c r="Q1883" s="1"/>
      <c r="R1883" s="1"/>
      <c r="S1883" s="1"/>
      <c r="T1883" s="1"/>
      <c r="U1883" s="1"/>
      <c r="V1883" s="1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</row>
    <row r="1884" spans="7:32" x14ac:dyDescent="0.2">
      <c r="G1884" s="2"/>
      <c r="H1884" s="1"/>
      <c r="I1884" s="1"/>
      <c r="J1884" s="1"/>
      <c r="K1884" s="1"/>
      <c r="L1884" s="1"/>
      <c r="M1884" s="1"/>
      <c r="N1884" s="1"/>
      <c r="O1884" s="1"/>
      <c r="P1884" s="1"/>
      <c r="Q1884" s="1"/>
      <c r="R1884" s="1"/>
      <c r="S1884" s="1"/>
      <c r="T1884" s="1"/>
      <c r="U1884" s="1"/>
      <c r="V1884" s="1"/>
      <c r="W1884" s="1"/>
      <c r="X1884" s="1"/>
      <c r="Y1884" s="1"/>
      <c r="Z1884" s="1"/>
      <c r="AA1884" s="1"/>
      <c r="AB1884" s="1"/>
      <c r="AC1884" s="1"/>
      <c r="AD1884" s="1"/>
      <c r="AE1884" s="1"/>
      <c r="AF1884" s="1"/>
    </row>
    <row r="1885" spans="7:32" x14ac:dyDescent="0.2">
      <c r="G1885" s="2"/>
      <c r="H1885" s="1"/>
      <c r="I1885" s="1"/>
      <c r="J1885" s="1"/>
      <c r="K1885" s="1"/>
      <c r="L1885" s="1"/>
      <c r="M1885" s="1"/>
      <c r="N1885" s="1"/>
      <c r="O1885" s="1"/>
      <c r="P1885" s="1"/>
      <c r="Q1885" s="1"/>
      <c r="R1885" s="1"/>
      <c r="S1885" s="1"/>
      <c r="T1885" s="1"/>
      <c r="U1885" s="1"/>
      <c r="V1885" s="1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</row>
    <row r="1886" spans="7:32" x14ac:dyDescent="0.2">
      <c r="G1886" s="2"/>
      <c r="H1886" s="1"/>
      <c r="I1886" s="1"/>
      <c r="J1886" s="1"/>
      <c r="K1886" s="1"/>
      <c r="L1886" s="1"/>
      <c r="M1886" s="1"/>
      <c r="N1886" s="1"/>
      <c r="O1886" s="1"/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</row>
    <row r="1887" spans="7:32" x14ac:dyDescent="0.2">
      <c r="G1887" s="2"/>
      <c r="H1887" s="1"/>
      <c r="I1887" s="1"/>
      <c r="J1887" s="1"/>
      <c r="K1887" s="1"/>
      <c r="L1887" s="1"/>
      <c r="M1887" s="1"/>
      <c r="N1887" s="1"/>
      <c r="O1887" s="1"/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  <c r="AA1887" s="1"/>
      <c r="AB1887" s="1"/>
      <c r="AC1887" s="1"/>
      <c r="AD1887" s="1"/>
      <c r="AE1887" s="1"/>
      <c r="AF1887" s="1"/>
    </row>
    <row r="1888" spans="7:32" x14ac:dyDescent="0.2">
      <c r="G1888" s="2"/>
      <c r="H1888" s="1"/>
      <c r="I1888" s="1"/>
      <c r="J1888" s="1"/>
      <c r="K1888" s="1"/>
      <c r="L1888" s="1"/>
      <c r="M1888" s="1"/>
      <c r="N1888" s="1"/>
      <c r="O1888" s="1"/>
      <c r="P1888" s="1"/>
      <c r="Q1888" s="1"/>
      <c r="R1888" s="1"/>
      <c r="S1888" s="1"/>
      <c r="T1888" s="1"/>
      <c r="U1888" s="1"/>
      <c r="V1888" s="1"/>
      <c r="W1888" s="1"/>
      <c r="X1888" s="1"/>
      <c r="Y1888" s="1"/>
      <c r="Z1888" s="1"/>
      <c r="AA1888" s="1"/>
      <c r="AB1888" s="1"/>
      <c r="AC1888" s="1"/>
      <c r="AD1888" s="1"/>
      <c r="AE1888" s="1"/>
      <c r="AF1888" s="1"/>
    </row>
    <row r="1889" spans="7:32" x14ac:dyDescent="0.2">
      <c r="G1889" s="2"/>
      <c r="H1889" s="1"/>
      <c r="I1889" s="1"/>
      <c r="J1889" s="1"/>
      <c r="K1889" s="1"/>
      <c r="L1889" s="1"/>
      <c r="M1889" s="1"/>
      <c r="N1889" s="1"/>
      <c r="O1889" s="1"/>
      <c r="P1889" s="1"/>
      <c r="Q1889" s="1"/>
      <c r="R1889" s="1"/>
      <c r="S1889" s="1"/>
      <c r="T1889" s="1"/>
      <c r="U1889" s="1"/>
      <c r="V1889" s="1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</row>
    <row r="1890" spans="7:32" x14ac:dyDescent="0.2">
      <c r="G1890" s="2"/>
      <c r="H1890" s="1"/>
      <c r="I1890" s="1"/>
      <c r="J1890" s="1"/>
      <c r="K1890" s="1"/>
      <c r="L1890" s="1"/>
      <c r="M1890" s="1"/>
      <c r="N1890" s="1"/>
      <c r="O1890" s="1"/>
      <c r="P1890" s="1"/>
      <c r="Q1890" s="1"/>
      <c r="R1890" s="1"/>
      <c r="S1890" s="1"/>
      <c r="T1890" s="1"/>
      <c r="U1890" s="1"/>
      <c r="V1890" s="1"/>
      <c r="W1890" s="1"/>
      <c r="X1890" s="1"/>
      <c r="Y1890" s="1"/>
      <c r="Z1890" s="1"/>
      <c r="AA1890" s="1"/>
      <c r="AB1890" s="1"/>
      <c r="AC1890" s="1"/>
      <c r="AD1890" s="1"/>
      <c r="AE1890" s="1"/>
      <c r="AF1890" s="1"/>
    </row>
    <row r="1891" spans="7:32" x14ac:dyDescent="0.2">
      <c r="G1891" s="2"/>
      <c r="H1891" s="1"/>
      <c r="I1891" s="1"/>
      <c r="J1891" s="1"/>
      <c r="K1891" s="1"/>
      <c r="L1891" s="1"/>
      <c r="M1891" s="1"/>
      <c r="N1891" s="1"/>
      <c r="O1891" s="1"/>
      <c r="P1891" s="1"/>
      <c r="Q1891" s="1"/>
      <c r="R1891" s="1"/>
      <c r="S1891" s="1"/>
      <c r="T1891" s="1"/>
      <c r="U1891" s="1"/>
      <c r="V1891" s="1"/>
      <c r="W1891" s="1"/>
      <c r="X1891" s="1"/>
      <c r="Y1891" s="1"/>
      <c r="Z1891" s="1"/>
      <c r="AA1891" s="1"/>
      <c r="AB1891" s="1"/>
      <c r="AC1891" s="1"/>
      <c r="AD1891" s="1"/>
      <c r="AE1891" s="1"/>
      <c r="AF1891" s="1"/>
    </row>
    <row r="1892" spans="7:32" x14ac:dyDescent="0.2">
      <c r="G1892" s="2"/>
      <c r="H1892" s="1"/>
      <c r="I1892" s="1"/>
      <c r="J1892" s="1"/>
      <c r="K1892" s="1"/>
      <c r="L1892" s="1"/>
      <c r="M1892" s="1"/>
      <c r="N1892" s="1"/>
      <c r="O1892" s="1"/>
      <c r="P1892" s="1"/>
      <c r="Q1892" s="1"/>
      <c r="R1892" s="1"/>
      <c r="S1892" s="1"/>
      <c r="T1892" s="1"/>
      <c r="U1892" s="1"/>
      <c r="V1892" s="1"/>
      <c r="W1892" s="1"/>
      <c r="X1892" s="1"/>
      <c r="Y1892" s="1"/>
      <c r="Z1892" s="1"/>
      <c r="AA1892" s="1"/>
      <c r="AB1892" s="1"/>
      <c r="AC1892" s="1"/>
      <c r="AD1892" s="1"/>
      <c r="AE1892" s="1"/>
      <c r="AF1892" s="1"/>
    </row>
    <row r="1893" spans="7:32" x14ac:dyDescent="0.2">
      <c r="G1893" s="2"/>
      <c r="H1893" s="1"/>
      <c r="I1893" s="1"/>
      <c r="J1893" s="1"/>
      <c r="K1893" s="1"/>
      <c r="L1893" s="1"/>
      <c r="M1893" s="1"/>
      <c r="N1893" s="1"/>
      <c r="O1893" s="1"/>
      <c r="P1893" s="1"/>
      <c r="Q1893" s="1"/>
      <c r="R1893" s="1"/>
      <c r="S1893" s="1"/>
      <c r="T1893" s="1"/>
      <c r="U1893" s="1"/>
      <c r="V1893" s="1"/>
      <c r="W1893" s="1"/>
      <c r="X1893" s="1"/>
      <c r="Y1893" s="1"/>
      <c r="Z1893" s="1"/>
      <c r="AA1893" s="1"/>
      <c r="AB1893" s="1"/>
      <c r="AC1893" s="1"/>
      <c r="AD1893" s="1"/>
      <c r="AE1893" s="1"/>
      <c r="AF1893" s="1"/>
    </row>
    <row r="1894" spans="7:32" x14ac:dyDescent="0.2">
      <c r="G1894" s="2"/>
      <c r="H1894" s="1"/>
      <c r="I1894" s="1"/>
      <c r="J1894" s="1"/>
      <c r="K1894" s="1"/>
      <c r="L1894" s="1"/>
      <c r="M1894" s="1"/>
      <c r="N1894" s="1"/>
      <c r="O1894" s="1"/>
      <c r="P1894" s="1"/>
      <c r="Q1894" s="1"/>
      <c r="R1894" s="1"/>
      <c r="S1894" s="1"/>
      <c r="T1894" s="1"/>
      <c r="U1894" s="1"/>
      <c r="V1894" s="1"/>
      <c r="W1894" s="1"/>
      <c r="X1894" s="1"/>
      <c r="Y1894" s="1"/>
      <c r="Z1894" s="1"/>
      <c r="AA1894" s="1"/>
      <c r="AB1894" s="1"/>
      <c r="AC1894" s="1"/>
      <c r="AD1894" s="1"/>
      <c r="AE1894" s="1"/>
      <c r="AF1894" s="1"/>
    </row>
    <row r="1895" spans="7:32" x14ac:dyDescent="0.2">
      <c r="G1895" s="2"/>
      <c r="H1895" s="1"/>
      <c r="I1895" s="1"/>
      <c r="J1895" s="1"/>
      <c r="K1895" s="1"/>
      <c r="L1895" s="1"/>
      <c r="M1895" s="1"/>
      <c r="N1895" s="1"/>
      <c r="O1895" s="1"/>
      <c r="P1895" s="1"/>
      <c r="Q1895" s="1"/>
      <c r="R1895" s="1"/>
      <c r="S1895" s="1"/>
      <c r="T1895" s="1"/>
      <c r="U1895" s="1"/>
      <c r="V1895" s="1"/>
      <c r="W1895" s="1"/>
      <c r="X1895" s="1"/>
      <c r="Y1895" s="1"/>
      <c r="Z1895" s="1"/>
      <c r="AA1895" s="1"/>
      <c r="AB1895" s="1"/>
      <c r="AC1895" s="1"/>
      <c r="AD1895" s="1"/>
      <c r="AE1895" s="1"/>
      <c r="AF1895" s="1"/>
    </row>
    <row r="1896" spans="7:32" x14ac:dyDescent="0.2">
      <c r="G1896" s="2"/>
      <c r="H1896" s="1"/>
      <c r="I1896" s="1"/>
      <c r="J1896" s="1"/>
      <c r="K1896" s="1"/>
      <c r="L1896" s="1"/>
      <c r="M1896" s="1"/>
      <c r="N1896" s="1"/>
      <c r="O1896" s="1"/>
      <c r="P1896" s="1"/>
      <c r="Q1896" s="1"/>
      <c r="R1896" s="1"/>
      <c r="S1896" s="1"/>
      <c r="T1896" s="1"/>
      <c r="U1896" s="1"/>
      <c r="V1896" s="1"/>
      <c r="W1896" s="1"/>
      <c r="X1896" s="1"/>
      <c r="Y1896" s="1"/>
      <c r="Z1896" s="1"/>
      <c r="AA1896" s="1"/>
      <c r="AB1896" s="1"/>
      <c r="AC1896" s="1"/>
      <c r="AD1896" s="1"/>
      <c r="AE1896" s="1"/>
      <c r="AF1896" s="1"/>
    </row>
    <row r="1897" spans="7:32" x14ac:dyDescent="0.2">
      <c r="G1897" s="2"/>
      <c r="H1897" s="1"/>
      <c r="I1897" s="1"/>
      <c r="J1897" s="1"/>
      <c r="K1897" s="1"/>
      <c r="L1897" s="1"/>
      <c r="M1897" s="1"/>
      <c r="N1897" s="1"/>
      <c r="O1897" s="1"/>
      <c r="P1897" s="1"/>
      <c r="Q1897" s="1"/>
      <c r="R1897" s="1"/>
      <c r="S1897" s="1"/>
      <c r="T1897" s="1"/>
      <c r="U1897" s="1"/>
      <c r="V1897" s="1"/>
      <c r="W1897" s="1"/>
      <c r="X1897" s="1"/>
      <c r="Y1897" s="1"/>
      <c r="Z1897" s="1"/>
      <c r="AA1897" s="1"/>
      <c r="AB1897" s="1"/>
      <c r="AC1897" s="1"/>
      <c r="AD1897" s="1"/>
      <c r="AE1897" s="1"/>
      <c r="AF1897" s="1"/>
    </row>
    <row r="1898" spans="7:32" x14ac:dyDescent="0.2">
      <c r="G1898" s="2"/>
      <c r="H1898" s="1"/>
      <c r="I1898" s="1"/>
      <c r="J1898" s="1"/>
      <c r="K1898" s="1"/>
      <c r="L1898" s="1"/>
      <c r="M1898" s="1"/>
      <c r="N1898" s="1"/>
      <c r="O1898" s="1"/>
      <c r="P1898" s="1"/>
      <c r="Q1898" s="1"/>
      <c r="R1898" s="1"/>
      <c r="S1898" s="1"/>
      <c r="T1898" s="1"/>
      <c r="U1898" s="1"/>
      <c r="V1898" s="1"/>
      <c r="W1898" s="1"/>
      <c r="X1898" s="1"/>
      <c r="Y1898" s="1"/>
      <c r="Z1898" s="1"/>
      <c r="AA1898" s="1"/>
      <c r="AB1898" s="1"/>
      <c r="AC1898" s="1"/>
      <c r="AD1898" s="1"/>
      <c r="AE1898" s="1"/>
      <c r="AF1898" s="1"/>
    </row>
    <row r="1899" spans="7:32" x14ac:dyDescent="0.2">
      <c r="G1899" s="2"/>
      <c r="H1899" s="1"/>
      <c r="I1899" s="1"/>
      <c r="J1899" s="1"/>
      <c r="K1899" s="1"/>
      <c r="L1899" s="1"/>
      <c r="M1899" s="1"/>
      <c r="N1899" s="1"/>
      <c r="O1899" s="1"/>
      <c r="P1899" s="1"/>
      <c r="Q1899" s="1"/>
      <c r="R1899" s="1"/>
      <c r="S1899" s="1"/>
      <c r="T1899" s="1"/>
      <c r="U1899" s="1"/>
      <c r="V1899" s="1"/>
      <c r="W1899" s="1"/>
      <c r="X1899" s="1"/>
      <c r="Y1899" s="1"/>
      <c r="Z1899" s="1"/>
      <c r="AA1899" s="1"/>
      <c r="AB1899" s="1"/>
      <c r="AC1899" s="1"/>
      <c r="AD1899" s="1"/>
      <c r="AE1899" s="1"/>
      <c r="AF1899" s="1"/>
    </row>
    <row r="1900" spans="7:32" x14ac:dyDescent="0.2">
      <c r="G1900" s="2"/>
      <c r="H1900" s="1"/>
      <c r="I1900" s="1"/>
      <c r="J1900" s="1"/>
      <c r="K1900" s="1"/>
      <c r="L1900" s="1"/>
      <c r="M1900" s="1"/>
      <c r="N1900" s="1"/>
      <c r="O1900" s="1"/>
      <c r="P1900" s="1"/>
      <c r="Q1900" s="1"/>
      <c r="R1900" s="1"/>
      <c r="S1900" s="1"/>
      <c r="T1900" s="1"/>
      <c r="U1900" s="1"/>
      <c r="V1900" s="1"/>
      <c r="W1900" s="1"/>
      <c r="X1900" s="1"/>
      <c r="Y1900" s="1"/>
      <c r="Z1900" s="1"/>
      <c r="AA1900" s="1"/>
      <c r="AB1900" s="1"/>
      <c r="AC1900" s="1"/>
      <c r="AD1900" s="1"/>
      <c r="AE1900" s="1"/>
      <c r="AF1900" s="1"/>
    </row>
    <row r="1901" spans="7:32" x14ac:dyDescent="0.2">
      <c r="G1901" s="2"/>
      <c r="H1901" s="1"/>
      <c r="I1901" s="1"/>
      <c r="J1901" s="1"/>
      <c r="K1901" s="1"/>
      <c r="L1901" s="1"/>
      <c r="M1901" s="1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  <c r="AC1901" s="1"/>
      <c r="AD1901" s="1"/>
      <c r="AE1901" s="1"/>
      <c r="AF1901" s="1"/>
    </row>
    <row r="1902" spans="7:32" x14ac:dyDescent="0.2">
      <c r="G1902" s="2"/>
      <c r="H1902" s="1"/>
      <c r="I1902" s="1"/>
      <c r="J1902" s="1"/>
      <c r="K1902" s="1"/>
      <c r="L1902" s="1"/>
      <c r="M1902" s="1"/>
      <c r="N1902" s="1"/>
      <c r="O1902" s="1"/>
      <c r="P1902" s="1"/>
      <c r="Q1902" s="1"/>
      <c r="R1902" s="1"/>
      <c r="S1902" s="1"/>
      <c r="T1902" s="1"/>
      <c r="U1902" s="1"/>
      <c r="V1902" s="1"/>
      <c r="W1902" s="1"/>
      <c r="X1902" s="1"/>
      <c r="Y1902" s="1"/>
      <c r="Z1902" s="1"/>
      <c r="AA1902" s="1"/>
      <c r="AB1902" s="1"/>
      <c r="AC1902" s="1"/>
      <c r="AD1902" s="1"/>
      <c r="AE1902" s="1"/>
      <c r="AF1902" s="1"/>
    </row>
    <row r="1903" spans="7:32" x14ac:dyDescent="0.2">
      <c r="G1903" s="2"/>
      <c r="H1903" s="1"/>
      <c r="I1903" s="1"/>
      <c r="J1903" s="1"/>
      <c r="K1903" s="1"/>
      <c r="L1903" s="1"/>
      <c r="M1903" s="1"/>
      <c r="N1903" s="1"/>
      <c r="O1903" s="1"/>
      <c r="P1903" s="1"/>
      <c r="Q1903" s="1"/>
      <c r="R1903" s="1"/>
      <c r="S1903" s="1"/>
      <c r="T1903" s="1"/>
      <c r="U1903" s="1"/>
      <c r="V1903" s="1"/>
      <c r="W1903" s="1"/>
      <c r="X1903" s="1"/>
      <c r="Y1903" s="1"/>
      <c r="Z1903" s="1"/>
      <c r="AA1903" s="1"/>
      <c r="AB1903" s="1"/>
      <c r="AC1903" s="1"/>
      <c r="AD1903" s="1"/>
      <c r="AE1903" s="1"/>
      <c r="AF1903" s="1"/>
    </row>
    <row r="1904" spans="7:32" x14ac:dyDescent="0.2">
      <c r="G1904" s="2"/>
      <c r="H1904" s="1"/>
      <c r="I1904" s="1"/>
      <c r="J1904" s="1"/>
      <c r="K1904" s="1"/>
      <c r="L1904" s="1"/>
      <c r="M1904" s="1"/>
      <c r="N1904" s="1"/>
      <c r="O1904" s="1"/>
      <c r="P1904" s="1"/>
      <c r="Q1904" s="1"/>
      <c r="R1904" s="1"/>
      <c r="S1904" s="1"/>
      <c r="T1904" s="1"/>
      <c r="U1904" s="1"/>
      <c r="V1904" s="1"/>
      <c r="W1904" s="1"/>
      <c r="X1904" s="1"/>
      <c r="Y1904" s="1"/>
      <c r="Z1904" s="1"/>
      <c r="AA1904" s="1"/>
      <c r="AB1904" s="1"/>
      <c r="AC1904" s="1"/>
      <c r="AD1904" s="1"/>
      <c r="AE1904" s="1"/>
      <c r="AF1904" s="1"/>
    </row>
    <row r="1905" spans="7:32" x14ac:dyDescent="0.2">
      <c r="G1905" s="2"/>
      <c r="H1905" s="1"/>
      <c r="I1905" s="1"/>
      <c r="J1905" s="1"/>
      <c r="K1905" s="1"/>
      <c r="L1905" s="1"/>
      <c r="M1905" s="1"/>
      <c r="N1905" s="1"/>
      <c r="O1905" s="1"/>
      <c r="P1905" s="1"/>
      <c r="Q1905" s="1"/>
      <c r="R1905" s="1"/>
      <c r="S1905" s="1"/>
      <c r="T1905" s="1"/>
      <c r="U1905" s="1"/>
      <c r="V1905" s="1"/>
      <c r="W1905" s="1"/>
      <c r="X1905" s="1"/>
      <c r="Y1905" s="1"/>
      <c r="Z1905" s="1"/>
      <c r="AA1905" s="1"/>
      <c r="AB1905" s="1"/>
      <c r="AC1905" s="1"/>
      <c r="AD1905" s="1"/>
      <c r="AE1905" s="1"/>
      <c r="AF1905" s="1"/>
    </row>
    <row r="1906" spans="7:32" x14ac:dyDescent="0.2">
      <c r="G1906" s="2"/>
      <c r="H1906" s="1"/>
      <c r="I1906" s="1"/>
      <c r="J1906" s="1"/>
      <c r="K1906" s="1"/>
      <c r="L1906" s="1"/>
      <c r="M1906" s="1"/>
      <c r="N1906" s="1"/>
      <c r="O1906" s="1"/>
      <c r="P1906" s="1"/>
      <c r="Q1906" s="1"/>
      <c r="R1906" s="1"/>
      <c r="S1906" s="1"/>
      <c r="T1906" s="1"/>
      <c r="U1906" s="1"/>
      <c r="V1906" s="1"/>
      <c r="W1906" s="1"/>
      <c r="X1906" s="1"/>
      <c r="Y1906" s="1"/>
      <c r="Z1906" s="1"/>
      <c r="AA1906" s="1"/>
      <c r="AB1906" s="1"/>
      <c r="AC1906" s="1"/>
      <c r="AD1906" s="1"/>
      <c r="AE1906" s="1"/>
      <c r="AF1906" s="1"/>
    </row>
    <row r="1907" spans="7:32" x14ac:dyDescent="0.2">
      <c r="G1907" s="2"/>
      <c r="H1907" s="1"/>
      <c r="I1907" s="1"/>
      <c r="J1907" s="1"/>
      <c r="K1907" s="1"/>
      <c r="L1907" s="1"/>
      <c r="M1907" s="1"/>
      <c r="N1907" s="1"/>
      <c r="O1907" s="1"/>
      <c r="P1907" s="1"/>
      <c r="Q1907" s="1"/>
      <c r="R1907" s="1"/>
      <c r="S1907" s="1"/>
      <c r="T1907" s="1"/>
      <c r="U1907" s="1"/>
      <c r="V1907" s="1"/>
      <c r="W1907" s="1"/>
      <c r="X1907" s="1"/>
      <c r="Y1907" s="1"/>
      <c r="Z1907" s="1"/>
      <c r="AA1907" s="1"/>
      <c r="AB1907" s="1"/>
      <c r="AC1907" s="1"/>
      <c r="AD1907" s="1"/>
      <c r="AE1907" s="1"/>
      <c r="AF1907" s="1"/>
    </row>
    <row r="1908" spans="7:32" x14ac:dyDescent="0.2">
      <c r="G1908" s="2"/>
      <c r="H1908" s="1"/>
      <c r="I1908" s="1"/>
      <c r="J1908" s="1"/>
      <c r="K1908" s="1"/>
      <c r="L1908" s="1"/>
      <c r="M1908" s="1"/>
      <c r="N1908" s="1"/>
      <c r="O1908" s="1"/>
      <c r="P1908" s="1"/>
      <c r="Q1908" s="1"/>
      <c r="R1908" s="1"/>
      <c r="S1908" s="1"/>
      <c r="T1908" s="1"/>
      <c r="U1908" s="1"/>
      <c r="V1908" s="1"/>
      <c r="W1908" s="1"/>
      <c r="X1908" s="1"/>
      <c r="Y1908" s="1"/>
      <c r="Z1908" s="1"/>
      <c r="AA1908" s="1"/>
      <c r="AB1908" s="1"/>
      <c r="AC1908" s="1"/>
      <c r="AD1908" s="1"/>
      <c r="AE1908" s="1"/>
      <c r="AF1908" s="1"/>
    </row>
    <row r="1909" spans="7:32" x14ac:dyDescent="0.2">
      <c r="G1909" s="2"/>
      <c r="H1909" s="1"/>
      <c r="I1909" s="1"/>
      <c r="J1909" s="1"/>
      <c r="K1909" s="1"/>
      <c r="L1909" s="1"/>
      <c r="M1909" s="1"/>
      <c r="N1909" s="1"/>
      <c r="O1909" s="1"/>
      <c r="P1909" s="1"/>
      <c r="Q1909" s="1"/>
      <c r="R1909" s="1"/>
      <c r="S1909" s="1"/>
      <c r="T1909" s="1"/>
      <c r="U1909" s="1"/>
      <c r="V1909" s="1"/>
      <c r="W1909" s="1"/>
      <c r="X1909" s="1"/>
      <c r="Y1909" s="1"/>
      <c r="Z1909" s="1"/>
      <c r="AA1909" s="1"/>
      <c r="AB1909" s="1"/>
      <c r="AC1909" s="1"/>
      <c r="AD1909" s="1"/>
      <c r="AE1909" s="1"/>
      <c r="AF1909" s="1"/>
    </row>
    <row r="1910" spans="7:32" x14ac:dyDescent="0.2">
      <c r="G1910" s="2"/>
      <c r="H1910" s="1"/>
      <c r="I1910" s="1"/>
      <c r="J1910" s="1"/>
      <c r="K1910" s="1"/>
      <c r="L1910" s="1"/>
      <c r="M1910" s="1"/>
      <c r="N1910" s="1"/>
      <c r="O1910" s="1"/>
      <c r="P1910" s="1"/>
      <c r="Q1910" s="1"/>
      <c r="R1910" s="1"/>
      <c r="S1910" s="1"/>
      <c r="T1910" s="1"/>
      <c r="U1910" s="1"/>
      <c r="V1910" s="1"/>
      <c r="W1910" s="1"/>
      <c r="X1910" s="1"/>
      <c r="Y1910" s="1"/>
      <c r="Z1910" s="1"/>
      <c r="AA1910" s="1"/>
      <c r="AB1910" s="1"/>
      <c r="AC1910" s="1"/>
      <c r="AD1910" s="1"/>
      <c r="AE1910" s="1"/>
      <c r="AF1910" s="1"/>
    </row>
    <row r="1911" spans="7:32" x14ac:dyDescent="0.2">
      <c r="G1911" s="2"/>
      <c r="H1911" s="1"/>
      <c r="I1911" s="1"/>
      <c r="J1911" s="1"/>
      <c r="K1911" s="1"/>
      <c r="L1911" s="1"/>
      <c r="M1911" s="1"/>
      <c r="N1911" s="1"/>
      <c r="O1911" s="1"/>
      <c r="P1911" s="1"/>
      <c r="Q1911" s="1"/>
      <c r="R1911" s="1"/>
      <c r="S1911" s="1"/>
      <c r="T1911" s="1"/>
      <c r="U1911" s="1"/>
      <c r="V1911" s="1"/>
      <c r="W1911" s="1"/>
      <c r="X1911" s="1"/>
      <c r="Y1911" s="1"/>
      <c r="Z1911" s="1"/>
      <c r="AA1911" s="1"/>
      <c r="AB1911" s="1"/>
      <c r="AC1911" s="1"/>
      <c r="AD1911" s="1"/>
      <c r="AE1911" s="1"/>
      <c r="AF1911" s="1"/>
    </row>
    <row r="1912" spans="7:32" x14ac:dyDescent="0.2">
      <c r="G1912" s="2"/>
      <c r="H1912" s="1"/>
      <c r="I1912" s="1"/>
      <c r="J1912" s="1"/>
      <c r="K1912" s="1"/>
      <c r="L1912" s="1"/>
      <c r="M1912" s="1"/>
      <c r="N1912" s="1"/>
      <c r="O1912" s="1"/>
      <c r="P1912" s="1"/>
      <c r="Q1912" s="1"/>
      <c r="R1912" s="1"/>
      <c r="S1912" s="1"/>
      <c r="T1912" s="1"/>
      <c r="U1912" s="1"/>
      <c r="V1912" s="1"/>
      <c r="W1912" s="1"/>
      <c r="X1912" s="1"/>
      <c r="Y1912" s="1"/>
      <c r="Z1912" s="1"/>
      <c r="AA1912" s="1"/>
      <c r="AB1912" s="1"/>
      <c r="AC1912" s="1"/>
      <c r="AD1912" s="1"/>
      <c r="AE1912" s="1"/>
      <c r="AF1912" s="1"/>
    </row>
    <row r="1913" spans="7:32" x14ac:dyDescent="0.2">
      <c r="G1913" s="2"/>
      <c r="H1913" s="1"/>
      <c r="I1913" s="1"/>
      <c r="J1913" s="1"/>
      <c r="K1913" s="1"/>
      <c r="L1913" s="1"/>
      <c r="M1913" s="1"/>
      <c r="N1913" s="1"/>
      <c r="O1913" s="1"/>
      <c r="P1913" s="1"/>
      <c r="Q1913" s="1"/>
      <c r="R1913" s="1"/>
      <c r="S1913" s="1"/>
      <c r="T1913" s="1"/>
      <c r="U1913" s="1"/>
      <c r="V1913" s="1"/>
      <c r="W1913" s="1"/>
      <c r="X1913" s="1"/>
      <c r="Y1913" s="1"/>
      <c r="Z1913" s="1"/>
      <c r="AA1913" s="1"/>
      <c r="AB1913" s="1"/>
      <c r="AC1913" s="1"/>
      <c r="AD1913" s="1"/>
      <c r="AE1913" s="1"/>
      <c r="AF1913" s="1"/>
    </row>
    <row r="1914" spans="7:32" x14ac:dyDescent="0.2">
      <c r="G1914" s="2"/>
      <c r="H1914" s="1"/>
      <c r="I1914" s="1"/>
      <c r="J1914" s="1"/>
      <c r="K1914" s="1"/>
      <c r="L1914" s="1"/>
      <c r="M1914" s="1"/>
      <c r="N1914" s="1"/>
      <c r="O1914" s="1"/>
      <c r="P1914" s="1"/>
      <c r="Q1914" s="1"/>
      <c r="R1914" s="1"/>
      <c r="S1914" s="1"/>
      <c r="T1914" s="1"/>
      <c r="U1914" s="1"/>
      <c r="V1914" s="1"/>
      <c r="W1914" s="1"/>
      <c r="X1914" s="1"/>
      <c r="Y1914" s="1"/>
      <c r="Z1914" s="1"/>
      <c r="AA1914" s="1"/>
      <c r="AB1914" s="1"/>
      <c r="AC1914" s="1"/>
      <c r="AD1914" s="1"/>
      <c r="AE1914" s="1"/>
      <c r="AF1914" s="1"/>
    </row>
    <row r="1915" spans="7:32" x14ac:dyDescent="0.2">
      <c r="G1915" s="2"/>
      <c r="H1915" s="1"/>
      <c r="I1915" s="1"/>
      <c r="J1915" s="1"/>
      <c r="K1915" s="1"/>
      <c r="L1915" s="1"/>
      <c r="M1915" s="1"/>
      <c r="N1915" s="1"/>
      <c r="O1915" s="1"/>
      <c r="P1915" s="1"/>
      <c r="Q1915" s="1"/>
      <c r="R1915" s="1"/>
      <c r="S1915" s="1"/>
      <c r="T1915" s="1"/>
      <c r="U1915" s="1"/>
      <c r="V1915" s="1"/>
      <c r="W1915" s="1"/>
      <c r="X1915" s="1"/>
      <c r="Y1915" s="1"/>
      <c r="Z1915" s="1"/>
      <c r="AA1915" s="1"/>
      <c r="AB1915" s="1"/>
      <c r="AC1915" s="1"/>
      <c r="AD1915" s="1"/>
      <c r="AE1915" s="1"/>
      <c r="AF1915" s="1"/>
    </row>
    <row r="1916" spans="7:32" x14ac:dyDescent="0.2">
      <c r="G1916" s="2"/>
      <c r="H1916" s="1"/>
      <c r="I1916" s="1"/>
      <c r="J1916" s="1"/>
      <c r="K1916" s="1"/>
      <c r="L1916" s="1"/>
      <c r="M1916" s="1"/>
      <c r="N1916" s="1"/>
      <c r="O1916" s="1"/>
      <c r="P1916" s="1"/>
      <c r="Q1916" s="1"/>
      <c r="R1916" s="1"/>
      <c r="S1916" s="1"/>
      <c r="T1916" s="1"/>
      <c r="U1916" s="1"/>
      <c r="V1916" s="1"/>
      <c r="W1916" s="1"/>
      <c r="X1916" s="1"/>
      <c r="Y1916" s="1"/>
      <c r="Z1916" s="1"/>
      <c r="AA1916" s="1"/>
      <c r="AB1916" s="1"/>
      <c r="AC1916" s="1"/>
      <c r="AD1916" s="1"/>
      <c r="AE1916" s="1"/>
      <c r="AF1916" s="1"/>
    </row>
    <row r="1917" spans="7:32" x14ac:dyDescent="0.2">
      <c r="G1917" s="2"/>
      <c r="H1917" s="1"/>
      <c r="I1917" s="1"/>
      <c r="J1917" s="1"/>
      <c r="K1917" s="1"/>
      <c r="L1917" s="1"/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  <c r="X1917" s="1"/>
      <c r="Y1917" s="1"/>
      <c r="Z1917" s="1"/>
      <c r="AA1917" s="1"/>
      <c r="AB1917" s="1"/>
      <c r="AC1917" s="1"/>
      <c r="AD1917" s="1"/>
      <c r="AE1917" s="1"/>
      <c r="AF1917" s="1"/>
    </row>
    <row r="1918" spans="7:32" x14ac:dyDescent="0.2">
      <c r="G1918" s="2"/>
      <c r="H1918" s="1"/>
      <c r="I1918" s="1"/>
      <c r="J1918" s="1"/>
      <c r="K1918" s="1"/>
      <c r="L1918" s="1"/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  <c r="X1918" s="1"/>
      <c r="Y1918" s="1"/>
      <c r="Z1918" s="1"/>
      <c r="AA1918" s="1"/>
      <c r="AB1918" s="1"/>
      <c r="AC1918" s="1"/>
      <c r="AD1918" s="1"/>
      <c r="AE1918" s="1"/>
      <c r="AF1918" s="1"/>
    </row>
    <row r="1919" spans="7:32" x14ac:dyDescent="0.2">
      <c r="G1919" s="2"/>
      <c r="H1919" s="1"/>
      <c r="I1919" s="1"/>
      <c r="J1919" s="1"/>
      <c r="K1919" s="1"/>
      <c r="L1919" s="1"/>
      <c r="M1919" s="1"/>
      <c r="N1919" s="1"/>
      <c r="O1919" s="1"/>
      <c r="P1919" s="1"/>
      <c r="Q1919" s="1"/>
      <c r="R1919" s="1"/>
      <c r="S1919" s="1"/>
      <c r="T1919" s="1"/>
      <c r="U1919" s="1"/>
      <c r="V1919" s="1"/>
      <c r="W1919" s="1"/>
      <c r="X1919" s="1"/>
      <c r="Y1919" s="1"/>
      <c r="Z1919" s="1"/>
      <c r="AA1919" s="1"/>
      <c r="AB1919" s="1"/>
      <c r="AC1919" s="1"/>
      <c r="AD1919" s="1"/>
      <c r="AE1919" s="1"/>
      <c r="AF1919" s="1"/>
    </row>
    <row r="1920" spans="7:32" x14ac:dyDescent="0.2">
      <c r="G1920" s="2"/>
      <c r="H1920" s="1"/>
      <c r="I1920" s="1"/>
      <c r="J1920" s="1"/>
      <c r="K1920" s="1"/>
      <c r="L1920" s="1"/>
      <c r="M1920" s="1"/>
      <c r="N1920" s="1"/>
      <c r="O1920" s="1"/>
      <c r="P1920" s="1"/>
      <c r="Q1920" s="1"/>
      <c r="R1920" s="1"/>
      <c r="S1920" s="1"/>
      <c r="T1920" s="1"/>
      <c r="U1920" s="1"/>
      <c r="V1920" s="1"/>
      <c r="W1920" s="1"/>
      <c r="X1920" s="1"/>
      <c r="Y1920" s="1"/>
      <c r="Z1920" s="1"/>
      <c r="AA1920" s="1"/>
      <c r="AB1920" s="1"/>
      <c r="AC1920" s="1"/>
      <c r="AD1920" s="1"/>
      <c r="AE1920" s="1"/>
      <c r="AF1920" s="1"/>
    </row>
    <row r="1921" spans="7:32" x14ac:dyDescent="0.2">
      <c r="G1921" s="2"/>
      <c r="H1921" s="1"/>
      <c r="I1921" s="1"/>
      <c r="J1921" s="1"/>
      <c r="K1921" s="1"/>
      <c r="L1921" s="1"/>
      <c r="M1921" s="1"/>
      <c r="N1921" s="1"/>
      <c r="O1921" s="1"/>
      <c r="P1921" s="1"/>
      <c r="Q1921" s="1"/>
      <c r="R1921" s="1"/>
      <c r="S1921" s="1"/>
      <c r="T1921" s="1"/>
      <c r="U1921" s="1"/>
      <c r="V1921" s="1"/>
      <c r="W1921" s="1"/>
      <c r="X1921" s="1"/>
      <c r="Y1921" s="1"/>
      <c r="Z1921" s="1"/>
      <c r="AA1921" s="1"/>
      <c r="AB1921" s="1"/>
      <c r="AC1921" s="1"/>
      <c r="AD1921" s="1"/>
      <c r="AE1921" s="1"/>
      <c r="AF1921" s="1"/>
    </row>
    <row r="1922" spans="7:32" x14ac:dyDescent="0.2">
      <c r="G1922" s="2"/>
      <c r="H1922" s="1"/>
      <c r="I1922" s="1"/>
      <c r="J1922" s="1"/>
      <c r="K1922" s="1"/>
      <c r="L1922" s="1"/>
      <c r="M1922" s="1"/>
      <c r="N1922" s="1"/>
      <c r="O1922" s="1"/>
      <c r="P1922" s="1"/>
      <c r="Q1922" s="1"/>
      <c r="R1922" s="1"/>
      <c r="S1922" s="1"/>
      <c r="T1922" s="1"/>
      <c r="U1922" s="1"/>
      <c r="V1922" s="1"/>
      <c r="W1922" s="1"/>
      <c r="X1922" s="1"/>
      <c r="Y1922" s="1"/>
      <c r="Z1922" s="1"/>
      <c r="AA1922" s="1"/>
      <c r="AB1922" s="1"/>
      <c r="AC1922" s="1"/>
      <c r="AD1922" s="1"/>
      <c r="AE1922" s="1"/>
      <c r="AF1922" s="1"/>
    </row>
    <row r="1923" spans="7:32" x14ac:dyDescent="0.2">
      <c r="G1923" s="2"/>
      <c r="H1923" s="1"/>
      <c r="I1923" s="1"/>
      <c r="J1923" s="1"/>
      <c r="K1923" s="1"/>
      <c r="L1923" s="1"/>
      <c r="M1923" s="1"/>
      <c r="N1923" s="1"/>
      <c r="O1923" s="1"/>
      <c r="P1923" s="1"/>
      <c r="Q1923" s="1"/>
      <c r="R1923" s="1"/>
      <c r="S1923" s="1"/>
      <c r="T1923" s="1"/>
      <c r="U1923" s="1"/>
      <c r="V1923" s="1"/>
      <c r="W1923" s="1"/>
      <c r="X1923" s="1"/>
      <c r="Y1923" s="1"/>
      <c r="Z1923" s="1"/>
      <c r="AA1923" s="1"/>
      <c r="AB1923" s="1"/>
      <c r="AC1923" s="1"/>
      <c r="AD1923" s="1"/>
      <c r="AE1923" s="1"/>
      <c r="AF1923" s="1"/>
    </row>
    <row r="1924" spans="7:32" x14ac:dyDescent="0.2">
      <c r="G1924" s="2"/>
      <c r="H1924" s="1"/>
      <c r="I1924" s="1"/>
      <c r="J1924" s="1"/>
      <c r="K1924" s="1"/>
      <c r="L1924" s="1"/>
      <c r="M1924" s="1"/>
      <c r="N1924" s="1"/>
      <c r="O1924" s="1"/>
      <c r="P1924" s="1"/>
      <c r="Q1924" s="1"/>
      <c r="R1924" s="1"/>
      <c r="S1924" s="1"/>
      <c r="T1924" s="1"/>
      <c r="U1924" s="1"/>
      <c r="V1924" s="1"/>
      <c r="W1924" s="1"/>
      <c r="X1924" s="1"/>
      <c r="Y1924" s="1"/>
      <c r="Z1924" s="1"/>
      <c r="AA1924" s="1"/>
      <c r="AB1924" s="1"/>
      <c r="AC1924" s="1"/>
      <c r="AD1924" s="1"/>
      <c r="AE1924" s="1"/>
      <c r="AF1924" s="1"/>
    </row>
    <row r="1925" spans="7:32" x14ac:dyDescent="0.2">
      <c r="G1925" s="2"/>
      <c r="H1925" s="1"/>
      <c r="I1925" s="1"/>
      <c r="J1925" s="1"/>
      <c r="K1925" s="1"/>
      <c r="L1925" s="1"/>
      <c r="M1925" s="1"/>
      <c r="N1925" s="1"/>
      <c r="O1925" s="1"/>
      <c r="P1925" s="1"/>
      <c r="Q1925" s="1"/>
      <c r="R1925" s="1"/>
      <c r="S1925" s="1"/>
      <c r="T1925" s="1"/>
      <c r="U1925" s="1"/>
      <c r="V1925" s="1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</row>
    <row r="1926" spans="7:32" x14ac:dyDescent="0.2">
      <c r="G1926" s="2"/>
      <c r="H1926" s="1"/>
      <c r="I1926" s="1"/>
      <c r="J1926" s="1"/>
      <c r="K1926" s="1"/>
      <c r="L1926" s="1"/>
      <c r="M1926" s="1"/>
      <c r="N1926" s="1"/>
      <c r="O1926" s="1"/>
      <c r="P1926" s="1"/>
      <c r="Q1926" s="1"/>
      <c r="R1926" s="1"/>
      <c r="S1926" s="1"/>
      <c r="T1926" s="1"/>
      <c r="U1926" s="1"/>
      <c r="V1926" s="1"/>
      <c r="W1926" s="1"/>
      <c r="X1926" s="1"/>
      <c r="Y1926" s="1"/>
      <c r="Z1926" s="1"/>
      <c r="AA1926" s="1"/>
      <c r="AB1926" s="1"/>
      <c r="AC1926" s="1"/>
      <c r="AD1926" s="1"/>
      <c r="AE1926" s="1"/>
      <c r="AF1926" s="1"/>
    </row>
    <row r="1927" spans="7:32" x14ac:dyDescent="0.2">
      <c r="G1927" s="2"/>
      <c r="H1927" s="1"/>
      <c r="I1927" s="1"/>
      <c r="J1927" s="1"/>
      <c r="K1927" s="1"/>
      <c r="L1927" s="1"/>
      <c r="M1927" s="1"/>
      <c r="N1927" s="1"/>
      <c r="O1927" s="1"/>
      <c r="P1927" s="1"/>
      <c r="Q1927" s="1"/>
      <c r="R1927" s="1"/>
      <c r="S1927" s="1"/>
      <c r="T1927" s="1"/>
      <c r="U1927" s="1"/>
      <c r="V1927" s="1"/>
      <c r="W1927" s="1"/>
      <c r="X1927" s="1"/>
      <c r="Y1927" s="1"/>
      <c r="Z1927" s="1"/>
      <c r="AA1927" s="1"/>
      <c r="AB1927" s="1"/>
      <c r="AC1927" s="1"/>
      <c r="AD1927" s="1"/>
      <c r="AE1927" s="1"/>
      <c r="AF1927" s="1"/>
    </row>
    <row r="1928" spans="7:32" x14ac:dyDescent="0.2">
      <c r="G1928" s="2"/>
      <c r="H1928" s="1"/>
      <c r="I1928" s="1"/>
      <c r="J1928" s="1"/>
      <c r="K1928" s="1"/>
      <c r="L1928" s="1"/>
      <c r="M1928" s="1"/>
      <c r="N1928" s="1"/>
      <c r="O1928" s="1"/>
      <c r="P1928" s="1"/>
      <c r="Q1928" s="1"/>
      <c r="R1928" s="1"/>
      <c r="S1928" s="1"/>
      <c r="T1928" s="1"/>
      <c r="U1928" s="1"/>
      <c r="V1928" s="1"/>
      <c r="W1928" s="1"/>
      <c r="X1928" s="1"/>
      <c r="Y1928" s="1"/>
      <c r="Z1928" s="1"/>
      <c r="AA1928" s="1"/>
      <c r="AB1928" s="1"/>
      <c r="AC1928" s="1"/>
      <c r="AD1928" s="1"/>
      <c r="AE1928" s="1"/>
      <c r="AF1928" s="1"/>
    </row>
    <row r="1929" spans="7:32" x14ac:dyDescent="0.2">
      <c r="G1929" s="2"/>
      <c r="H1929" s="1"/>
      <c r="I1929" s="1"/>
      <c r="J1929" s="1"/>
      <c r="K1929" s="1"/>
      <c r="L1929" s="1"/>
      <c r="M1929" s="1"/>
      <c r="N1929" s="1"/>
      <c r="O1929" s="1"/>
      <c r="P1929" s="1"/>
      <c r="Q1929" s="1"/>
      <c r="R1929" s="1"/>
      <c r="S1929" s="1"/>
      <c r="T1929" s="1"/>
      <c r="U1929" s="1"/>
      <c r="V1929" s="1"/>
      <c r="W1929" s="1"/>
      <c r="X1929" s="1"/>
      <c r="Y1929" s="1"/>
      <c r="Z1929" s="1"/>
      <c r="AA1929" s="1"/>
      <c r="AB1929" s="1"/>
      <c r="AC1929" s="1"/>
      <c r="AD1929" s="1"/>
      <c r="AE1929" s="1"/>
      <c r="AF1929" s="1"/>
    </row>
    <row r="1930" spans="7:32" x14ac:dyDescent="0.2">
      <c r="G1930" s="2"/>
      <c r="H1930" s="1"/>
      <c r="I1930" s="1"/>
      <c r="J1930" s="1"/>
      <c r="K1930" s="1"/>
      <c r="L1930" s="1"/>
      <c r="M1930" s="1"/>
      <c r="N1930" s="1"/>
      <c r="O1930" s="1"/>
      <c r="P1930" s="1"/>
      <c r="Q1930" s="1"/>
      <c r="R1930" s="1"/>
      <c r="S1930" s="1"/>
      <c r="T1930" s="1"/>
      <c r="U1930" s="1"/>
      <c r="V1930" s="1"/>
      <c r="W1930" s="1"/>
      <c r="X1930" s="1"/>
      <c r="Y1930" s="1"/>
      <c r="Z1930" s="1"/>
      <c r="AA1930" s="1"/>
      <c r="AB1930" s="1"/>
      <c r="AC1930" s="1"/>
      <c r="AD1930" s="1"/>
      <c r="AE1930" s="1"/>
      <c r="AF1930" s="1"/>
    </row>
    <row r="1931" spans="7:32" x14ac:dyDescent="0.2">
      <c r="G1931" s="2"/>
      <c r="H1931" s="1"/>
      <c r="I1931" s="1"/>
      <c r="J1931" s="1"/>
      <c r="K1931" s="1"/>
      <c r="L1931" s="1"/>
      <c r="M1931" s="1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  <c r="AA1931" s="1"/>
      <c r="AB1931" s="1"/>
      <c r="AC1931" s="1"/>
      <c r="AD1931" s="1"/>
      <c r="AE1931" s="1"/>
      <c r="AF1931" s="1"/>
    </row>
    <row r="1932" spans="7:32" x14ac:dyDescent="0.2">
      <c r="G1932" s="2"/>
      <c r="H1932" s="1"/>
      <c r="I1932" s="1"/>
      <c r="J1932" s="1"/>
      <c r="K1932" s="1"/>
      <c r="L1932" s="1"/>
      <c r="M1932" s="1"/>
      <c r="N1932" s="1"/>
      <c r="O1932" s="1"/>
      <c r="P1932" s="1"/>
      <c r="Q1932" s="1"/>
      <c r="R1932" s="1"/>
      <c r="S1932" s="1"/>
      <c r="T1932" s="1"/>
      <c r="U1932" s="1"/>
      <c r="V1932" s="1"/>
      <c r="W1932" s="1"/>
      <c r="X1932" s="1"/>
      <c r="Y1932" s="1"/>
      <c r="Z1932" s="1"/>
      <c r="AA1932" s="1"/>
      <c r="AB1932" s="1"/>
      <c r="AC1932" s="1"/>
      <c r="AD1932" s="1"/>
      <c r="AE1932" s="1"/>
      <c r="AF1932" s="1"/>
    </row>
    <row r="1933" spans="7:32" x14ac:dyDescent="0.2">
      <c r="G1933" s="2"/>
      <c r="H1933" s="1"/>
      <c r="I1933" s="1"/>
      <c r="J1933" s="1"/>
      <c r="K1933" s="1"/>
      <c r="L1933" s="1"/>
      <c r="M1933" s="1"/>
      <c r="N1933" s="1"/>
      <c r="O1933" s="1"/>
      <c r="P1933" s="1"/>
      <c r="Q1933" s="1"/>
      <c r="R1933" s="1"/>
      <c r="S1933" s="1"/>
      <c r="T1933" s="1"/>
      <c r="U1933" s="1"/>
      <c r="V1933" s="1"/>
      <c r="W1933" s="1"/>
      <c r="X1933" s="1"/>
      <c r="Y1933" s="1"/>
      <c r="Z1933" s="1"/>
      <c r="AA1933" s="1"/>
      <c r="AB1933" s="1"/>
      <c r="AC1933" s="1"/>
      <c r="AD1933" s="1"/>
      <c r="AE1933" s="1"/>
      <c r="AF1933" s="1"/>
    </row>
    <row r="1934" spans="7:32" x14ac:dyDescent="0.2">
      <c r="G1934" s="2"/>
      <c r="H1934" s="1"/>
      <c r="I1934" s="1"/>
      <c r="J1934" s="1"/>
      <c r="K1934" s="1"/>
      <c r="L1934" s="1"/>
      <c r="M1934" s="1"/>
      <c r="N1934" s="1"/>
      <c r="O1934" s="1"/>
      <c r="P1934" s="1"/>
      <c r="Q1934" s="1"/>
      <c r="R1934" s="1"/>
      <c r="S1934" s="1"/>
      <c r="T1934" s="1"/>
      <c r="U1934" s="1"/>
      <c r="V1934" s="1"/>
      <c r="W1934" s="1"/>
      <c r="X1934" s="1"/>
      <c r="Y1934" s="1"/>
      <c r="Z1934" s="1"/>
      <c r="AA1934" s="1"/>
      <c r="AB1934" s="1"/>
      <c r="AC1934" s="1"/>
      <c r="AD1934" s="1"/>
      <c r="AE1934" s="1"/>
      <c r="AF1934" s="1"/>
    </row>
    <row r="1935" spans="7:32" x14ac:dyDescent="0.2">
      <c r="G1935" s="2"/>
      <c r="H1935" s="1"/>
      <c r="I1935" s="1"/>
      <c r="J1935" s="1"/>
      <c r="K1935" s="1"/>
      <c r="L1935" s="1"/>
      <c r="M1935" s="1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  <c r="AC1935" s="1"/>
      <c r="AD1935" s="1"/>
      <c r="AE1935" s="1"/>
      <c r="AF1935" s="1"/>
    </row>
    <row r="1936" spans="7:32" x14ac:dyDescent="0.2">
      <c r="G1936" s="2"/>
      <c r="H1936" s="1"/>
      <c r="I1936" s="1"/>
      <c r="J1936" s="1"/>
      <c r="K1936" s="1"/>
      <c r="L1936" s="1"/>
      <c r="M1936" s="1"/>
      <c r="N1936" s="1"/>
      <c r="O1936" s="1"/>
      <c r="P1936" s="1"/>
      <c r="Q1936" s="1"/>
      <c r="R1936" s="1"/>
      <c r="S1936" s="1"/>
      <c r="T1936" s="1"/>
      <c r="U1936" s="1"/>
      <c r="V1936" s="1"/>
      <c r="W1936" s="1"/>
      <c r="X1936" s="1"/>
      <c r="Y1936" s="1"/>
      <c r="Z1936" s="1"/>
      <c r="AA1936" s="1"/>
      <c r="AB1936" s="1"/>
      <c r="AC1936" s="1"/>
      <c r="AD1936" s="1"/>
      <c r="AE1936" s="1"/>
      <c r="AF1936" s="1"/>
    </row>
    <row r="1937" spans="7:32" x14ac:dyDescent="0.2">
      <c r="G1937" s="2"/>
      <c r="H1937" s="1"/>
      <c r="I1937" s="1"/>
      <c r="J1937" s="1"/>
      <c r="K1937" s="1"/>
      <c r="L1937" s="1"/>
      <c r="M1937" s="1"/>
      <c r="N1937" s="1"/>
      <c r="O1937" s="1"/>
      <c r="P1937" s="1"/>
      <c r="Q1937" s="1"/>
      <c r="R1937" s="1"/>
      <c r="S1937" s="1"/>
      <c r="T1937" s="1"/>
      <c r="U1937" s="1"/>
      <c r="V1937" s="1"/>
      <c r="W1937" s="1"/>
      <c r="X1937" s="1"/>
      <c r="Y1937" s="1"/>
      <c r="Z1937" s="1"/>
      <c r="AA1937" s="1"/>
      <c r="AB1937" s="1"/>
      <c r="AC1937" s="1"/>
      <c r="AD1937" s="1"/>
      <c r="AE1937" s="1"/>
      <c r="AF1937" s="1"/>
    </row>
    <row r="1938" spans="7:32" x14ac:dyDescent="0.2">
      <c r="G1938" s="2"/>
      <c r="H1938" s="1"/>
      <c r="I1938" s="1"/>
      <c r="J1938" s="1"/>
      <c r="K1938" s="1"/>
      <c r="L1938" s="1"/>
      <c r="M1938" s="1"/>
      <c r="N1938" s="1"/>
      <c r="O1938" s="1"/>
      <c r="P1938" s="1"/>
      <c r="Q1938" s="1"/>
      <c r="R1938" s="1"/>
      <c r="S1938" s="1"/>
      <c r="T1938" s="1"/>
      <c r="U1938" s="1"/>
      <c r="V1938" s="1"/>
      <c r="W1938" s="1"/>
      <c r="X1938" s="1"/>
      <c r="Y1938" s="1"/>
      <c r="Z1938" s="1"/>
      <c r="AA1938" s="1"/>
      <c r="AB1938" s="1"/>
      <c r="AC1938" s="1"/>
      <c r="AD1938" s="1"/>
      <c r="AE1938" s="1"/>
      <c r="AF1938" s="1"/>
    </row>
    <row r="1939" spans="7:32" x14ac:dyDescent="0.2">
      <c r="G1939" s="2"/>
      <c r="H1939" s="1"/>
      <c r="I1939" s="1"/>
      <c r="J1939" s="1"/>
      <c r="K1939" s="1"/>
      <c r="L1939" s="1"/>
      <c r="M1939" s="1"/>
      <c r="N1939" s="1"/>
      <c r="O1939" s="1"/>
      <c r="P1939" s="1"/>
      <c r="Q1939" s="1"/>
      <c r="R1939" s="1"/>
      <c r="S1939" s="1"/>
      <c r="T1939" s="1"/>
      <c r="U1939" s="1"/>
      <c r="V1939" s="1"/>
      <c r="W1939" s="1"/>
      <c r="X1939" s="1"/>
      <c r="Y1939" s="1"/>
      <c r="Z1939" s="1"/>
      <c r="AA1939" s="1"/>
      <c r="AB1939" s="1"/>
      <c r="AC1939" s="1"/>
      <c r="AD1939" s="1"/>
      <c r="AE1939" s="1"/>
      <c r="AF1939" s="1"/>
    </row>
    <row r="1940" spans="7:32" x14ac:dyDescent="0.2">
      <c r="G1940" s="2"/>
      <c r="H1940" s="1"/>
      <c r="I1940" s="1"/>
      <c r="J1940" s="1"/>
      <c r="K1940" s="1"/>
      <c r="L1940" s="1"/>
      <c r="M1940" s="1"/>
      <c r="N1940" s="1"/>
      <c r="O1940" s="1"/>
      <c r="P1940" s="1"/>
      <c r="Q1940" s="1"/>
      <c r="R1940" s="1"/>
      <c r="S1940" s="1"/>
      <c r="T1940" s="1"/>
      <c r="U1940" s="1"/>
      <c r="V1940" s="1"/>
      <c r="W1940" s="1"/>
      <c r="X1940" s="1"/>
      <c r="Y1940" s="1"/>
      <c r="Z1940" s="1"/>
      <c r="AA1940" s="1"/>
      <c r="AB1940" s="1"/>
      <c r="AC1940" s="1"/>
      <c r="AD1940" s="1"/>
      <c r="AE1940" s="1"/>
      <c r="AF1940" s="1"/>
    </row>
    <row r="1941" spans="7:32" x14ac:dyDescent="0.2">
      <c r="G1941" s="2"/>
      <c r="H1941" s="1"/>
      <c r="I1941" s="1"/>
      <c r="J1941" s="1"/>
      <c r="K1941" s="1"/>
      <c r="L1941" s="1"/>
      <c r="M1941" s="1"/>
      <c r="N1941" s="1"/>
      <c r="O1941" s="1"/>
      <c r="P1941" s="1"/>
      <c r="Q1941" s="1"/>
      <c r="R1941" s="1"/>
      <c r="S1941" s="1"/>
      <c r="T1941" s="1"/>
      <c r="U1941" s="1"/>
      <c r="V1941" s="1"/>
      <c r="W1941" s="1"/>
      <c r="X1941" s="1"/>
      <c r="Y1941" s="1"/>
      <c r="Z1941" s="1"/>
      <c r="AA1941" s="1"/>
      <c r="AB1941" s="1"/>
      <c r="AC1941" s="1"/>
      <c r="AD1941" s="1"/>
      <c r="AE1941" s="1"/>
      <c r="AF1941" s="1"/>
    </row>
    <row r="1942" spans="7:32" x14ac:dyDescent="0.2">
      <c r="G1942" s="2"/>
      <c r="H1942" s="1"/>
      <c r="I1942" s="1"/>
      <c r="J1942" s="1"/>
      <c r="K1942" s="1"/>
      <c r="L1942" s="1"/>
      <c r="M1942" s="1"/>
      <c r="N1942" s="1"/>
      <c r="O1942" s="1"/>
      <c r="P1942" s="1"/>
      <c r="Q1942" s="1"/>
      <c r="R1942" s="1"/>
      <c r="S1942" s="1"/>
      <c r="T1942" s="1"/>
      <c r="U1942" s="1"/>
      <c r="V1942" s="1"/>
      <c r="W1942" s="1"/>
      <c r="X1942" s="1"/>
      <c r="Y1942" s="1"/>
      <c r="Z1942" s="1"/>
      <c r="AA1942" s="1"/>
      <c r="AB1942" s="1"/>
      <c r="AC1942" s="1"/>
      <c r="AD1942" s="1"/>
      <c r="AE1942" s="1"/>
      <c r="AF1942" s="1"/>
    </row>
    <row r="1943" spans="7:32" x14ac:dyDescent="0.2">
      <c r="G1943" s="2"/>
      <c r="H1943" s="1"/>
      <c r="I1943" s="1"/>
      <c r="J1943" s="1"/>
      <c r="K1943" s="1"/>
      <c r="L1943" s="1"/>
      <c r="M1943" s="1"/>
      <c r="N1943" s="1"/>
      <c r="O1943" s="1"/>
      <c r="P1943" s="1"/>
      <c r="Q1943" s="1"/>
      <c r="R1943" s="1"/>
      <c r="S1943" s="1"/>
      <c r="T1943" s="1"/>
      <c r="U1943" s="1"/>
      <c r="V1943" s="1"/>
      <c r="W1943" s="1"/>
      <c r="X1943" s="1"/>
      <c r="Y1943" s="1"/>
      <c r="Z1943" s="1"/>
      <c r="AA1943" s="1"/>
      <c r="AB1943" s="1"/>
      <c r="AC1943" s="1"/>
      <c r="AD1943" s="1"/>
      <c r="AE1943" s="1"/>
      <c r="AF1943" s="1"/>
    </row>
    <row r="1944" spans="7:32" x14ac:dyDescent="0.2">
      <c r="G1944" s="2"/>
      <c r="H1944" s="1"/>
      <c r="I1944" s="1"/>
      <c r="J1944" s="1"/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  <c r="X1944" s="1"/>
      <c r="Y1944" s="1"/>
      <c r="Z1944" s="1"/>
      <c r="AA1944" s="1"/>
      <c r="AB1944" s="1"/>
      <c r="AC1944" s="1"/>
      <c r="AD1944" s="1"/>
      <c r="AE1944" s="1"/>
      <c r="AF1944" s="1"/>
    </row>
    <row r="1945" spans="7:32" x14ac:dyDescent="0.2">
      <c r="G1945" s="2"/>
      <c r="H1945" s="1"/>
      <c r="I1945" s="1"/>
      <c r="J1945" s="1"/>
      <c r="K1945" s="1"/>
      <c r="L1945" s="1"/>
      <c r="M1945" s="1"/>
      <c r="N1945" s="1"/>
      <c r="O1945" s="1"/>
      <c r="P1945" s="1"/>
      <c r="Q1945" s="1"/>
      <c r="R1945" s="1"/>
      <c r="S1945" s="1"/>
      <c r="T1945" s="1"/>
      <c r="U1945" s="1"/>
      <c r="V1945" s="1"/>
      <c r="W1945" s="1"/>
      <c r="X1945" s="1"/>
      <c r="Y1945" s="1"/>
      <c r="Z1945" s="1"/>
      <c r="AA1945" s="1"/>
      <c r="AB1945" s="1"/>
      <c r="AC1945" s="1"/>
      <c r="AD1945" s="1"/>
      <c r="AE1945" s="1"/>
      <c r="AF1945" s="1"/>
    </row>
    <row r="1946" spans="7:32" x14ac:dyDescent="0.2">
      <c r="G1946" s="2"/>
      <c r="H1946" s="1"/>
      <c r="I1946" s="1"/>
      <c r="J1946" s="1"/>
      <c r="K1946" s="1"/>
      <c r="L1946" s="1"/>
      <c r="M1946" s="1"/>
      <c r="N1946" s="1"/>
      <c r="O1946" s="1"/>
      <c r="P1946" s="1"/>
      <c r="Q1946" s="1"/>
      <c r="R1946" s="1"/>
      <c r="S1946" s="1"/>
      <c r="T1946" s="1"/>
      <c r="U1946" s="1"/>
      <c r="V1946" s="1"/>
      <c r="W1946" s="1"/>
      <c r="X1946" s="1"/>
      <c r="Y1946" s="1"/>
      <c r="Z1946" s="1"/>
      <c r="AA1946" s="1"/>
      <c r="AB1946" s="1"/>
      <c r="AC1946" s="1"/>
      <c r="AD1946" s="1"/>
      <c r="AE1946" s="1"/>
      <c r="AF1946" s="1"/>
    </row>
    <row r="1947" spans="7:32" x14ac:dyDescent="0.2">
      <c r="G1947" s="2"/>
      <c r="H1947" s="1"/>
      <c r="I1947" s="1"/>
      <c r="J1947" s="1"/>
      <c r="K1947" s="1"/>
      <c r="L1947" s="1"/>
      <c r="M1947" s="1"/>
      <c r="N1947" s="1"/>
      <c r="O1947" s="1"/>
      <c r="P1947" s="1"/>
      <c r="Q1947" s="1"/>
      <c r="R1947" s="1"/>
      <c r="S1947" s="1"/>
      <c r="T1947" s="1"/>
      <c r="U1947" s="1"/>
      <c r="V1947" s="1"/>
      <c r="W1947" s="1"/>
      <c r="X1947" s="1"/>
      <c r="Y1947" s="1"/>
      <c r="Z1947" s="1"/>
      <c r="AA1947" s="1"/>
      <c r="AB1947" s="1"/>
      <c r="AC1947" s="1"/>
      <c r="AD1947" s="1"/>
      <c r="AE1947" s="1"/>
      <c r="AF1947" s="1"/>
    </row>
    <row r="1948" spans="7:32" x14ac:dyDescent="0.2">
      <c r="G1948" s="2"/>
      <c r="H1948" s="1"/>
      <c r="I1948" s="1"/>
      <c r="J1948" s="1"/>
      <c r="K1948" s="1"/>
      <c r="L1948" s="1"/>
      <c r="M1948" s="1"/>
      <c r="N1948" s="1"/>
      <c r="O1948" s="1"/>
      <c r="P1948" s="1"/>
      <c r="Q1948" s="1"/>
      <c r="R1948" s="1"/>
      <c r="S1948" s="1"/>
      <c r="T1948" s="1"/>
      <c r="U1948" s="1"/>
      <c r="V1948" s="1"/>
      <c r="W1948" s="1"/>
      <c r="X1948" s="1"/>
      <c r="Y1948" s="1"/>
      <c r="Z1948" s="1"/>
      <c r="AA1948" s="1"/>
      <c r="AB1948" s="1"/>
      <c r="AC1948" s="1"/>
      <c r="AD1948" s="1"/>
      <c r="AE1948" s="1"/>
      <c r="AF1948" s="1"/>
    </row>
    <row r="1949" spans="7:32" x14ac:dyDescent="0.2">
      <c r="G1949" s="2"/>
      <c r="H1949" s="1"/>
      <c r="I1949" s="1"/>
      <c r="J1949" s="1"/>
      <c r="K1949" s="1"/>
      <c r="L1949" s="1"/>
      <c r="M1949" s="1"/>
      <c r="N1949" s="1"/>
      <c r="O1949" s="1"/>
      <c r="P1949" s="1"/>
      <c r="Q1949" s="1"/>
      <c r="R1949" s="1"/>
      <c r="S1949" s="1"/>
      <c r="T1949" s="1"/>
      <c r="U1949" s="1"/>
      <c r="V1949" s="1"/>
      <c r="W1949" s="1"/>
      <c r="X1949" s="1"/>
      <c r="Y1949" s="1"/>
      <c r="Z1949" s="1"/>
      <c r="AA1949" s="1"/>
      <c r="AB1949" s="1"/>
      <c r="AC1949" s="1"/>
      <c r="AD1949" s="1"/>
      <c r="AE1949" s="1"/>
      <c r="AF1949" s="1"/>
    </row>
    <row r="1950" spans="7:32" x14ac:dyDescent="0.2">
      <c r="G1950" s="2"/>
      <c r="H1950" s="1"/>
      <c r="I1950" s="1"/>
      <c r="J1950" s="1"/>
      <c r="K1950" s="1"/>
      <c r="L1950" s="1"/>
      <c r="M1950" s="1"/>
      <c r="N1950" s="1"/>
      <c r="O1950" s="1"/>
      <c r="P1950" s="1"/>
      <c r="Q1950" s="1"/>
      <c r="R1950" s="1"/>
      <c r="S1950" s="1"/>
      <c r="T1950" s="1"/>
      <c r="U1950" s="1"/>
      <c r="V1950" s="1"/>
      <c r="W1950" s="1"/>
      <c r="X1950" s="1"/>
      <c r="Y1950" s="1"/>
      <c r="Z1950" s="1"/>
      <c r="AA1950" s="1"/>
      <c r="AB1950" s="1"/>
      <c r="AC1950" s="1"/>
      <c r="AD1950" s="1"/>
      <c r="AE1950" s="1"/>
      <c r="AF1950" s="1"/>
    </row>
    <row r="1951" spans="7:32" x14ac:dyDescent="0.2">
      <c r="G1951" s="2"/>
      <c r="H1951" s="1"/>
      <c r="I1951" s="1"/>
      <c r="J1951" s="1"/>
      <c r="K1951" s="1"/>
      <c r="L1951" s="1"/>
      <c r="M1951" s="1"/>
      <c r="N1951" s="1"/>
      <c r="O1951" s="1"/>
      <c r="P1951" s="1"/>
      <c r="Q1951" s="1"/>
      <c r="R1951" s="1"/>
      <c r="S1951" s="1"/>
      <c r="T1951" s="1"/>
      <c r="U1951" s="1"/>
      <c r="V1951" s="1"/>
      <c r="W1951" s="1"/>
      <c r="X1951" s="1"/>
      <c r="Y1951" s="1"/>
      <c r="Z1951" s="1"/>
      <c r="AA1951" s="1"/>
      <c r="AB1951" s="1"/>
      <c r="AC1951" s="1"/>
      <c r="AD1951" s="1"/>
      <c r="AE1951" s="1"/>
      <c r="AF1951" s="1"/>
    </row>
    <row r="1952" spans="7:32" x14ac:dyDescent="0.2">
      <c r="G1952" s="2"/>
      <c r="H1952" s="1"/>
      <c r="I1952" s="1"/>
      <c r="J1952" s="1"/>
      <c r="K1952" s="1"/>
      <c r="L1952" s="1"/>
      <c r="M1952" s="1"/>
      <c r="N1952" s="1"/>
      <c r="O1952" s="1"/>
      <c r="P1952" s="1"/>
      <c r="Q1952" s="1"/>
      <c r="R1952" s="1"/>
      <c r="S1952" s="1"/>
      <c r="T1952" s="1"/>
      <c r="U1952" s="1"/>
      <c r="V1952" s="1"/>
      <c r="W1952" s="1"/>
      <c r="X1952" s="1"/>
      <c r="Y1952" s="1"/>
      <c r="Z1952" s="1"/>
      <c r="AA1952" s="1"/>
      <c r="AB1952" s="1"/>
      <c r="AC1952" s="1"/>
      <c r="AD1952" s="1"/>
      <c r="AE1952" s="1"/>
      <c r="AF1952" s="1"/>
    </row>
    <row r="1953" spans="7:32" x14ac:dyDescent="0.2">
      <c r="G1953" s="2"/>
      <c r="H1953" s="1"/>
      <c r="I1953" s="1"/>
      <c r="J1953" s="1"/>
      <c r="K1953" s="1"/>
      <c r="L1953" s="1"/>
      <c r="M1953" s="1"/>
      <c r="N1953" s="1"/>
      <c r="O1953" s="1"/>
      <c r="P1953" s="1"/>
      <c r="Q1953" s="1"/>
      <c r="R1953" s="1"/>
      <c r="S1953" s="1"/>
      <c r="T1953" s="1"/>
      <c r="U1953" s="1"/>
      <c r="V1953" s="1"/>
      <c r="W1953" s="1"/>
      <c r="X1953" s="1"/>
      <c r="Y1953" s="1"/>
      <c r="Z1953" s="1"/>
      <c r="AA1953" s="1"/>
      <c r="AB1953" s="1"/>
      <c r="AC1953" s="1"/>
      <c r="AD1953" s="1"/>
      <c r="AE1953" s="1"/>
      <c r="AF1953" s="1"/>
    </row>
    <row r="1954" spans="7:32" x14ac:dyDescent="0.2">
      <c r="G1954" s="2"/>
      <c r="H1954" s="1"/>
      <c r="I1954" s="1"/>
      <c r="J1954" s="1"/>
      <c r="K1954" s="1"/>
      <c r="L1954" s="1"/>
      <c r="M1954" s="1"/>
      <c r="N1954" s="1"/>
      <c r="O1954" s="1"/>
      <c r="P1954" s="1"/>
      <c r="Q1954" s="1"/>
      <c r="R1954" s="1"/>
      <c r="S1954" s="1"/>
      <c r="T1954" s="1"/>
      <c r="U1954" s="1"/>
      <c r="V1954" s="1"/>
      <c r="W1954" s="1"/>
      <c r="X1954" s="1"/>
      <c r="Y1954" s="1"/>
      <c r="Z1954" s="1"/>
      <c r="AA1954" s="1"/>
      <c r="AB1954" s="1"/>
      <c r="AC1954" s="1"/>
      <c r="AD1954" s="1"/>
      <c r="AE1954" s="1"/>
      <c r="AF1954" s="1"/>
    </row>
    <row r="1955" spans="7:32" x14ac:dyDescent="0.2">
      <c r="G1955" s="2"/>
      <c r="H1955" s="1"/>
      <c r="I1955" s="1"/>
      <c r="J1955" s="1"/>
      <c r="K1955" s="1"/>
      <c r="L1955" s="1"/>
      <c r="M1955" s="1"/>
      <c r="N1955" s="1"/>
      <c r="O1955" s="1"/>
      <c r="P1955" s="1"/>
      <c r="Q1955" s="1"/>
      <c r="R1955" s="1"/>
      <c r="S1955" s="1"/>
      <c r="T1955" s="1"/>
      <c r="U1955" s="1"/>
      <c r="V1955" s="1"/>
      <c r="W1955" s="1"/>
      <c r="X1955" s="1"/>
      <c r="Y1955" s="1"/>
      <c r="Z1955" s="1"/>
      <c r="AA1955" s="1"/>
      <c r="AB1955" s="1"/>
      <c r="AC1955" s="1"/>
      <c r="AD1955" s="1"/>
      <c r="AE1955" s="1"/>
      <c r="AF1955" s="1"/>
    </row>
    <row r="1956" spans="7:32" x14ac:dyDescent="0.2">
      <c r="G1956" s="2"/>
      <c r="H1956" s="1"/>
      <c r="I1956" s="1"/>
      <c r="J1956" s="1"/>
      <c r="K1956" s="1"/>
      <c r="L1956" s="1"/>
      <c r="M1956" s="1"/>
      <c r="N1956" s="1"/>
      <c r="O1956" s="1"/>
      <c r="P1956" s="1"/>
      <c r="Q1956" s="1"/>
      <c r="R1956" s="1"/>
      <c r="S1956" s="1"/>
      <c r="T1956" s="1"/>
      <c r="U1956" s="1"/>
      <c r="V1956" s="1"/>
      <c r="W1956" s="1"/>
      <c r="X1956" s="1"/>
      <c r="Y1956" s="1"/>
      <c r="Z1956" s="1"/>
      <c r="AA1956" s="1"/>
      <c r="AB1956" s="1"/>
      <c r="AC1956" s="1"/>
      <c r="AD1956" s="1"/>
      <c r="AE1956" s="1"/>
      <c r="AF1956" s="1"/>
    </row>
    <row r="1957" spans="7:32" x14ac:dyDescent="0.2">
      <c r="G1957" s="2"/>
      <c r="H1957" s="1"/>
      <c r="I1957" s="1"/>
      <c r="J1957" s="1"/>
      <c r="K1957" s="1"/>
      <c r="L1957" s="1"/>
      <c r="M1957" s="1"/>
      <c r="N1957" s="1"/>
      <c r="O1957" s="1"/>
      <c r="P1957" s="1"/>
      <c r="Q1957" s="1"/>
      <c r="R1957" s="1"/>
      <c r="S1957" s="1"/>
      <c r="T1957" s="1"/>
      <c r="U1957" s="1"/>
      <c r="V1957" s="1"/>
      <c r="W1957" s="1"/>
      <c r="X1957" s="1"/>
      <c r="Y1957" s="1"/>
      <c r="Z1957" s="1"/>
      <c r="AA1957" s="1"/>
      <c r="AB1957" s="1"/>
      <c r="AC1957" s="1"/>
      <c r="AD1957" s="1"/>
      <c r="AE1957" s="1"/>
      <c r="AF1957" s="1"/>
    </row>
    <row r="1958" spans="7:32" x14ac:dyDescent="0.2">
      <c r="G1958" s="2"/>
      <c r="H1958" s="1"/>
      <c r="I1958" s="1"/>
      <c r="J1958" s="1"/>
      <c r="K1958" s="1"/>
      <c r="L1958" s="1"/>
      <c r="M1958" s="1"/>
      <c r="N1958" s="1"/>
      <c r="O1958" s="1"/>
      <c r="P1958" s="1"/>
      <c r="Q1958" s="1"/>
      <c r="R1958" s="1"/>
      <c r="S1958" s="1"/>
      <c r="T1958" s="1"/>
      <c r="U1958" s="1"/>
      <c r="V1958" s="1"/>
      <c r="W1958" s="1"/>
      <c r="X1958" s="1"/>
      <c r="Y1958" s="1"/>
      <c r="Z1958" s="1"/>
      <c r="AA1958" s="1"/>
      <c r="AB1958" s="1"/>
      <c r="AC1958" s="1"/>
      <c r="AD1958" s="1"/>
      <c r="AE1958" s="1"/>
      <c r="AF1958" s="1"/>
    </row>
    <row r="1959" spans="7:32" x14ac:dyDescent="0.2">
      <c r="G1959" s="2"/>
      <c r="H1959" s="1"/>
      <c r="I1959" s="1"/>
      <c r="J1959" s="1"/>
      <c r="K1959" s="1"/>
      <c r="L1959" s="1"/>
      <c r="M1959" s="1"/>
      <c r="N1959" s="1"/>
      <c r="O1959" s="1"/>
      <c r="P1959" s="1"/>
      <c r="Q1959" s="1"/>
      <c r="R1959" s="1"/>
      <c r="S1959" s="1"/>
      <c r="T1959" s="1"/>
      <c r="U1959" s="1"/>
      <c r="V1959" s="1"/>
      <c r="W1959" s="1"/>
      <c r="X1959" s="1"/>
      <c r="Y1959" s="1"/>
      <c r="Z1959" s="1"/>
      <c r="AA1959" s="1"/>
      <c r="AB1959" s="1"/>
      <c r="AC1959" s="1"/>
      <c r="AD1959" s="1"/>
      <c r="AE1959" s="1"/>
      <c r="AF1959" s="1"/>
    </row>
    <row r="1960" spans="7:32" x14ac:dyDescent="0.2">
      <c r="G1960" s="2"/>
      <c r="H1960" s="1"/>
      <c r="I1960" s="1"/>
      <c r="J1960" s="1"/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/>
      <c r="Z1960" s="1"/>
      <c r="AA1960" s="1"/>
      <c r="AB1960" s="1"/>
      <c r="AC1960" s="1"/>
      <c r="AD1960" s="1"/>
      <c r="AE1960" s="1"/>
      <c r="AF1960" s="1"/>
    </row>
    <row r="1961" spans="7:32" x14ac:dyDescent="0.2">
      <c r="G1961" s="2"/>
      <c r="H1961" s="1"/>
      <c r="I1961" s="1"/>
      <c r="J1961" s="1"/>
      <c r="K1961" s="1"/>
      <c r="L1961" s="1"/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  <c r="X1961" s="1"/>
      <c r="Y1961" s="1"/>
      <c r="Z1961" s="1"/>
      <c r="AA1961" s="1"/>
      <c r="AB1961" s="1"/>
      <c r="AC1961" s="1"/>
      <c r="AD1961" s="1"/>
      <c r="AE1961" s="1"/>
      <c r="AF1961" s="1"/>
    </row>
    <row r="1962" spans="7:32" x14ac:dyDescent="0.2">
      <c r="G1962" s="2"/>
      <c r="H1962" s="1"/>
      <c r="I1962" s="1"/>
      <c r="J1962" s="1"/>
      <c r="K1962" s="1"/>
      <c r="L1962" s="1"/>
      <c r="M1962" s="1"/>
      <c r="N1962" s="1"/>
      <c r="O1962" s="1"/>
      <c r="P1962" s="1"/>
      <c r="Q1962" s="1"/>
      <c r="R1962" s="1"/>
      <c r="S1962" s="1"/>
      <c r="T1962" s="1"/>
      <c r="U1962" s="1"/>
      <c r="V1962" s="1"/>
      <c r="W1962" s="1"/>
      <c r="X1962" s="1"/>
      <c r="Y1962" s="1"/>
      <c r="Z1962" s="1"/>
      <c r="AA1962" s="1"/>
      <c r="AB1962" s="1"/>
      <c r="AC1962" s="1"/>
      <c r="AD1962" s="1"/>
      <c r="AE1962" s="1"/>
      <c r="AF1962" s="1"/>
    </row>
    <row r="1963" spans="7:32" x14ac:dyDescent="0.2">
      <c r="G1963" s="2"/>
      <c r="H1963" s="1"/>
      <c r="I1963" s="1"/>
      <c r="J1963" s="1"/>
      <c r="K1963" s="1"/>
      <c r="L1963" s="1"/>
      <c r="M1963" s="1"/>
      <c r="N1963" s="1"/>
      <c r="O1963" s="1"/>
      <c r="P1963" s="1"/>
      <c r="Q1963" s="1"/>
      <c r="R1963" s="1"/>
      <c r="S1963" s="1"/>
      <c r="T1963" s="1"/>
      <c r="U1963" s="1"/>
      <c r="V1963" s="1"/>
      <c r="W1963" s="1"/>
      <c r="X1963" s="1"/>
      <c r="Y1963" s="1"/>
      <c r="Z1963" s="1"/>
      <c r="AA1963" s="1"/>
      <c r="AB1963" s="1"/>
      <c r="AC1963" s="1"/>
      <c r="AD1963" s="1"/>
      <c r="AE1963" s="1"/>
      <c r="AF1963" s="1"/>
    </row>
    <row r="1964" spans="7:32" x14ac:dyDescent="0.2">
      <c r="G1964" s="2"/>
      <c r="H1964" s="1"/>
      <c r="I1964" s="1"/>
      <c r="J1964" s="1"/>
      <c r="K1964" s="1"/>
      <c r="L1964" s="1"/>
      <c r="M1964" s="1"/>
      <c r="N1964" s="1"/>
      <c r="O1964" s="1"/>
      <c r="P1964" s="1"/>
      <c r="Q1964" s="1"/>
      <c r="R1964" s="1"/>
      <c r="S1964" s="1"/>
      <c r="T1964" s="1"/>
      <c r="U1964" s="1"/>
      <c r="V1964" s="1"/>
      <c r="W1964" s="1"/>
      <c r="X1964" s="1"/>
      <c r="Y1964" s="1"/>
      <c r="Z1964" s="1"/>
      <c r="AA1964" s="1"/>
      <c r="AB1964" s="1"/>
      <c r="AC1964" s="1"/>
      <c r="AD1964" s="1"/>
      <c r="AE1964" s="1"/>
      <c r="AF1964" s="1"/>
    </row>
    <row r="1965" spans="7:32" x14ac:dyDescent="0.2">
      <c r="G1965" s="2"/>
      <c r="H1965" s="1"/>
      <c r="I1965" s="1"/>
      <c r="J1965" s="1"/>
      <c r="K1965" s="1"/>
      <c r="L1965" s="1"/>
      <c r="M1965" s="1"/>
      <c r="N1965" s="1"/>
      <c r="O1965" s="1"/>
      <c r="P1965" s="1"/>
      <c r="Q1965" s="1"/>
      <c r="R1965" s="1"/>
      <c r="S1965" s="1"/>
      <c r="T1965" s="1"/>
      <c r="U1965" s="1"/>
      <c r="V1965" s="1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</row>
    <row r="1966" spans="7:32" x14ac:dyDescent="0.2">
      <c r="G1966" s="2"/>
      <c r="H1966" s="1"/>
      <c r="I1966" s="1"/>
      <c r="J1966" s="1"/>
      <c r="K1966" s="1"/>
      <c r="L1966" s="1"/>
      <c r="M1966" s="1"/>
      <c r="N1966" s="1"/>
      <c r="O1966" s="1"/>
      <c r="P1966" s="1"/>
      <c r="Q1966" s="1"/>
      <c r="R1966" s="1"/>
      <c r="S1966" s="1"/>
      <c r="T1966" s="1"/>
      <c r="U1966" s="1"/>
      <c r="V1966" s="1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</row>
    <row r="1967" spans="7:32" x14ac:dyDescent="0.2">
      <c r="G1967" s="2"/>
      <c r="H1967" s="1"/>
      <c r="I1967" s="1"/>
      <c r="J1967" s="1"/>
      <c r="K1967" s="1"/>
      <c r="L1967" s="1"/>
      <c r="M1967" s="1"/>
      <c r="N1967" s="1"/>
      <c r="O1967" s="1"/>
      <c r="P1967" s="1"/>
      <c r="Q1967" s="1"/>
      <c r="R1967" s="1"/>
      <c r="S1967" s="1"/>
      <c r="T1967" s="1"/>
      <c r="U1967" s="1"/>
      <c r="V1967" s="1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</row>
    <row r="1968" spans="7:32" x14ac:dyDescent="0.2">
      <c r="G1968" s="2"/>
      <c r="H1968" s="1"/>
      <c r="I1968" s="1"/>
      <c r="J1968" s="1"/>
      <c r="K1968" s="1"/>
      <c r="L1968" s="1"/>
      <c r="M1968" s="1"/>
      <c r="N1968" s="1"/>
      <c r="O1968" s="1"/>
      <c r="P1968" s="1"/>
      <c r="Q1968" s="1"/>
      <c r="R1968" s="1"/>
      <c r="S1968" s="1"/>
      <c r="T1968" s="1"/>
      <c r="U1968" s="1"/>
      <c r="V1968" s="1"/>
      <c r="W1968" s="1"/>
      <c r="X1968" s="1"/>
      <c r="Y1968" s="1"/>
      <c r="Z1968" s="1"/>
      <c r="AA1968" s="1"/>
      <c r="AB1968" s="1"/>
      <c r="AC1968" s="1"/>
      <c r="AD1968" s="1"/>
      <c r="AE1968" s="1"/>
      <c r="AF1968" s="1"/>
    </row>
    <row r="1969" spans="7:32" x14ac:dyDescent="0.2">
      <c r="G1969" s="2"/>
      <c r="H1969" s="1"/>
      <c r="I1969" s="1"/>
      <c r="J1969" s="1"/>
      <c r="K1969" s="1"/>
      <c r="L1969" s="1"/>
      <c r="M1969" s="1"/>
      <c r="N1969" s="1"/>
      <c r="O1969" s="1"/>
      <c r="P1969" s="1"/>
      <c r="Q1969" s="1"/>
      <c r="R1969" s="1"/>
      <c r="S1969" s="1"/>
      <c r="T1969" s="1"/>
      <c r="U1969" s="1"/>
      <c r="V1969" s="1"/>
      <c r="W1969" s="1"/>
      <c r="X1969" s="1"/>
      <c r="Y1969" s="1"/>
      <c r="Z1969" s="1"/>
      <c r="AA1969" s="1"/>
      <c r="AB1969" s="1"/>
      <c r="AC1969" s="1"/>
      <c r="AD1969" s="1"/>
      <c r="AE1969" s="1"/>
      <c r="AF1969" s="1"/>
    </row>
    <row r="1970" spans="7:32" x14ac:dyDescent="0.2">
      <c r="G1970" s="2"/>
      <c r="H1970" s="1"/>
      <c r="I1970" s="1"/>
      <c r="J1970" s="1"/>
      <c r="K1970" s="1"/>
      <c r="L1970" s="1"/>
      <c r="M1970" s="1"/>
      <c r="N1970" s="1"/>
      <c r="O1970" s="1"/>
      <c r="P1970" s="1"/>
      <c r="Q1970" s="1"/>
      <c r="R1970" s="1"/>
      <c r="S1970" s="1"/>
      <c r="T1970" s="1"/>
      <c r="U1970" s="1"/>
      <c r="V1970" s="1"/>
      <c r="W1970" s="1"/>
      <c r="X1970" s="1"/>
      <c r="Y1970" s="1"/>
      <c r="Z1970" s="1"/>
      <c r="AA1970" s="1"/>
      <c r="AB1970" s="1"/>
      <c r="AC1970" s="1"/>
      <c r="AD1970" s="1"/>
      <c r="AE1970" s="1"/>
      <c r="AF1970" s="1"/>
    </row>
    <row r="1971" spans="7:32" x14ac:dyDescent="0.2">
      <c r="G1971" s="2"/>
      <c r="H1971" s="1"/>
      <c r="I1971" s="1"/>
      <c r="J1971" s="1"/>
      <c r="K1971" s="1"/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  <c r="X1971" s="1"/>
      <c r="Y1971" s="1"/>
      <c r="Z1971" s="1"/>
      <c r="AA1971" s="1"/>
      <c r="AB1971" s="1"/>
      <c r="AC1971" s="1"/>
      <c r="AD1971" s="1"/>
      <c r="AE1971" s="1"/>
      <c r="AF1971" s="1"/>
    </row>
    <row r="1972" spans="7:32" x14ac:dyDescent="0.2">
      <c r="G1972" s="2"/>
      <c r="H1972" s="1"/>
      <c r="I1972" s="1"/>
      <c r="J1972" s="1"/>
      <c r="K1972" s="1"/>
      <c r="L1972" s="1"/>
      <c r="M1972" s="1"/>
      <c r="N1972" s="1"/>
      <c r="O1972" s="1"/>
      <c r="P1972" s="1"/>
      <c r="Q1972" s="1"/>
      <c r="R1972" s="1"/>
      <c r="S1972" s="1"/>
      <c r="T1972" s="1"/>
      <c r="U1972" s="1"/>
      <c r="V1972" s="1"/>
      <c r="W1972" s="1"/>
      <c r="X1972" s="1"/>
      <c r="Y1972" s="1"/>
      <c r="Z1972" s="1"/>
      <c r="AA1972" s="1"/>
      <c r="AB1972" s="1"/>
      <c r="AC1972" s="1"/>
      <c r="AD1972" s="1"/>
      <c r="AE1972" s="1"/>
      <c r="AF1972" s="1"/>
    </row>
    <row r="1973" spans="7:32" x14ac:dyDescent="0.2">
      <c r="G1973" s="2"/>
      <c r="H1973" s="1"/>
      <c r="I1973" s="1"/>
      <c r="J1973" s="1"/>
      <c r="K1973" s="1"/>
      <c r="L1973" s="1"/>
      <c r="M1973" s="1"/>
      <c r="N1973" s="1"/>
      <c r="O1973" s="1"/>
      <c r="P1973" s="1"/>
      <c r="Q1973" s="1"/>
      <c r="R1973" s="1"/>
      <c r="S1973" s="1"/>
      <c r="T1973" s="1"/>
      <c r="U1973" s="1"/>
      <c r="V1973" s="1"/>
      <c r="W1973" s="1"/>
      <c r="X1973" s="1"/>
      <c r="Y1973" s="1"/>
      <c r="Z1973" s="1"/>
      <c r="AA1973" s="1"/>
      <c r="AB1973" s="1"/>
      <c r="AC1973" s="1"/>
      <c r="AD1973" s="1"/>
      <c r="AE1973" s="1"/>
      <c r="AF1973" s="1"/>
    </row>
    <row r="1974" spans="7:32" x14ac:dyDescent="0.2">
      <c r="G1974" s="2"/>
      <c r="H1974" s="1"/>
      <c r="I1974" s="1"/>
      <c r="J1974" s="1"/>
      <c r="K1974" s="1"/>
      <c r="L1974" s="1"/>
      <c r="M1974" s="1"/>
      <c r="N1974" s="1"/>
      <c r="O1974" s="1"/>
      <c r="P1974" s="1"/>
      <c r="Q1974" s="1"/>
      <c r="R1974" s="1"/>
      <c r="S1974" s="1"/>
      <c r="T1974" s="1"/>
      <c r="U1974" s="1"/>
      <c r="V1974" s="1"/>
      <c r="W1974" s="1"/>
      <c r="X1974" s="1"/>
      <c r="Y1974" s="1"/>
      <c r="Z1974" s="1"/>
      <c r="AA1974" s="1"/>
      <c r="AB1974" s="1"/>
      <c r="AC1974" s="1"/>
      <c r="AD1974" s="1"/>
      <c r="AE1974" s="1"/>
      <c r="AF1974" s="1"/>
    </row>
    <row r="1975" spans="7:32" x14ac:dyDescent="0.2">
      <c r="G1975" s="2"/>
      <c r="H1975" s="1"/>
      <c r="I1975" s="1"/>
      <c r="J1975" s="1"/>
      <c r="K1975" s="1"/>
      <c r="L1975" s="1"/>
      <c r="M1975" s="1"/>
      <c r="N1975" s="1"/>
      <c r="O1975" s="1"/>
      <c r="P1975" s="1"/>
      <c r="Q1975" s="1"/>
      <c r="R1975" s="1"/>
      <c r="S1975" s="1"/>
      <c r="T1975" s="1"/>
      <c r="U1975" s="1"/>
      <c r="V1975" s="1"/>
      <c r="W1975" s="1"/>
      <c r="X1975" s="1"/>
      <c r="Y1975" s="1"/>
      <c r="Z1975" s="1"/>
      <c r="AA1975" s="1"/>
      <c r="AB1975" s="1"/>
      <c r="AC1975" s="1"/>
      <c r="AD1975" s="1"/>
      <c r="AE1975" s="1"/>
      <c r="AF1975" s="1"/>
    </row>
    <row r="1976" spans="7:32" x14ac:dyDescent="0.2">
      <c r="G1976" s="2"/>
      <c r="H1976" s="1"/>
      <c r="I1976" s="1"/>
      <c r="J1976" s="1"/>
      <c r="K1976" s="1"/>
      <c r="L1976" s="1"/>
      <c r="M1976" s="1"/>
      <c r="N1976" s="1"/>
      <c r="O1976" s="1"/>
      <c r="P1976" s="1"/>
      <c r="Q1976" s="1"/>
      <c r="R1976" s="1"/>
      <c r="S1976" s="1"/>
      <c r="T1976" s="1"/>
      <c r="U1976" s="1"/>
      <c r="V1976" s="1"/>
      <c r="W1976" s="1"/>
      <c r="X1976" s="1"/>
      <c r="Y1976" s="1"/>
      <c r="Z1976" s="1"/>
      <c r="AA1976" s="1"/>
      <c r="AB1976" s="1"/>
      <c r="AC1976" s="1"/>
      <c r="AD1976" s="1"/>
      <c r="AE1976" s="1"/>
      <c r="AF1976" s="1"/>
    </row>
    <row r="1977" spans="7:32" x14ac:dyDescent="0.2">
      <c r="G1977" s="2"/>
      <c r="H1977" s="1"/>
      <c r="I1977" s="1"/>
      <c r="J1977" s="1"/>
      <c r="K1977" s="1"/>
      <c r="L1977" s="1"/>
      <c r="M1977" s="1"/>
      <c r="N1977" s="1"/>
      <c r="O1977" s="1"/>
      <c r="P1977" s="1"/>
      <c r="Q1977" s="1"/>
      <c r="R1977" s="1"/>
      <c r="S1977" s="1"/>
      <c r="T1977" s="1"/>
      <c r="U1977" s="1"/>
      <c r="V1977" s="1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</row>
    <row r="1978" spans="7:32" x14ac:dyDescent="0.2">
      <c r="G1978" s="2"/>
      <c r="H1978" s="1"/>
      <c r="I1978" s="1"/>
      <c r="J1978" s="1"/>
      <c r="K1978" s="1"/>
      <c r="L1978" s="1"/>
      <c r="M1978" s="1"/>
      <c r="N1978" s="1"/>
      <c r="O1978" s="1"/>
      <c r="P1978" s="1"/>
      <c r="Q1978" s="1"/>
      <c r="R1978" s="1"/>
      <c r="S1978" s="1"/>
      <c r="T1978" s="1"/>
      <c r="U1978" s="1"/>
      <c r="V1978" s="1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</row>
    <row r="1979" spans="7:32" x14ac:dyDescent="0.2">
      <c r="G1979" s="2"/>
      <c r="H1979" s="1"/>
      <c r="I1979" s="1"/>
      <c r="J1979" s="1"/>
      <c r="K1979" s="1"/>
      <c r="L1979" s="1"/>
      <c r="M1979" s="1"/>
      <c r="N1979" s="1"/>
      <c r="O1979" s="1"/>
      <c r="P1979" s="1"/>
      <c r="Q1979" s="1"/>
      <c r="R1979" s="1"/>
      <c r="S1979" s="1"/>
      <c r="T1979" s="1"/>
      <c r="U1979" s="1"/>
      <c r="V1979" s="1"/>
      <c r="W1979" s="1"/>
      <c r="X1979" s="1"/>
      <c r="Y1979" s="1"/>
      <c r="Z1979" s="1"/>
      <c r="AA1979" s="1"/>
      <c r="AB1979" s="1"/>
      <c r="AC1979" s="1"/>
      <c r="AD1979" s="1"/>
      <c r="AE1979" s="1"/>
      <c r="AF1979" s="1"/>
    </row>
    <row r="1980" spans="7:32" x14ac:dyDescent="0.2">
      <c r="G1980" s="2"/>
      <c r="H1980" s="1"/>
      <c r="I1980" s="1"/>
      <c r="J1980" s="1"/>
      <c r="K1980" s="1"/>
      <c r="L1980" s="1"/>
      <c r="M1980" s="1"/>
      <c r="N1980" s="1"/>
      <c r="O1980" s="1"/>
      <c r="P1980" s="1"/>
      <c r="Q1980" s="1"/>
      <c r="R1980" s="1"/>
      <c r="S1980" s="1"/>
      <c r="T1980" s="1"/>
      <c r="U1980" s="1"/>
      <c r="V1980" s="1"/>
      <c r="W1980" s="1"/>
      <c r="X1980" s="1"/>
      <c r="Y1980" s="1"/>
      <c r="Z1980" s="1"/>
      <c r="AA1980" s="1"/>
      <c r="AB1980" s="1"/>
      <c r="AC1980" s="1"/>
      <c r="AD1980" s="1"/>
      <c r="AE1980" s="1"/>
      <c r="AF1980" s="1"/>
    </row>
    <row r="1981" spans="7:32" x14ac:dyDescent="0.2">
      <c r="G1981" s="2"/>
      <c r="H1981" s="1"/>
      <c r="I1981" s="1"/>
      <c r="J1981" s="1"/>
      <c r="K1981" s="1"/>
      <c r="L1981" s="1"/>
      <c r="M1981" s="1"/>
      <c r="N1981" s="1"/>
      <c r="O1981" s="1"/>
      <c r="P1981" s="1"/>
      <c r="Q1981" s="1"/>
      <c r="R1981" s="1"/>
      <c r="S1981" s="1"/>
      <c r="T1981" s="1"/>
      <c r="U1981" s="1"/>
      <c r="V1981" s="1"/>
      <c r="W1981" s="1"/>
      <c r="X1981" s="1"/>
      <c r="Y1981" s="1"/>
      <c r="Z1981" s="1"/>
      <c r="AA1981" s="1"/>
      <c r="AB1981" s="1"/>
      <c r="AC1981" s="1"/>
      <c r="AD1981" s="1"/>
      <c r="AE1981" s="1"/>
      <c r="AF1981" s="1"/>
    </row>
    <row r="1982" spans="7:32" x14ac:dyDescent="0.2">
      <c r="G1982" s="2"/>
      <c r="H1982" s="1"/>
      <c r="I1982" s="1"/>
      <c r="J1982" s="1"/>
      <c r="K1982" s="1"/>
      <c r="L1982" s="1"/>
      <c r="M1982" s="1"/>
      <c r="N1982" s="1"/>
      <c r="O1982" s="1"/>
      <c r="P1982" s="1"/>
      <c r="Q1982" s="1"/>
      <c r="R1982" s="1"/>
      <c r="S1982" s="1"/>
      <c r="T1982" s="1"/>
      <c r="U1982" s="1"/>
      <c r="V1982" s="1"/>
      <c r="W1982" s="1"/>
      <c r="X1982" s="1"/>
      <c r="Y1982" s="1"/>
      <c r="Z1982" s="1"/>
      <c r="AA1982" s="1"/>
      <c r="AB1982" s="1"/>
      <c r="AC1982" s="1"/>
      <c r="AD1982" s="1"/>
      <c r="AE1982" s="1"/>
      <c r="AF1982" s="1"/>
    </row>
    <row r="1983" spans="7:32" x14ac:dyDescent="0.2">
      <c r="G1983" s="2"/>
      <c r="H1983" s="1"/>
      <c r="I1983" s="1"/>
      <c r="J1983" s="1"/>
      <c r="K1983" s="1"/>
      <c r="L1983" s="1"/>
      <c r="M1983" s="1"/>
      <c r="N1983" s="1"/>
      <c r="O1983" s="1"/>
      <c r="P1983" s="1"/>
      <c r="Q1983" s="1"/>
      <c r="R1983" s="1"/>
      <c r="S1983" s="1"/>
      <c r="T1983" s="1"/>
      <c r="U1983" s="1"/>
      <c r="V1983" s="1"/>
      <c r="W1983" s="1"/>
      <c r="X1983" s="1"/>
      <c r="Y1983" s="1"/>
      <c r="Z1983" s="1"/>
      <c r="AA1983" s="1"/>
      <c r="AB1983" s="1"/>
      <c r="AC1983" s="1"/>
      <c r="AD1983" s="1"/>
      <c r="AE1983" s="1"/>
      <c r="AF1983" s="1"/>
    </row>
    <row r="1984" spans="7:32" x14ac:dyDescent="0.2">
      <c r="G1984" s="2"/>
      <c r="H1984" s="1"/>
      <c r="I1984" s="1"/>
      <c r="J1984" s="1"/>
      <c r="K1984" s="1"/>
      <c r="L1984" s="1"/>
      <c r="M1984" s="1"/>
      <c r="N1984" s="1"/>
      <c r="O1984" s="1"/>
      <c r="P1984" s="1"/>
      <c r="Q1984" s="1"/>
      <c r="R1984" s="1"/>
      <c r="S1984" s="1"/>
      <c r="T1984" s="1"/>
      <c r="U1984" s="1"/>
      <c r="V1984" s="1"/>
      <c r="W1984" s="1"/>
      <c r="X1984" s="1"/>
      <c r="Y1984" s="1"/>
      <c r="Z1984" s="1"/>
      <c r="AA1984" s="1"/>
      <c r="AB1984" s="1"/>
      <c r="AC1984" s="1"/>
      <c r="AD1984" s="1"/>
      <c r="AE1984" s="1"/>
      <c r="AF1984" s="1"/>
    </row>
    <row r="1985" spans="7:32" x14ac:dyDescent="0.2">
      <c r="G1985" s="2"/>
      <c r="H1985" s="1"/>
      <c r="I1985" s="1"/>
      <c r="J1985" s="1"/>
      <c r="K1985" s="1"/>
      <c r="L1985" s="1"/>
      <c r="M1985" s="1"/>
      <c r="N1985" s="1"/>
      <c r="O1985" s="1"/>
      <c r="P1985" s="1"/>
      <c r="Q1985" s="1"/>
      <c r="R1985" s="1"/>
      <c r="S1985" s="1"/>
      <c r="T1985" s="1"/>
      <c r="U1985" s="1"/>
      <c r="V1985" s="1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</row>
    <row r="1986" spans="7:32" x14ac:dyDescent="0.2">
      <c r="G1986" s="2"/>
      <c r="H1986" s="1"/>
      <c r="I1986" s="1"/>
      <c r="J1986" s="1"/>
      <c r="K1986" s="1"/>
      <c r="L1986" s="1"/>
      <c r="M1986" s="1"/>
      <c r="N1986" s="1"/>
      <c r="O1986" s="1"/>
      <c r="P1986" s="1"/>
      <c r="Q1986" s="1"/>
      <c r="R1986" s="1"/>
      <c r="S1986" s="1"/>
      <c r="T1986" s="1"/>
      <c r="U1986" s="1"/>
      <c r="V1986" s="1"/>
      <c r="W1986" s="1"/>
      <c r="X1986" s="1"/>
      <c r="Y1986" s="1"/>
      <c r="Z1986" s="1"/>
      <c r="AA1986" s="1"/>
      <c r="AB1986" s="1"/>
      <c r="AC1986" s="1"/>
      <c r="AD1986" s="1"/>
      <c r="AE1986" s="1"/>
      <c r="AF1986" s="1"/>
    </row>
    <row r="1987" spans="7:32" x14ac:dyDescent="0.2">
      <c r="G1987" s="2"/>
      <c r="H1987" s="1"/>
      <c r="I1987" s="1"/>
      <c r="J1987" s="1"/>
      <c r="K1987" s="1"/>
      <c r="L1987" s="1"/>
      <c r="M1987" s="1"/>
      <c r="N1987" s="1"/>
      <c r="O1987" s="1"/>
      <c r="P1987" s="1"/>
      <c r="Q1987" s="1"/>
      <c r="R1987" s="1"/>
      <c r="S1987" s="1"/>
      <c r="T1987" s="1"/>
      <c r="U1987" s="1"/>
      <c r="V1987" s="1"/>
      <c r="W1987" s="1"/>
      <c r="X1987" s="1"/>
      <c r="Y1987" s="1"/>
      <c r="Z1987" s="1"/>
      <c r="AA1987" s="1"/>
      <c r="AB1987" s="1"/>
      <c r="AC1987" s="1"/>
      <c r="AD1987" s="1"/>
      <c r="AE1987" s="1"/>
      <c r="AF1987" s="1"/>
    </row>
    <row r="1988" spans="7:32" x14ac:dyDescent="0.2">
      <c r="G1988" s="2"/>
      <c r="H1988" s="1"/>
      <c r="I1988" s="1"/>
      <c r="J1988" s="1"/>
      <c r="K1988" s="1"/>
      <c r="L1988" s="1"/>
      <c r="M1988" s="1"/>
      <c r="N1988" s="1"/>
      <c r="O1988" s="1"/>
      <c r="P1988" s="1"/>
      <c r="Q1988" s="1"/>
      <c r="R1988" s="1"/>
      <c r="S1988" s="1"/>
      <c r="T1988" s="1"/>
      <c r="U1988" s="1"/>
      <c r="V1988" s="1"/>
      <c r="W1988" s="1"/>
      <c r="X1988" s="1"/>
      <c r="Y1988" s="1"/>
      <c r="Z1988" s="1"/>
      <c r="AA1988" s="1"/>
      <c r="AB1988" s="1"/>
      <c r="AC1988" s="1"/>
      <c r="AD1988" s="1"/>
      <c r="AE1988" s="1"/>
      <c r="AF1988" s="1"/>
    </row>
    <row r="1989" spans="7:32" x14ac:dyDescent="0.2">
      <c r="G1989" s="2"/>
      <c r="H1989" s="1"/>
      <c r="I1989" s="1"/>
      <c r="J1989" s="1"/>
      <c r="K1989" s="1"/>
      <c r="L1989" s="1"/>
      <c r="M1989" s="1"/>
      <c r="N1989" s="1"/>
      <c r="O1989" s="1"/>
      <c r="P1989" s="1"/>
      <c r="Q1989" s="1"/>
      <c r="R1989" s="1"/>
      <c r="S1989" s="1"/>
      <c r="T1989" s="1"/>
      <c r="U1989" s="1"/>
      <c r="V1989" s="1"/>
      <c r="W1989" s="1"/>
      <c r="X1989" s="1"/>
      <c r="Y1989" s="1"/>
      <c r="Z1989" s="1"/>
      <c r="AA1989" s="1"/>
      <c r="AB1989" s="1"/>
      <c r="AC1989" s="1"/>
      <c r="AD1989" s="1"/>
      <c r="AE1989" s="1"/>
      <c r="AF1989" s="1"/>
    </row>
    <row r="1990" spans="7:32" x14ac:dyDescent="0.2">
      <c r="G1990" s="2"/>
      <c r="H1990" s="1"/>
      <c r="I1990" s="1"/>
      <c r="J1990" s="1"/>
      <c r="K1990" s="1"/>
      <c r="L1990" s="1"/>
      <c r="M1990" s="1"/>
      <c r="N1990" s="1"/>
      <c r="O1990" s="1"/>
      <c r="P1990" s="1"/>
      <c r="Q1990" s="1"/>
      <c r="R1990" s="1"/>
      <c r="S1990" s="1"/>
      <c r="T1990" s="1"/>
      <c r="U1990" s="1"/>
      <c r="V1990" s="1"/>
      <c r="W1990" s="1"/>
      <c r="X1990" s="1"/>
      <c r="Y1990" s="1"/>
      <c r="Z1990" s="1"/>
      <c r="AA1990" s="1"/>
      <c r="AB1990" s="1"/>
      <c r="AC1990" s="1"/>
      <c r="AD1990" s="1"/>
      <c r="AE1990" s="1"/>
      <c r="AF1990" s="1"/>
    </row>
    <row r="1991" spans="7:32" x14ac:dyDescent="0.2">
      <c r="G1991" s="2"/>
      <c r="H1991" s="1"/>
      <c r="I1991" s="1"/>
      <c r="J1991" s="1"/>
      <c r="K1991" s="1"/>
      <c r="L1991" s="1"/>
      <c r="M1991" s="1"/>
      <c r="N1991" s="1"/>
      <c r="O1991" s="1"/>
      <c r="P1991" s="1"/>
      <c r="Q1991" s="1"/>
      <c r="R1991" s="1"/>
      <c r="S1991" s="1"/>
      <c r="T1991" s="1"/>
      <c r="U1991" s="1"/>
      <c r="V1991" s="1"/>
      <c r="W1991" s="1"/>
      <c r="X1991" s="1"/>
      <c r="Y1991" s="1"/>
      <c r="Z1991" s="1"/>
      <c r="AA1991" s="1"/>
      <c r="AB1991" s="1"/>
      <c r="AC1991" s="1"/>
      <c r="AD1991" s="1"/>
      <c r="AE1991" s="1"/>
      <c r="AF1991" s="1"/>
    </row>
    <row r="1992" spans="7:32" x14ac:dyDescent="0.2">
      <c r="G1992" s="2"/>
      <c r="H1992" s="1"/>
      <c r="I1992" s="1"/>
      <c r="J1992" s="1"/>
      <c r="K1992" s="1"/>
      <c r="L1992" s="1"/>
      <c r="M1992" s="1"/>
      <c r="N1992" s="1"/>
      <c r="O1992" s="1"/>
      <c r="P1992" s="1"/>
      <c r="Q1992" s="1"/>
      <c r="R1992" s="1"/>
      <c r="S1992" s="1"/>
      <c r="T1992" s="1"/>
      <c r="U1992" s="1"/>
      <c r="V1992" s="1"/>
      <c r="W1992" s="1"/>
      <c r="X1992" s="1"/>
      <c r="Y1992" s="1"/>
      <c r="Z1992" s="1"/>
      <c r="AA1992" s="1"/>
      <c r="AB1992" s="1"/>
      <c r="AC1992" s="1"/>
      <c r="AD1992" s="1"/>
      <c r="AE1992" s="1"/>
      <c r="AF1992" s="1"/>
    </row>
    <row r="1993" spans="7:32" x14ac:dyDescent="0.2">
      <c r="G1993" s="2"/>
      <c r="H1993" s="1"/>
      <c r="I1993" s="1"/>
      <c r="J1993" s="1"/>
      <c r="K1993" s="1"/>
      <c r="L1993" s="1"/>
      <c r="M1993" s="1"/>
      <c r="N1993" s="1"/>
      <c r="O1993" s="1"/>
      <c r="P1993" s="1"/>
      <c r="Q1993" s="1"/>
      <c r="R1993" s="1"/>
      <c r="S1993" s="1"/>
      <c r="T1993" s="1"/>
      <c r="U1993" s="1"/>
      <c r="V1993" s="1"/>
      <c r="W1993" s="1"/>
      <c r="X1993" s="1"/>
      <c r="Y1993" s="1"/>
      <c r="Z1993" s="1"/>
      <c r="AA1993" s="1"/>
      <c r="AB1993" s="1"/>
      <c r="AC1993" s="1"/>
      <c r="AD1993" s="1"/>
      <c r="AE1993" s="1"/>
      <c r="AF1993" s="1"/>
    </row>
    <row r="1994" spans="7:32" x14ac:dyDescent="0.2">
      <c r="G1994" s="2"/>
      <c r="H1994" s="1"/>
      <c r="I1994" s="1"/>
      <c r="J1994" s="1"/>
      <c r="K1994" s="1"/>
      <c r="L1994" s="1"/>
      <c r="M1994" s="1"/>
      <c r="N1994" s="1"/>
      <c r="O1994" s="1"/>
      <c r="P1994" s="1"/>
      <c r="Q1994" s="1"/>
      <c r="R1994" s="1"/>
      <c r="S1994" s="1"/>
      <c r="T1994" s="1"/>
      <c r="U1994" s="1"/>
      <c r="V1994" s="1"/>
      <c r="W1994" s="1"/>
      <c r="X1994" s="1"/>
      <c r="Y1994" s="1"/>
      <c r="Z1994" s="1"/>
      <c r="AA1994" s="1"/>
      <c r="AB1994" s="1"/>
      <c r="AC1994" s="1"/>
      <c r="AD1994" s="1"/>
      <c r="AE1994" s="1"/>
      <c r="AF1994" s="1"/>
    </row>
    <row r="1995" spans="7:32" x14ac:dyDescent="0.2">
      <c r="G1995" s="2"/>
      <c r="H1995" s="1"/>
      <c r="I1995" s="1"/>
      <c r="J1995" s="1"/>
      <c r="K1995" s="1"/>
      <c r="L1995" s="1"/>
      <c r="M1995" s="1"/>
      <c r="N1995" s="1"/>
      <c r="O1995" s="1"/>
      <c r="P1995" s="1"/>
      <c r="Q1995" s="1"/>
      <c r="R1995" s="1"/>
      <c r="S1995" s="1"/>
      <c r="T1995" s="1"/>
      <c r="U1995" s="1"/>
      <c r="V1995" s="1"/>
      <c r="W1995" s="1"/>
      <c r="X1995" s="1"/>
      <c r="Y1995" s="1"/>
      <c r="Z1995" s="1"/>
      <c r="AA1995" s="1"/>
      <c r="AB1995" s="1"/>
      <c r="AC1995" s="1"/>
      <c r="AD1995" s="1"/>
      <c r="AE1995" s="1"/>
      <c r="AF1995" s="1"/>
    </row>
    <row r="1996" spans="7:32" x14ac:dyDescent="0.2">
      <c r="G1996" s="2"/>
      <c r="H1996" s="1"/>
      <c r="I1996" s="1"/>
      <c r="J1996" s="1"/>
      <c r="K1996" s="1"/>
      <c r="L1996" s="1"/>
      <c r="M1996" s="1"/>
      <c r="N1996" s="1"/>
      <c r="O1996" s="1"/>
      <c r="P1996" s="1"/>
      <c r="Q1996" s="1"/>
      <c r="R1996" s="1"/>
      <c r="S1996" s="1"/>
      <c r="T1996" s="1"/>
      <c r="U1996" s="1"/>
      <c r="V1996" s="1"/>
      <c r="W1996" s="1"/>
      <c r="X1996" s="1"/>
      <c r="Y1996" s="1"/>
      <c r="Z1996" s="1"/>
      <c r="AA1996" s="1"/>
      <c r="AB1996" s="1"/>
      <c r="AC1996" s="1"/>
      <c r="AD1996" s="1"/>
      <c r="AE1996" s="1"/>
      <c r="AF1996" s="1"/>
    </row>
    <row r="1997" spans="7:32" x14ac:dyDescent="0.2">
      <c r="G1997" s="2"/>
      <c r="H1997" s="1"/>
      <c r="I1997" s="1"/>
      <c r="J1997" s="1"/>
      <c r="K1997" s="1"/>
      <c r="L1997" s="1"/>
      <c r="M1997" s="1"/>
      <c r="N1997" s="1"/>
      <c r="O1997" s="1"/>
      <c r="P1997" s="1"/>
      <c r="Q1997" s="1"/>
      <c r="R1997" s="1"/>
      <c r="S1997" s="1"/>
      <c r="T1997" s="1"/>
      <c r="U1997" s="1"/>
      <c r="V1997" s="1"/>
      <c r="W1997" s="1"/>
      <c r="X1997" s="1"/>
      <c r="Y1997" s="1"/>
      <c r="Z1997" s="1"/>
      <c r="AA1997" s="1"/>
      <c r="AB1997" s="1"/>
      <c r="AC1997" s="1"/>
      <c r="AD1997" s="1"/>
      <c r="AE1997" s="1"/>
      <c r="AF1997" s="1"/>
    </row>
    <row r="1998" spans="7:32" x14ac:dyDescent="0.2">
      <c r="G1998" s="2"/>
      <c r="H1998" s="1"/>
      <c r="I1998" s="1"/>
      <c r="J1998" s="1"/>
      <c r="K1998" s="1"/>
      <c r="L1998" s="1"/>
      <c r="M1998" s="1"/>
      <c r="N1998" s="1"/>
      <c r="O1998" s="1"/>
      <c r="P1998" s="1"/>
      <c r="Q1998" s="1"/>
      <c r="R1998" s="1"/>
      <c r="S1998" s="1"/>
      <c r="T1998" s="1"/>
      <c r="U1998" s="1"/>
      <c r="V1998" s="1"/>
      <c r="W1998" s="1"/>
      <c r="X1998" s="1"/>
      <c r="Y1998" s="1"/>
      <c r="Z1998" s="1"/>
      <c r="AA1998" s="1"/>
      <c r="AB1998" s="1"/>
      <c r="AC1998" s="1"/>
      <c r="AD1998" s="1"/>
      <c r="AE1998" s="1"/>
      <c r="AF1998" s="1"/>
    </row>
    <row r="1999" spans="7:32" x14ac:dyDescent="0.2">
      <c r="G1999" s="2"/>
      <c r="H1999" s="1"/>
      <c r="I1999" s="1"/>
      <c r="J1999" s="1"/>
      <c r="K1999" s="1"/>
      <c r="L1999" s="1"/>
      <c r="M1999" s="1"/>
      <c r="N1999" s="1"/>
      <c r="O1999" s="1"/>
      <c r="P1999" s="1"/>
      <c r="Q1999" s="1"/>
      <c r="R1999" s="1"/>
      <c r="S1999" s="1"/>
      <c r="T1999" s="1"/>
      <c r="U1999" s="1"/>
      <c r="V1999" s="1"/>
      <c r="W1999" s="1"/>
      <c r="X1999" s="1"/>
      <c r="Y1999" s="1"/>
      <c r="Z1999" s="1"/>
      <c r="AA1999" s="1"/>
      <c r="AB1999" s="1"/>
      <c r="AC1999" s="1"/>
      <c r="AD1999" s="1"/>
      <c r="AE1999" s="1"/>
      <c r="AF1999" s="1"/>
    </row>
    <row r="2000" spans="7:32" x14ac:dyDescent="0.2">
      <c r="G2000" s="2"/>
      <c r="H2000" s="1"/>
      <c r="I2000" s="1"/>
      <c r="J2000" s="1"/>
      <c r="K2000" s="1"/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  <c r="X2000" s="1"/>
      <c r="Y2000" s="1"/>
      <c r="Z2000" s="1"/>
      <c r="AA2000" s="1"/>
      <c r="AB2000" s="1"/>
      <c r="AC2000" s="1"/>
      <c r="AD2000" s="1"/>
      <c r="AE2000" s="1"/>
      <c r="AF2000" s="1"/>
    </row>
    <row r="2001" spans="7:32" x14ac:dyDescent="0.2">
      <c r="G2001" s="2"/>
      <c r="H2001" s="1"/>
      <c r="I2001" s="1"/>
      <c r="J2001" s="1"/>
      <c r="K2001" s="1"/>
      <c r="L2001" s="1"/>
      <c r="M2001" s="1"/>
      <c r="N2001" s="1"/>
      <c r="O2001" s="1"/>
      <c r="P2001" s="1"/>
      <c r="Q2001" s="1"/>
      <c r="R2001" s="1"/>
      <c r="S2001" s="1"/>
      <c r="T2001" s="1"/>
      <c r="U2001" s="1"/>
      <c r="V2001" s="1"/>
      <c r="W2001" s="1"/>
      <c r="X2001" s="1"/>
      <c r="Y2001" s="1"/>
      <c r="Z2001" s="1"/>
      <c r="AA2001" s="1"/>
      <c r="AB2001" s="1"/>
      <c r="AC2001" s="1"/>
      <c r="AD2001" s="1"/>
      <c r="AE2001" s="1"/>
      <c r="AF2001" s="1"/>
    </row>
    <row r="2002" spans="7:32" x14ac:dyDescent="0.2">
      <c r="G2002" s="2"/>
      <c r="H2002" s="1"/>
      <c r="I2002" s="1"/>
      <c r="J2002" s="1"/>
      <c r="K2002" s="1"/>
      <c r="L2002" s="1"/>
      <c r="M2002" s="1"/>
      <c r="N2002" s="1"/>
      <c r="O2002" s="1"/>
      <c r="P2002" s="1"/>
      <c r="Q2002" s="1"/>
      <c r="R2002" s="1"/>
      <c r="S2002" s="1"/>
      <c r="T2002" s="1"/>
      <c r="U2002" s="1"/>
      <c r="V2002" s="1"/>
      <c r="W2002" s="1"/>
      <c r="X2002" s="1"/>
      <c r="Y2002" s="1"/>
      <c r="Z2002" s="1"/>
      <c r="AA2002" s="1"/>
      <c r="AB2002" s="1"/>
      <c r="AC2002" s="1"/>
      <c r="AD2002" s="1"/>
      <c r="AE2002" s="1"/>
      <c r="AF2002" s="1"/>
    </row>
    <row r="2003" spans="7:32" x14ac:dyDescent="0.2">
      <c r="G2003" s="2"/>
      <c r="H2003" s="1"/>
      <c r="I2003" s="1"/>
      <c r="J2003" s="1"/>
      <c r="K2003" s="1"/>
      <c r="L2003" s="1"/>
      <c r="M2003" s="1"/>
      <c r="N2003" s="1"/>
      <c r="O2003" s="1"/>
      <c r="P2003" s="1"/>
      <c r="Q2003" s="1"/>
      <c r="R2003" s="1"/>
      <c r="S2003" s="1"/>
      <c r="T2003" s="1"/>
      <c r="U2003" s="1"/>
      <c r="V2003" s="1"/>
      <c r="W2003" s="1"/>
      <c r="X2003" s="1"/>
      <c r="Y2003" s="1"/>
      <c r="Z2003" s="1"/>
      <c r="AA2003" s="1"/>
      <c r="AB2003" s="1"/>
      <c r="AC2003" s="1"/>
      <c r="AD2003" s="1"/>
      <c r="AE2003" s="1"/>
      <c r="AF2003" s="1"/>
    </row>
    <row r="2004" spans="7:32" x14ac:dyDescent="0.2">
      <c r="G2004" s="2"/>
      <c r="H2004" s="1"/>
      <c r="I2004" s="1"/>
      <c r="J2004" s="1"/>
      <c r="K2004" s="1"/>
      <c r="L2004" s="1"/>
      <c r="M2004" s="1"/>
      <c r="N2004" s="1"/>
      <c r="O2004" s="1"/>
      <c r="P2004" s="1"/>
      <c r="Q2004" s="1"/>
      <c r="R2004" s="1"/>
      <c r="S2004" s="1"/>
      <c r="T2004" s="1"/>
      <c r="U2004" s="1"/>
      <c r="V2004" s="1"/>
      <c r="W2004" s="1"/>
      <c r="X2004" s="1"/>
      <c r="Y2004" s="1"/>
      <c r="Z2004" s="1"/>
      <c r="AA2004" s="1"/>
      <c r="AB2004" s="1"/>
      <c r="AC2004" s="1"/>
      <c r="AD2004" s="1"/>
      <c r="AE2004" s="1"/>
      <c r="AF2004" s="1"/>
    </row>
    <row r="2005" spans="7:32" x14ac:dyDescent="0.2">
      <c r="G2005" s="2"/>
      <c r="H2005" s="1"/>
      <c r="I2005" s="1"/>
      <c r="J2005" s="1"/>
      <c r="K2005" s="1"/>
      <c r="L2005" s="1"/>
      <c r="M2005" s="1"/>
      <c r="N2005" s="1"/>
      <c r="O2005" s="1"/>
      <c r="P2005" s="1"/>
      <c r="Q2005" s="1"/>
      <c r="R2005" s="1"/>
      <c r="S2005" s="1"/>
      <c r="T2005" s="1"/>
      <c r="U2005" s="1"/>
      <c r="V2005" s="1"/>
      <c r="W2005" s="1"/>
      <c r="X2005" s="1"/>
      <c r="Y2005" s="1"/>
      <c r="Z2005" s="1"/>
      <c r="AA2005" s="1"/>
      <c r="AB2005" s="1"/>
      <c r="AC2005" s="1"/>
      <c r="AD2005" s="1"/>
      <c r="AE2005" s="1"/>
      <c r="AF2005" s="1"/>
    </row>
    <row r="2006" spans="7:32" x14ac:dyDescent="0.2">
      <c r="G2006" s="2"/>
      <c r="H2006" s="1"/>
      <c r="I2006" s="1"/>
      <c r="J2006" s="1"/>
      <c r="K2006" s="1"/>
      <c r="L2006" s="1"/>
      <c r="M2006" s="1"/>
      <c r="N2006" s="1"/>
      <c r="O2006" s="1"/>
      <c r="P2006" s="1"/>
      <c r="Q2006" s="1"/>
      <c r="R2006" s="1"/>
      <c r="S2006" s="1"/>
      <c r="T2006" s="1"/>
      <c r="U2006" s="1"/>
      <c r="V2006" s="1"/>
      <c r="W2006" s="1"/>
      <c r="X2006" s="1"/>
      <c r="Y2006" s="1"/>
      <c r="Z2006" s="1"/>
      <c r="AA2006" s="1"/>
      <c r="AB2006" s="1"/>
      <c r="AC2006" s="1"/>
      <c r="AD2006" s="1"/>
      <c r="AE2006" s="1"/>
      <c r="AF2006" s="1"/>
    </row>
    <row r="2007" spans="7:32" x14ac:dyDescent="0.2">
      <c r="G2007" s="2"/>
      <c r="H2007" s="1"/>
      <c r="I2007" s="1"/>
      <c r="J2007" s="1"/>
      <c r="K2007" s="1"/>
      <c r="L2007" s="1"/>
      <c r="M2007" s="1"/>
      <c r="N2007" s="1"/>
      <c r="O2007" s="1"/>
      <c r="P2007" s="1"/>
      <c r="Q2007" s="1"/>
      <c r="R2007" s="1"/>
      <c r="S2007" s="1"/>
      <c r="T2007" s="1"/>
      <c r="U2007" s="1"/>
      <c r="V2007" s="1"/>
      <c r="W2007" s="1"/>
      <c r="X2007" s="1"/>
      <c r="Y2007" s="1"/>
      <c r="Z2007" s="1"/>
      <c r="AA2007" s="1"/>
      <c r="AB2007" s="1"/>
      <c r="AC2007" s="1"/>
      <c r="AD2007" s="1"/>
      <c r="AE2007" s="1"/>
      <c r="AF2007" s="1"/>
    </row>
    <row r="2008" spans="7:32" x14ac:dyDescent="0.2">
      <c r="G2008" s="2"/>
      <c r="H2008" s="1"/>
      <c r="I2008" s="1"/>
      <c r="J2008" s="1"/>
      <c r="K2008" s="1"/>
      <c r="L2008" s="1"/>
      <c r="M2008" s="1"/>
      <c r="N2008" s="1"/>
      <c r="O2008" s="1"/>
      <c r="P2008" s="1"/>
      <c r="Q2008" s="1"/>
      <c r="R2008" s="1"/>
      <c r="S2008" s="1"/>
      <c r="T2008" s="1"/>
      <c r="U2008" s="1"/>
      <c r="V2008" s="1"/>
      <c r="W2008" s="1"/>
      <c r="X2008" s="1"/>
      <c r="Y2008" s="1"/>
      <c r="Z2008" s="1"/>
      <c r="AA2008" s="1"/>
      <c r="AB2008" s="1"/>
      <c r="AC2008" s="1"/>
      <c r="AD2008" s="1"/>
      <c r="AE2008" s="1"/>
      <c r="AF2008" s="1"/>
    </row>
    <row r="2009" spans="7:32" x14ac:dyDescent="0.2">
      <c r="G2009" s="2"/>
      <c r="H2009" s="1"/>
      <c r="I2009" s="1"/>
      <c r="J2009" s="1"/>
      <c r="K2009" s="1"/>
      <c r="L2009" s="1"/>
      <c r="M2009" s="1"/>
      <c r="N2009" s="1"/>
      <c r="O2009" s="1"/>
      <c r="P2009" s="1"/>
      <c r="Q2009" s="1"/>
      <c r="R2009" s="1"/>
      <c r="S2009" s="1"/>
      <c r="T2009" s="1"/>
      <c r="U2009" s="1"/>
      <c r="V2009" s="1"/>
      <c r="W2009" s="1"/>
      <c r="X2009" s="1"/>
      <c r="Y2009" s="1"/>
      <c r="Z2009" s="1"/>
      <c r="AA2009" s="1"/>
      <c r="AB2009" s="1"/>
      <c r="AC2009" s="1"/>
      <c r="AD2009" s="1"/>
      <c r="AE2009" s="1"/>
      <c r="AF2009" s="1"/>
    </row>
    <row r="2010" spans="7:32" x14ac:dyDescent="0.2">
      <c r="G2010" s="2"/>
      <c r="H2010" s="1"/>
      <c r="I2010" s="1"/>
      <c r="J2010" s="1"/>
      <c r="K2010" s="1"/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  <c r="X2010" s="1"/>
      <c r="Y2010" s="1"/>
      <c r="Z2010" s="1"/>
      <c r="AA2010" s="1"/>
      <c r="AB2010" s="1"/>
      <c r="AC2010" s="1"/>
      <c r="AD2010" s="1"/>
      <c r="AE2010" s="1"/>
      <c r="AF2010" s="1"/>
    </row>
    <row r="2011" spans="7:32" x14ac:dyDescent="0.2">
      <c r="G2011" s="2"/>
      <c r="H2011" s="1"/>
      <c r="I2011" s="1"/>
      <c r="J2011" s="1"/>
      <c r="K2011" s="1"/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</row>
    <row r="2012" spans="7:32" x14ac:dyDescent="0.2">
      <c r="G2012" s="2"/>
      <c r="H2012" s="1"/>
      <c r="I2012" s="1"/>
      <c r="J2012" s="1"/>
      <c r="K2012" s="1"/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</row>
    <row r="2013" spans="7:32" x14ac:dyDescent="0.2">
      <c r="G2013" s="2"/>
      <c r="H2013" s="1"/>
      <c r="I2013" s="1"/>
      <c r="J2013" s="1"/>
      <c r="K2013" s="1"/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  <c r="X2013" s="1"/>
      <c r="Y2013" s="1"/>
      <c r="Z2013" s="1"/>
      <c r="AA2013" s="1"/>
      <c r="AB2013" s="1"/>
      <c r="AC2013" s="1"/>
      <c r="AD2013" s="1"/>
      <c r="AE2013" s="1"/>
      <c r="AF2013" s="1"/>
    </row>
    <row r="2014" spans="7:32" x14ac:dyDescent="0.2">
      <c r="G2014" s="2"/>
      <c r="H2014" s="1"/>
      <c r="I2014" s="1"/>
      <c r="J2014" s="1"/>
      <c r="K2014" s="1"/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</row>
    <row r="2015" spans="7:32" x14ac:dyDescent="0.2">
      <c r="G2015" s="2"/>
      <c r="H2015" s="1"/>
      <c r="I2015" s="1"/>
      <c r="J2015" s="1"/>
      <c r="K2015" s="1"/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</row>
    <row r="2016" spans="7:32" x14ac:dyDescent="0.2">
      <c r="G2016" s="2"/>
      <c r="H2016" s="1"/>
      <c r="I2016" s="1"/>
      <c r="J2016" s="1"/>
      <c r="K2016" s="1"/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</row>
    <row r="2017" spans="7:32" x14ac:dyDescent="0.2">
      <c r="G2017" s="2"/>
      <c r="H2017" s="1"/>
      <c r="I2017" s="1"/>
      <c r="J2017" s="1"/>
      <c r="K2017" s="1"/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</row>
    <row r="2018" spans="7:32" x14ac:dyDescent="0.2">
      <c r="G2018" s="2"/>
      <c r="H2018" s="1"/>
      <c r="I2018" s="1"/>
      <c r="J2018" s="1"/>
      <c r="K2018" s="1"/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</row>
    <row r="2019" spans="7:32" x14ac:dyDescent="0.2">
      <c r="G2019" s="2"/>
      <c r="H2019" s="1"/>
      <c r="I2019" s="1"/>
      <c r="J2019" s="1"/>
      <c r="K2019" s="1"/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</row>
    <row r="2020" spans="7:32" x14ac:dyDescent="0.2">
      <c r="G2020" s="2"/>
      <c r="H2020" s="1"/>
      <c r="I2020" s="1"/>
      <c r="J2020" s="1"/>
      <c r="K2020" s="1"/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</row>
    <row r="2021" spans="7:32" x14ac:dyDescent="0.2">
      <c r="G2021" s="2"/>
      <c r="H2021" s="1"/>
      <c r="I2021" s="1"/>
      <c r="J2021" s="1"/>
      <c r="K2021" s="1"/>
      <c r="L2021" s="1"/>
      <c r="M2021" s="1"/>
      <c r="N2021" s="1"/>
      <c r="O2021" s="1"/>
      <c r="P2021" s="1"/>
      <c r="Q2021" s="1"/>
      <c r="R2021" s="1"/>
      <c r="S2021" s="1"/>
      <c r="T2021" s="1"/>
      <c r="U2021" s="1"/>
      <c r="V2021" s="1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</row>
    <row r="2022" spans="7:32" x14ac:dyDescent="0.2">
      <c r="G2022" s="2"/>
      <c r="H2022" s="1"/>
      <c r="I2022" s="1"/>
      <c r="J2022" s="1"/>
      <c r="K2022" s="1"/>
      <c r="L2022" s="1"/>
      <c r="M2022" s="1"/>
      <c r="N2022" s="1"/>
      <c r="O2022" s="1"/>
      <c r="P2022" s="1"/>
      <c r="Q2022" s="1"/>
      <c r="R2022" s="1"/>
      <c r="S2022" s="1"/>
      <c r="T2022" s="1"/>
      <c r="U2022" s="1"/>
      <c r="V2022" s="1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</row>
    <row r="2023" spans="7:32" x14ac:dyDescent="0.2">
      <c r="G2023" s="2"/>
      <c r="H2023" s="1"/>
      <c r="I2023" s="1"/>
      <c r="J2023" s="1"/>
      <c r="K2023" s="1"/>
      <c r="L2023" s="1"/>
      <c r="M2023" s="1"/>
      <c r="N2023" s="1"/>
      <c r="O2023" s="1"/>
      <c r="P2023" s="1"/>
      <c r="Q2023" s="1"/>
      <c r="R2023" s="1"/>
      <c r="S2023" s="1"/>
      <c r="T2023" s="1"/>
      <c r="U2023" s="1"/>
      <c r="V2023" s="1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</row>
    <row r="2024" spans="7:32" x14ac:dyDescent="0.2">
      <c r="G2024" s="2"/>
      <c r="H2024" s="1"/>
      <c r="I2024" s="1"/>
      <c r="J2024" s="1"/>
      <c r="K2024" s="1"/>
      <c r="L2024" s="1"/>
      <c r="M2024" s="1"/>
      <c r="N2024" s="1"/>
      <c r="O2024" s="1"/>
      <c r="P2024" s="1"/>
      <c r="Q2024" s="1"/>
      <c r="R2024" s="1"/>
      <c r="S2024" s="1"/>
      <c r="T2024" s="1"/>
      <c r="U2024" s="1"/>
      <c r="V2024" s="1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</row>
    <row r="2025" spans="7:32" x14ac:dyDescent="0.2">
      <c r="G2025" s="2"/>
      <c r="H2025" s="1"/>
      <c r="I2025" s="1"/>
      <c r="J2025" s="1"/>
      <c r="K2025" s="1"/>
      <c r="L2025" s="1"/>
      <c r="M2025" s="1"/>
      <c r="N2025" s="1"/>
      <c r="O2025" s="1"/>
      <c r="P2025" s="1"/>
      <c r="Q2025" s="1"/>
      <c r="R2025" s="1"/>
      <c r="S2025" s="1"/>
      <c r="T2025" s="1"/>
      <c r="U2025" s="1"/>
      <c r="V2025" s="1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</row>
    <row r="2026" spans="7:32" x14ac:dyDescent="0.2">
      <c r="G2026" s="2"/>
      <c r="H2026" s="1"/>
      <c r="I2026" s="1"/>
      <c r="J2026" s="1"/>
      <c r="K2026" s="1"/>
      <c r="L2026" s="1"/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</row>
    <row r="2027" spans="7:32" x14ac:dyDescent="0.2">
      <c r="G2027" s="2"/>
      <c r="H2027" s="1"/>
      <c r="I2027" s="1"/>
      <c r="J2027" s="1"/>
      <c r="K2027" s="1"/>
      <c r="L2027" s="1"/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</row>
    <row r="2028" spans="7:32" x14ac:dyDescent="0.2">
      <c r="G2028" s="2"/>
      <c r="H2028" s="1"/>
      <c r="I2028" s="1"/>
      <c r="J2028" s="1"/>
      <c r="K2028" s="1"/>
      <c r="L2028" s="1"/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</row>
    <row r="2029" spans="7:32" x14ac:dyDescent="0.2">
      <c r="G2029" s="2"/>
      <c r="H2029" s="1"/>
      <c r="I2029" s="1"/>
      <c r="J2029" s="1"/>
      <c r="K2029" s="1"/>
      <c r="L2029" s="1"/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</row>
    <row r="2030" spans="7:32" x14ac:dyDescent="0.2">
      <c r="G2030" s="2"/>
      <c r="H2030" s="1"/>
      <c r="I2030" s="1"/>
      <c r="J2030" s="1"/>
      <c r="K2030" s="1"/>
      <c r="L2030" s="1"/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</row>
    <row r="2031" spans="7:32" x14ac:dyDescent="0.2">
      <c r="G2031" s="2"/>
      <c r="H2031" s="1"/>
      <c r="I2031" s="1"/>
      <c r="J2031" s="1"/>
      <c r="K2031" s="1"/>
      <c r="L2031" s="1"/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</row>
    <row r="2032" spans="7:32" x14ac:dyDescent="0.2">
      <c r="G2032" s="2"/>
      <c r="H2032" s="1"/>
      <c r="I2032" s="1"/>
      <c r="J2032" s="1"/>
      <c r="K2032" s="1"/>
      <c r="L2032" s="1"/>
      <c r="M2032" s="1"/>
      <c r="N2032" s="1"/>
      <c r="O2032" s="1"/>
      <c r="P2032" s="1"/>
      <c r="Q2032" s="1"/>
      <c r="R2032" s="1"/>
      <c r="S2032" s="1"/>
      <c r="T2032" s="1"/>
      <c r="U2032" s="1"/>
      <c r="V2032" s="1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</row>
    <row r="2033" spans="7:32" x14ac:dyDescent="0.2">
      <c r="G2033" s="2"/>
      <c r="H2033" s="1"/>
      <c r="I2033" s="1"/>
      <c r="J2033" s="1"/>
      <c r="K2033" s="1"/>
      <c r="L2033" s="1"/>
      <c r="M2033" s="1"/>
      <c r="N2033" s="1"/>
      <c r="O2033" s="1"/>
      <c r="P2033" s="1"/>
      <c r="Q2033" s="1"/>
      <c r="R2033" s="1"/>
      <c r="S2033" s="1"/>
      <c r="T2033" s="1"/>
      <c r="U2033" s="1"/>
      <c r="V2033" s="1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</row>
    <row r="2034" spans="7:32" x14ac:dyDescent="0.2">
      <c r="G2034" s="2"/>
      <c r="H2034" s="1"/>
      <c r="I2034" s="1"/>
      <c r="J2034" s="1"/>
      <c r="K2034" s="1"/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</row>
    <row r="2035" spans="7:32" x14ac:dyDescent="0.2">
      <c r="G2035" s="2"/>
      <c r="H2035" s="1"/>
      <c r="I2035" s="1"/>
      <c r="J2035" s="1"/>
      <c r="K2035" s="1"/>
      <c r="L2035" s="1"/>
      <c r="M2035" s="1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</row>
    <row r="2036" spans="7:32" x14ac:dyDescent="0.2">
      <c r="G2036" s="2"/>
      <c r="H2036" s="1"/>
      <c r="I2036" s="1"/>
      <c r="J2036" s="1"/>
      <c r="K2036" s="1"/>
      <c r="L2036" s="1"/>
      <c r="M2036" s="1"/>
      <c r="N2036" s="1"/>
      <c r="O2036" s="1"/>
      <c r="P2036" s="1"/>
      <c r="Q2036" s="1"/>
      <c r="R2036" s="1"/>
      <c r="S2036" s="1"/>
      <c r="T2036" s="1"/>
      <c r="U2036" s="1"/>
      <c r="V2036" s="1"/>
      <c r="W2036" s="1"/>
      <c r="X2036" s="1"/>
      <c r="Y2036" s="1"/>
      <c r="Z2036" s="1"/>
      <c r="AA2036" s="1"/>
      <c r="AB2036" s="1"/>
      <c r="AC2036" s="1"/>
      <c r="AD2036" s="1"/>
      <c r="AE2036" s="1"/>
      <c r="AF2036" s="1"/>
    </row>
    <row r="2037" spans="7:32" x14ac:dyDescent="0.2">
      <c r="G2037" s="2"/>
      <c r="H2037" s="1"/>
      <c r="I2037" s="1"/>
      <c r="J2037" s="1"/>
      <c r="K2037" s="1"/>
      <c r="L2037" s="1"/>
      <c r="M2037" s="1"/>
      <c r="N2037" s="1"/>
      <c r="O2037" s="1"/>
      <c r="P2037" s="1"/>
      <c r="Q2037" s="1"/>
      <c r="R2037" s="1"/>
      <c r="S2037" s="1"/>
      <c r="T2037" s="1"/>
      <c r="U2037" s="1"/>
      <c r="V2037" s="1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</row>
    <row r="2038" spans="7:32" x14ac:dyDescent="0.2">
      <c r="G2038" s="2"/>
      <c r="H2038" s="1"/>
      <c r="I2038" s="1"/>
      <c r="J2038" s="1"/>
      <c r="K2038" s="1"/>
      <c r="L2038" s="1"/>
      <c r="M2038" s="1"/>
      <c r="N2038" s="1"/>
      <c r="O2038" s="1"/>
      <c r="P2038" s="1"/>
      <c r="Q2038" s="1"/>
      <c r="R2038" s="1"/>
      <c r="S2038" s="1"/>
      <c r="T2038" s="1"/>
      <c r="U2038" s="1"/>
      <c r="V2038" s="1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</row>
    <row r="2039" spans="7:32" x14ac:dyDescent="0.2">
      <c r="G2039" s="2"/>
      <c r="H2039" s="1"/>
      <c r="I2039" s="1"/>
      <c r="J2039" s="1"/>
      <c r="K2039" s="1"/>
      <c r="L2039" s="1"/>
      <c r="M2039" s="1"/>
      <c r="N2039" s="1"/>
      <c r="O2039" s="1"/>
      <c r="P2039" s="1"/>
      <c r="Q2039" s="1"/>
      <c r="R2039" s="1"/>
      <c r="S2039" s="1"/>
      <c r="T2039" s="1"/>
      <c r="U2039" s="1"/>
      <c r="V2039" s="1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</row>
    <row r="2040" spans="7:32" x14ac:dyDescent="0.2">
      <c r="G2040" s="2"/>
      <c r="H2040" s="1"/>
      <c r="I2040" s="1"/>
      <c r="J2040" s="1"/>
      <c r="K2040" s="1"/>
      <c r="L2040" s="1"/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</row>
    <row r="2041" spans="7:32" x14ac:dyDescent="0.2">
      <c r="G2041" s="2"/>
      <c r="H2041" s="1"/>
      <c r="I2041" s="1"/>
      <c r="J2041" s="1"/>
      <c r="K2041" s="1"/>
      <c r="L2041" s="1"/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</row>
    <row r="2042" spans="7:32" x14ac:dyDescent="0.2">
      <c r="G2042" s="2"/>
      <c r="H2042" s="1"/>
      <c r="I2042" s="1"/>
      <c r="J2042" s="1"/>
      <c r="K2042" s="1"/>
      <c r="L2042" s="1"/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</row>
    <row r="2043" spans="7:32" x14ac:dyDescent="0.2">
      <c r="G2043" s="2"/>
      <c r="H2043" s="1"/>
      <c r="I2043" s="1"/>
      <c r="J2043" s="1"/>
      <c r="K2043" s="1"/>
      <c r="L2043" s="1"/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</row>
    <row r="2044" spans="7:32" x14ac:dyDescent="0.2">
      <c r="G2044" s="2"/>
      <c r="H2044" s="1"/>
      <c r="I2044" s="1"/>
      <c r="J2044" s="1"/>
      <c r="K2044" s="1"/>
      <c r="L2044" s="1"/>
      <c r="M2044" s="1"/>
      <c r="N2044" s="1"/>
      <c r="O2044" s="1"/>
      <c r="P2044" s="1"/>
      <c r="Q2044" s="1"/>
      <c r="R2044" s="1"/>
      <c r="S2044" s="1"/>
      <c r="T2044" s="1"/>
      <c r="U2044" s="1"/>
      <c r="V2044" s="1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</row>
    <row r="2045" spans="7:32" x14ac:dyDescent="0.2">
      <c r="G2045" s="2"/>
      <c r="H2045" s="1"/>
      <c r="I2045" s="1"/>
      <c r="J2045" s="1"/>
      <c r="K2045" s="1"/>
      <c r="L2045" s="1"/>
      <c r="M2045" s="1"/>
      <c r="N2045" s="1"/>
      <c r="O2045" s="1"/>
      <c r="P2045" s="1"/>
      <c r="Q2045" s="1"/>
      <c r="R2045" s="1"/>
      <c r="S2045" s="1"/>
      <c r="T2045" s="1"/>
      <c r="U2045" s="1"/>
      <c r="V2045" s="1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</row>
    <row r="2046" spans="7:32" x14ac:dyDescent="0.2">
      <c r="G2046" s="2"/>
      <c r="H2046" s="1"/>
      <c r="I2046" s="1"/>
      <c r="J2046" s="1"/>
      <c r="K2046" s="1"/>
      <c r="L2046" s="1"/>
      <c r="M2046" s="1"/>
      <c r="N2046" s="1"/>
      <c r="O2046" s="1"/>
      <c r="P2046" s="1"/>
      <c r="Q2046" s="1"/>
      <c r="R2046" s="1"/>
      <c r="S2046" s="1"/>
      <c r="T2046" s="1"/>
      <c r="U2046" s="1"/>
      <c r="V2046" s="1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</row>
    <row r="2047" spans="7:32" x14ac:dyDescent="0.2">
      <c r="G2047" s="2"/>
      <c r="H2047" s="1"/>
      <c r="I2047" s="1"/>
      <c r="J2047" s="1"/>
      <c r="K2047" s="1"/>
      <c r="L2047" s="1"/>
      <c r="M2047" s="1"/>
      <c r="N2047" s="1"/>
      <c r="O2047" s="1"/>
      <c r="P2047" s="1"/>
      <c r="Q2047" s="1"/>
      <c r="R2047" s="1"/>
      <c r="S2047" s="1"/>
      <c r="T2047" s="1"/>
      <c r="U2047" s="1"/>
      <c r="V2047" s="1"/>
      <c r="W2047" s="1"/>
      <c r="X2047" s="1"/>
      <c r="Y2047" s="1"/>
      <c r="Z2047" s="1"/>
      <c r="AA2047" s="1"/>
      <c r="AB2047" s="1"/>
      <c r="AC2047" s="1"/>
      <c r="AD2047" s="1"/>
      <c r="AE2047" s="1"/>
      <c r="AF2047" s="1"/>
    </row>
    <row r="2048" spans="7:32" x14ac:dyDescent="0.2">
      <c r="G2048" s="2"/>
      <c r="H2048" s="1"/>
      <c r="I2048" s="1"/>
      <c r="J2048" s="1"/>
      <c r="K2048" s="1"/>
      <c r="L2048" s="1"/>
      <c r="M2048" s="1"/>
      <c r="N2048" s="1"/>
      <c r="O2048" s="1"/>
      <c r="P2048" s="1"/>
      <c r="Q2048" s="1"/>
      <c r="R2048" s="1"/>
      <c r="S2048" s="1"/>
      <c r="T2048" s="1"/>
      <c r="U2048" s="1"/>
      <c r="V2048" s="1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</row>
    <row r="2049" spans="7:32" x14ac:dyDescent="0.2">
      <c r="G2049" s="2"/>
      <c r="H2049" s="1"/>
      <c r="I2049" s="1"/>
      <c r="J2049" s="1"/>
      <c r="K2049" s="1"/>
      <c r="L2049" s="1"/>
      <c r="M2049" s="1"/>
      <c r="N2049" s="1"/>
      <c r="O2049" s="1"/>
      <c r="P2049" s="1"/>
      <c r="Q2049" s="1"/>
      <c r="R2049" s="1"/>
      <c r="S2049" s="1"/>
      <c r="T2049" s="1"/>
      <c r="U2049" s="1"/>
      <c r="V2049" s="1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</row>
    <row r="2050" spans="7:32" x14ac:dyDescent="0.2">
      <c r="G2050" s="2"/>
      <c r="H2050" s="1"/>
      <c r="I2050" s="1"/>
      <c r="J2050" s="1"/>
      <c r="K2050" s="1"/>
      <c r="L2050" s="1"/>
      <c r="M2050" s="1"/>
      <c r="N2050" s="1"/>
      <c r="O2050" s="1"/>
      <c r="P2050" s="1"/>
      <c r="Q2050" s="1"/>
      <c r="R2050" s="1"/>
      <c r="S2050" s="1"/>
      <c r="T2050" s="1"/>
      <c r="U2050" s="1"/>
      <c r="V2050" s="1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</row>
    <row r="2051" spans="7:32" x14ac:dyDescent="0.2">
      <c r="G2051" s="2"/>
      <c r="H2051" s="1"/>
      <c r="I2051" s="1"/>
      <c r="J2051" s="1"/>
      <c r="K2051" s="1"/>
      <c r="L2051" s="1"/>
      <c r="M2051" s="1"/>
      <c r="N2051" s="1"/>
      <c r="O2051" s="1"/>
      <c r="P2051" s="1"/>
      <c r="Q2051" s="1"/>
      <c r="R2051" s="1"/>
      <c r="S2051" s="1"/>
      <c r="T2051" s="1"/>
      <c r="U2051" s="1"/>
      <c r="V2051" s="1"/>
      <c r="W2051" s="1"/>
      <c r="X2051" s="1"/>
      <c r="Y2051" s="1"/>
      <c r="Z2051" s="1"/>
      <c r="AA2051" s="1"/>
      <c r="AB2051" s="1"/>
      <c r="AC2051" s="1"/>
      <c r="AD2051" s="1"/>
      <c r="AE2051" s="1"/>
      <c r="AF2051" s="1"/>
    </row>
    <row r="2052" spans="7:32" x14ac:dyDescent="0.2">
      <c r="G2052" s="2"/>
      <c r="H2052" s="1"/>
      <c r="I2052" s="1"/>
      <c r="J2052" s="1"/>
      <c r="K2052" s="1"/>
      <c r="L2052" s="1"/>
      <c r="M2052" s="1"/>
      <c r="N2052" s="1"/>
      <c r="O2052" s="1"/>
      <c r="P2052" s="1"/>
      <c r="Q2052" s="1"/>
      <c r="R2052" s="1"/>
      <c r="S2052" s="1"/>
      <c r="T2052" s="1"/>
      <c r="U2052" s="1"/>
      <c r="V2052" s="1"/>
      <c r="W2052" s="1"/>
      <c r="X2052" s="1"/>
      <c r="Y2052" s="1"/>
      <c r="Z2052" s="1"/>
      <c r="AA2052" s="1"/>
      <c r="AB2052" s="1"/>
      <c r="AC2052" s="1"/>
      <c r="AD2052" s="1"/>
      <c r="AE2052" s="1"/>
      <c r="AF2052" s="1"/>
    </row>
    <row r="2053" spans="7:32" x14ac:dyDescent="0.2">
      <c r="G2053" s="2"/>
      <c r="H2053" s="1"/>
      <c r="I2053" s="1"/>
      <c r="J2053" s="1"/>
      <c r="K2053" s="1"/>
      <c r="L2053" s="1"/>
      <c r="M2053" s="1"/>
      <c r="N2053" s="1"/>
      <c r="O2053" s="1"/>
      <c r="P2053" s="1"/>
      <c r="Q2053" s="1"/>
      <c r="R2053" s="1"/>
      <c r="S2053" s="1"/>
      <c r="T2053" s="1"/>
      <c r="U2053" s="1"/>
      <c r="V2053" s="1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</row>
    <row r="2054" spans="7:32" x14ac:dyDescent="0.2">
      <c r="G2054" s="2"/>
      <c r="H2054" s="1"/>
      <c r="I2054" s="1"/>
      <c r="J2054" s="1"/>
      <c r="K2054" s="1"/>
      <c r="L2054" s="1"/>
      <c r="M2054" s="1"/>
      <c r="N2054" s="1"/>
      <c r="O2054" s="1"/>
      <c r="P2054" s="1"/>
      <c r="Q2054" s="1"/>
      <c r="R2054" s="1"/>
      <c r="S2054" s="1"/>
      <c r="T2054" s="1"/>
      <c r="U2054" s="1"/>
      <c r="V2054" s="1"/>
      <c r="W2054" s="1"/>
      <c r="X2054" s="1"/>
      <c r="Y2054" s="1"/>
      <c r="Z2054" s="1"/>
      <c r="AA2054" s="1"/>
      <c r="AB2054" s="1"/>
      <c r="AC2054" s="1"/>
      <c r="AD2054" s="1"/>
      <c r="AE2054" s="1"/>
      <c r="AF2054" s="1"/>
    </row>
    <row r="2055" spans="7:32" x14ac:dyDescent="0.2">
      <c r="G2055" s="2"/>
      <c r="H2055" s="1"/>
      <c r="I2055" s="1"/>
      <c r="J2055" s="1"/>
      <c r="K2055" s="1"/>
      <c r="L2055" s="1"/>
      <c r="M2055" s="1"/>
      <c r="N2055" s="1"/>
      <c r="O2055" s="1"/>
      <c r="P2055" s="1"/>
      <c r="Q2055" s="1"/>
      <c r="R2055" s="1"/>
      <c r="S2055" s="1"/>
      <c r="T2055" s="1"/>
      <c r="U2055" s="1"/>
      <c r="V2055" s="1"/>
      <c r="W2055" s="1"/>
      <c r="X2055" s="1"/>
      <c r="Y2055" s="1"/>
      <c r="Z2055" s="1"/>
      <c r="AA2055" s="1"/>
      <c r="AB2055" s="1"/>
      <c r="AC2055" s="1"/>
      <c r="AD2055" s="1"/>
      <c r="AE2055" s="1"/>
      <c r="AF2055" s="1"/>
    </row>
    <row r="2056" spans="7:32" x14ac:dyDescent="0.2">
      <c r="G2056" s="2"/>
      <c r="H2056" s="1"/>
      <c r="I2056" s="1"/>
      <c r="J2056" s="1"/>
      <c r="K2056" s="1"/>
      <c r="L2056" s="1"/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  <c r="X2056" s="1"/>
      <c r="Y2056" s="1"/>
      <c r="Z2056" s="1"/>
      <c r="AA2056" s="1"/>
      <c r="AB2056" s="1"/>
      <c r="AC2056" s="1"/>
      <c r="AD2056" s="1"/>
      <c r="AE2056" s="1"/>
      <c r="AF2056" s="1"/>
    </row>
    <row r="2057" spans="7:32" x14ac:dyDescent="0.2">
      <c r="G2057" s="2"/>
      <c r="H2057" s="1"/>
      <c r="I2057" s="1"/>
      <c r="J2057" s="1"/>
      <c r="K2057" s="1"/>
      <c r="L2057" s="1"/>
      <c r="M2057" s="1"/>
      <c r="N2057" s="1"/>
      <c r="O2057" s="1"/>
      <c r="P2057" s="1"/>
      <c r="Q2057" s="1"/>
      <c r="R2057" s="1"/>
      <c r="S2057" s="1"/>
      <c r="T2057" s="1"/>
      <c r="U2057" s="1"/>
      <c r="V2057" s="1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</row>
    <row r="2058" spans="7:32" x14ac:dyDescent="0.2">
      <c r="G2058" s="2"/>
      <c r="H2058" s="1"/>
      <c r="I2058" s="1"/>
      <c r="J2058" s="1"/>
      <c r="K2058" s="1"/>
      <c r="L2058" s="1"/>
      <c r="M2058" s="1"/>
      <c r="N2058" s="1"/>
      <c r="O2058" s="1"/>
      <c r="P2058" s="1"/>
      <c r="Q2058" s="1"/>
      <c r="R2058" s="1"/>
      <c r="S2058" s="1"/>
      <c r="T2058" s="1"/>
      <c r="U2058" s="1"/>
      <c r="V2058" s="1"/>
      <c r="W2058" s="1"/>
      <c r="X2058" s="1"/>
      <c r="Y2058" s="1"/>
      <c r="Z2058" s="1"/>
      <c r="AA2058" s="1"/>
      <c r="AB2058" s="1"/>
      <c r="AC2058" s="1"/>
      <c r="AD2058" s="1"/>
      <c r="AE2058" s="1"/>
      <c r="AF2058" s="1"/>
    </row>
    <row r="2059" spans="7:32" x14ac:dyDescent="0.2">
      <c r="G2059" s="2"/>
      <c r="H2059" s="1"/>
      <c r="I2059" s="1"/>
      <c r="J2059" s="1"/>
      <c r="K2059" s="1"/>
      <c r="L2059" s="1"/>
      <c r="M2059" s="1"/>
      <c r="N2059" s="1"/>
      <c r="O2059" s="1"/>
      <c r="P2059" s="1"/>
      <c r="Q2059" s="1"/>
      <c r="R2059" s="1"/>
      <c r="S2059" s="1"/>
      <c r="T2059" s="1"/>
      <c r="U2059" s="1"/>
      <c r="V2059" s="1"/>
      <c r="W2059" s="1"/>
      <c r="X2059" s="1"/>
      <c r="Y2059" s="1"/>
      <c r="Z2059" s="1"/>
      <c r="AA2059" s="1"/>
      <c r="AB2059" s="1"/>
      <c r="AC2059" s="1"/>
      <c r="AD2059" s="1"/>
      <c r="AE2059" s="1"/>
      <c r="AF2059" s="1"/>
    </row>
    <row r="2060" spans="7:32" x14ac:dyDescent="0.2">
      <c r="G2060" s="2"/>
      <c r="H2060" s="1"/>
      <c r="I2060" s="1"/>
      <c r="J2060" s="1"/>
      <c r="K2060" s="1"/>
      <c r="L2060" s="1"/>
      <c r="M2060" s="1"/>
      <c r="N2060" s="1"/>
      <c r="O2060" s="1"/>
      <c r="P2060" s="1"/>
      <c r="Q2060" s="1"/>
      <c r="R2060" s="1"/>
      <c r="S2060" s="1"/>
      <c r="T2060" s="1"/>
      <c r="U2060" s="1"/>
      <c r="V2060" s="1"/>
      <c r="W2060" s="1"/>
      <c r="X2060" s="1"/>
      <c r="Y2060" s="1"/>
      <c r="Z2060" s="1"/>
      <c r="AA2060" s="1"/>
      <c r="AB2060" s="1"/>
      <c r="AC2060" s="1"/>
      <c r="AD2060" s="1"/>
      <c r="AE2060" s="1"/>
      <c r="AF2060" s="1"/>
    </row>
    <row r="2061" spans="7:32" x14ac:dyDescent="0.2">
      <c r="G2061" s="2"/>
      <c r="H2061" s="1"/>
      <c r="I2061" s="1"/>
      <c r="J2061" s="1"/>
      <c r="K2061" s="1"/>
      <c r="L2061" s="1"/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  <c r="X2061" s="1"/>
      <c r="Y2061" s="1"/>
      <c r="Z2061" s="1"/>
      <c r="AA2061" s="1"/>
      <c r="AB2061" s="1"/>
      <c r="AC2061" s="1"/>
      <c r="AD2061" s="1"/>
      <c r="AE2061" s="1"/>
      <c r="AF2061" s="1"/>
    </row>
    <row r="2062" spans="7:32" x14ac:dyDescent="0.2">
      <c r="G2062" s="2"/>
      <c r="H2062" s="1"/>
      <c r="I2062" s="1"/>
      <c r="J2062" s="1"/>
      <c r="K2062" s="1"/>
      <c r="L2062" s="1"/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  <c r="X2062" s="1"/>
      <c r="Y2062" s="1"/>
      <c r="Z2062" s="1"/>
      <c r="AA2062" s="1"/>
      <c r="AB2062" s="1"/>
      <c r="AC2062" s="1"/>
      <c r="AD2062" s="1"/>
      <c r="AE2062" s="1"/>
      <c r="AF2062" s="1"/>
    </row>
    <row r="2063" spans="7:32" x14ac:dyDescent="0.2">
      <c r="G2063" s="2"/>
      <c r="H2063" s="1"/>
      <c r="I2063" s="1"/>
      <c r="J2063" s="1"/>
      <c r="K2063" s="1"/>
      <c r="L2063" s="1"/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  <c r="X2063" s="1"/>
      <c r="Y2063" s="1"/>
      <c r="Z2063" s="1"/>
      <c r="AA2063" s="1"/>
      <c r="AB2063" s="1"/>
      <c r="AC2063" s="1"/>
      <c r="AD2063" s="1"/>
      <c r="AE2063" s="1"/>
      <c r="AF2063" s="1"/>
    </row>
    <row r="2064" spans="7:32" x14ac:dyDescent="0.2">
      <c r="G2064" s="2"/>
      <c r="H2064" s="1"/>
      <c r="I2064" s="1"/>
      <c r="J2064" s="1"/>
      <c r="K2064" s="1"/>
      <c r="L2064" s="1"/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  <c r="X2064" s="1"/>
      <c r="Y2064" s="1"/>
      <c r="Z2064" s="1"/>
      <c r="AA2064" s="1"/>
      <c r="AB2064" s="1"/>
      <c r="AC2064" s="1"/>
      <c r="AD2064" s="1"/>
      <c r="AE2064" s="1"/>
      <c r="AF2064" s="1"/>
    </row>
    <row r="2065" spans="7:32" x14ac:dyDescent="0.2">
      <c r="G2065" s="2"/>
      <c r="H2065" s="1"/>
      <c r="I2065" s="1"/>
      <c r="J2065" s="1"/>
      <c r="K2065" s="1"/>
      <c r="L2065" s="1"/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  <c r="X2065" s="1"/>
      <c r="Y2065" s="1"/>
      <c r="Z2065" s="1"/>
      <c r="AA2065" s="1"/>
      <c r="AB2065" s="1"/>
      <c r="AC2065" s="1"/>
      <c r="AD2065" s="1"/>
      <c r="AE2065" s="1"/>
      <c r="AF2065" s="1"/>
    </row>
    <row r="2066" spans="7:32" x14ac:dyDescent="0.2">
      <c r="G2066" s="2"/>
      <c r="H2066" s="1"/>
      <c r="I2066" s="1"/>
      <c r="J2066" s="1"/>
      <c r="K2066" s="1"/>
      <c r="L2066" s="1"/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  <c r="X2066" s="1"/>
      <c r="Y2066" s="1"/>
      <c r="Z2066" s="1"/>
      <c r="AA2066" s="1"/>
      <c r="AB2066" s="1"/>
      <c r="AC2066" s="1"/>
      <c r="AD2066" s="1"/>
      <c r="AE2066" s="1"/>
      <c r="AF2066" s="1"/>
    </row>
    <row r="2067" spans="7:32" x14ac:dyDescent="0.2">
      <c r="G2067" s="2"/>
      <c r="H2067" s="1"/>
      <c r="I2067" s="1"/>
      <c r="J2067" s="1"/>
      <c r="K2067" s="1"/>
      <c r="L2067" s="1"/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  <c r="X2067" s="1"/>
      <c r="Y2067" s="1"/>
      <c r="Z2067" s="1"/>
      <c r="AA2067" s="1"/>
      <c r="AB2067" s="1"/>
      <c r="AC2067" s="1"/>
      <c r="AD2067" s="1"/>
      <c r="AE2067" s="1"/>
      <c r="AF2067" s="1"/>
    </row>
    <row r="2068" spans="7:32" x14ac:dyDescent="0.2">
      <c r="G2068" s="2"/>
      <c r="H2068" s="1"/>
      <c r="I2068" s="1"/>
      <c r="J2068" s="1"/>
      <c r="K2068" s="1"/>
      <c r="L2068" s="1"/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  <c r="X2068" s="1"/>
      <c r="Y2068" s="1"/>
      <c r="Z2068" s="1"/>
      <c r="AA2068" s="1"/>
      <c r="AB2068" s="1"/>
      <c r="AC2068" s="1"/>
      <c r="AD2068" s="1"/>
      <c r="AE2068" s="1"/>
      <c r="AF2068" s="1"/>
    </row>
    <row r="2069" spans="7:32" x14ac:dyDescent="0.2">
      <c r="G2069" s="2"/>
      <c r="H2069" s="1"/>
      <c r="I2069" s="1"/>
      <c r="J2069" s="1"/>
      <c r="K2069" s="1"/>
      <c r="L2069" s="1"/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  <c r="X2069" s="1"/>
      <c r="Y2069" s="1"/>
      <c r="Z2069" s="1"/>
      <c r="AA2069" s="1"/>
      <c r="AB2069" s="1"/>
      <c r="AC2069" s="1"/>
      <c r="AD2069" s="1"/>
      <c r="AE2069" s="1"/>
      <c r="AF2069" s="1"/>
    </row>
    <row r="2070" spans="7:32" x14ac:dyDescent="0.2">
      <c r="G2070" s="2"/>
      <c r="H2070" s="1"/>
      <c r="I2070" s="1"/>
      <c r="J2070" s="1"/>
      <c r="K2070" s="1"/>
      <c r="L2070" s="1"/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  <c r="X2070" s="1"/>
      <c r="Y2070" s="1"/>
      <c r="Z2070" s="1"/>
      <c r="AA2070" s="1"/>
      <c r="AB2070" s="1"/>
      <c r="AC2070" s="1"/>
      <c r="AD2070" s="1"/>
      <c r="AE2070" s="1"/>
      <c r="AF2070" s="1"/>
    </row>
    <row r="2071" spans="7:32" x14ac:dyDescent="0.2">
      <c r="G2071" s="2"/>
      <c r="H2071" s="1"/>
      <c r="I2071" s="1"/>
      <c r="J2071" s="1"/>
      <c r="K2071" s="1"/>
      <c r="L2071" s="1"/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  <c r="X2071" s="1"/>
      <c r="Y2071" s="1"/>
      <c r="Z2071" s="1"/>
      <c r="AA2071" s="1"/>
      <c r="AB2071" s="1"/>
      <c r="AC2071" s="1"/>
      <c r="AD2071" s="1"/>
      <c r="AE2071" s="1"/>
      <c r="AF2071" s="1"/>
    </row>
    <row r="2072" spans="7:32" x14ac:dyDescent="0.2">
      <c r="G2072" s="2"/>
      <c r="H2072" s="1"/>
      <c r="I2072" s="1"/>
      <c r="J2072" s="1"/>
      <c r="K2072" s="1"/>
      <c r="L2072" s="1"/>
      <c r="M2072" s="1"/>
      <c r="N2072" s="1"/>
      <c r="O2072" s="1"/>
      <c r="P2072" s="1"/>
      <c r="Q2072" s="1"/>
      <c r="R2072" s="1"/>
      <c r="S2072" s="1"/>
      <c r="T2072" s="1"/>
      <c r="U2072" s="1"/>
      <c r="V2072" s="1"/>
      <c r="W2072" s="1"/>
      <c r="X2072" s="1"/>
      <c r="Y2072" s="1"/>
      <c r="Z2072" s="1"/>
      <c r="AA2072" s="1"/>
      <c r="AB2072" s="1"/>
      <c r="AC2072" s="1"/>
      <c r="AD2072" s="1"/>
      <c r="AE2072" s="1"/>
      <c r="AF2072" s="1"/>
    </row>
    <row r="2073" spans="7:32" x14ac:dyDescent="0.2">
      <c r="G2073" s="2"/>
      <c r="H2073" s="1"/>
      <c r="I2073" s="1"/>
      <c r="J2073" s="1"/>
      <c r="K2073" s="1"/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  <c r="X2073" s="1"/>
      <c r="Y2073" s="1"/>
      <c r="Z2073" s="1"/>
      <c r="AA2073" s="1"/>
      <c r="AB2073" s="1"/>
      <c r="AC2073" s="1"/>
      <c r="AD2073" s="1"/>
      <c r="AE2073" s="1"/>
      <c r="AF2073" s="1"/>
    </row>
    <row r="2074" spans="7:32" x14ac:dyDescent="0.2">
      <c r="G2074" s="2"/>
      <c r="H2074" s="1"/>
      <c r="I2074" s="1"/>
      <c r="J2074" s="1"/>
      <c r="K2074" s="1"/>
      <c r="L2074" s="1"/>
      <c r="M2074" s="1"/>
      <c r="N2074" s="1"/>
      <c r="O2074" s="1"/>
      <c r="P2074" s="1"/>
      <c r="Q2074" s="1"/>
      <c r="R2074" s="1"/>
      <c r="S2074" s="1"/>
      <c r="T2074" s="1"/>
      <c r="U2074" s="1"/>
      <c r="V2074" s="1"/>
      <c r="W2074" s="1"/>
      <c r="X2074" s="1"/>
      <c r="Y2074" s="1"/>
      <c r="Z2074" s="1"/>
      <c r="AA2074" s="1"/>
      <c r="AB2074" s="1"/>
      <c r="AC2074" s="1"/>
      <c r="AD2074" s="1"/>
      <c r="AE2074" s="1"/>
      <c r="AF2074" s="1"/>
    </row>
    <row r="2075" spans="7:32" x14ac:dyDescent="0.2">
      <c r="G2075" s="2"/>
      <c r="H2075" s="1"/>
      <c r="I2075" s="1"/>
      <c r="J2075" s="1"/>
      <c r="K2075" s="1"/>
      <c r="L2075" s="1"/>
      <c r="M2075" s="1"/>
      <c r="N2075" s="1"/>
      <c r="O2075" s="1"/>
      <c r="P2075" s="1"/>
      <c r="Q2075" s="1"/>
      <c r="R2075" s="1"/>
      <c r="S2075" s="1"/>
      <c r="T2075" s="1"/>
      <c r="U2075" s="1"/>
      <c r="V2075" s="1"/>
      <c r="W2075" s="1"/>
      <c r="X2075" s="1"/>
      <c r="Y2075" s="1"/>
      <c r="Z2075" s="1"/>
      <c r="AA2075" s="1"/>
      <c r="AB2075" s="1"/>
      <c r="AC2075" s="1"/>
      <c r="AD2075" s="1"/>
      <c r="AE2075" s="1"/>
      <c r="AF2075" s="1"/>
    </row>
    <row r="2076" spans="7:32" x14ac:dyDescent="0.2">
      <c r="G2076" s="2"/>
      <c r="H2076" s="1"/>
      <c r="I2076" s="1"/>
      <c r="J2076" s="1"/>
      <c r="K2076" s="1"/>
      <c r="L2076" s="1"/>
      <c r="M2076" s="1"/>
      <c r="N2076" s="1"/>
      <c r="O2076" s="1"/>
      <c r="P2076" s="1"/>
      <c r="Q2076" s="1"/>
      <c r="R2076" s="1"/>
      <c r="S2076" s="1"/>
      <c r="T2076" s="1"/>
      <c r="U2076" s="1"/>
      <c r="V2076" s="1"/>
      <c r="W2076" s="1"/>
      <c r="X2076" s="1"/>
      <c r="Y2076" s="1"/>
      <c r="Z2076" s="1"/>
      <c r="AA2076" s="1"/>
      <c r="AB2076" s="1"/>
      <c r="AC2076" s="1"/>
      <c r="AD2076" s="1"/>
      <c r="AE2076" s="1"/>
      <c r="AF2076" s="1"/>
    </row>
    <row r="2077" spans="7:32" x14ac:dyDescent="0.2">
      <c r="G2077" s="2"/>
      <c r="H2077" s="1"/>
      <c r="I2077" s="1"/>
      <c r="J2077" s="1"/>
      <c r="K2077" s="1"/>
      <c r="L2077" s="1"/>
      <c r="M2077" s="1"/>
      <c r="N2077" s="1"/>
      <c r="O2077" s="1"/>
      <c r="P2077" s="1"/>
      <c r="Q2077" s="1"/>
      <c r="R2077" s="1"/>
      <c r="S2077" s="1"/>
      <c r="T2077" s="1"/>
      <c r="U2077" s="1"/>
      <c r="V2077" s="1"/>
      <c r="W2077" s="1"/>
      <c r="X2077" s="1"/>
      <c r="Y2077" s="1"/>
      <c r="Z2077" s="1"/>
      <c r="AA2077" s="1"/>
      <c r="AB2077" s="1"/>
      <c r="AC2077" s="1"/>
      <c r="AD2077" s="1"/>
      <c r="AE2077" s="1"/>
      <c r="AF2077" s="1"/>
    </row>
    <row r="2078" spans="7:32" x14ac:dyDescent="0.2">
      <c r="G2078" s="2"/>
      <c r="H2078" s="1"/>
      <c r="I2078" s="1"/>
      <c r="J2078" s="1"/>
      <c r="K2078" s="1"/>
      <c r="L2078" s="1"/>
      <c r="M2078" s="1"/>
      <c r="N2078" s="1"/>
      <c r="O2078" s="1"/>
      <c r="P2078" s="1"/>
      <c r="Q2078" s="1"/>
      <c r="R2078" s="1"/>
      <c r="S2078" s="1"/>
      <c r="T2078" s="1"/>
      <c r="U2078" s="1"/>
      <c r="V2078" s="1"/>
      <c r="W2078" s="1"/>
      <c r="X2078" s="1"/>
      <c r="Y2078" s="1"/>
      <c r="Z2078" s="1"/>
      <c r="AA2078" s="1"/>
      <c r="AB2078" s="1"/>
      <c r="AC2078" s="1"/>
      <c r="AD2078" s="1"/>
      <c r="AE2078" s="1"/>
      <c r="AF2078" s="1"/>
    </row>
    <row r="2079" spans="7:32" x14ac:dyDescent="0.2">
      <c r="G2079" s="2"/>
      <c r="H2079" s="1"/>
      <c r="I2079" s="1"/>
      <c r="J2079" s="1"/>
      <c r="K2079" s="1"/>
      <c r="L2079" s="1"/>
      <c r="M2079" s="1"/>
      <c r="N2079" s="1"/>
      <c r="O2079" s="1"/>
      <c r="P2079" s="1"/>
      <c r="Q2079" s="1"/>
      <c r="R2079" s="1"/>
      <c r="S2079" s="1"/>
      <c r="T2079" s="1"/>
      <c r="U2079" s="1"/>
      <c r="V2079" s="1"/>
      <c r="W2079" s="1"/>
      <c r="X2079" s="1"/>
      <c r="Y2079" s="1"/>
      <c r="Z2079" s="1"/>
      <c r="AA2079" s="1"/>
      <c r="AB2079" s="1"/>
      <c r="AC2079" s="1"/>
      <c r="AD2079" s="1"/>
      <c r="AE2079" s="1"/>
      <c r="AF2079" s="1"/>
    </row>
    <row r="2080" spans="7:32" x14ac:dyDescent="0.2">
      <c r="G2080" s="2"/>
      <c r="H2080" s="1"/>
      <c r="I2080" s="1"/>
      <c r="J2080" s="1"/>
      <c r="K2080" s="1"/>
      <c r="L2080" s="1"/>
      <c r="M2080" s="1"/>
      <c r="N2080" s="1"/>
      <c r="O2080" s="1"/>
      <c r="P2080" s="1"/>
      <c r="Q2080" s="1"/>
      <c r="R2080" s="1"/>
      <c r="S2080" s="1"/>
      <c r="T2080" s="1"/>
      <c r="U2080" s="1"/>
      <c r="V2080" s="1"/>
      <c r="W2080" s="1"/>
      <c r="X2080" s="1"/>
      <c r="Y2080" s="1"/>
      <c r="Z2080" s="1"/>
      <c r="AA2080" s="1"/>
      <c r="AB2080" s="1"/>
      <c r="AC2080" s="1"/>
      <c r="AD2080" s="1"/>
      <c r="AE2080" s="1"/>
      <c r="AF2080" s="1"/>
    </row>
    <row r="2081" spans="7:32" x14ac:dyDescent="0.2">
      <c r="G2081" s="2"/>
      <c r="H2081" s="1"/>
      <c r="I2081" s="1"/>
      <c r="J2081" s="1"/>
      <c r="K2081" s="1"/>
      <c r="L2081" s="1"/>
      <c r="M2081" s="1"/>
      <c r="N2081" s="1"/>
      <c r="O2081" s="1"/>
      <c r="P2081" s="1"/>
      <c r="Q2081" s="1"/>
      <c r="R2081" s="1"/>
      <c r="S2081" s="1"/>
      <c r="T2081" s="1"/>
      <c r="U2081" s="1"/>
      <c r="V2081" s="1"/>
      <c r="W2081" s="1"/>
      <c r="X2081" s="1"/>
      <c r="Y2081" s="1"/>
      <c r="Z2081" s="1"/>
      <c r="AA2081" s="1"/>
      <c r="AB2081" s="1"/>
      <c r="AC2081" s="1"/>
      <c r="AD2081" s="1"/>
      <c r="AE2081" s="1"/>
      <c r="AF2081" s="1"/>
    </row>
    <row r="2082" spans="7:32" x14ac:dyDescent="0.2">
      <c r="G2082" s="2"/>
      <c r="H2082" s="1"/>
      <c r="I2082" s="1"/>
      <c r="J2082" s="1"/>
      <c r="K2082" s="1"/>
      <c r="L2082" s="1"/>
      <c r="M2082" s="1"/>
      <c r="N2082" s="1"/>
      <c r="O2082" s="1"/>
      <c r="P2082" s="1"/>
      <c r="Q2082" s="1"/>
      <c r="R2082" s="1"/>
      <c r="S2082" s="1"/>
      <c r="T2082" s="1"/>
      <c r="U2082" s="1"/>
      <c r="V2082" s="1"/>
      <c r="W2082" s="1"/>
      <c r="X2082" s="1"/>
      <c r="Y2082" s="1"/>
      <c r="Z2082" s="1"/>
      <c r="AA2082" s="1"/>
      <c r="AB2082" s="1"/>
      <c r="AC2082" s="1"/>
      <c r="AD2082" s="1"/>
      <c r="AE2082" s="1"/>
      <c r="AF2082" s="1"/>
    </row>
    <row r="2083" spans="7:32" x14ac:dyDescent="0.2">
      <c r="G2083" s="2"/>
      <c r="H2083" s="1"/>
      <c r="I2083" s="1"/>
      <c r="J2083" s="1"/>
      <c r="K2083" s="1"/>
      <c r="L2083" s="1"/>
      <c r="M2083" s="1"/>
      <c r="N2083" s="1"/>
      <c r="O2083" s="1"/>
      <c r="P2083" s="1"/>
      <c r="Q2083" s="1"/>
      <c r="R2083" s="1"/>
      <c r="S2083" s="1"/>
      <c r="T2083" s="1"/>
      <c r="U2083" s="1"/>
      <c r="V2083" s="1"/>
      <c r="W2083" s="1"/>
      <c r="X2083" s="1"/>
      <c r="Y2083" s="1"/>
      <c r="Z2083" s="1"/>
      <c r="AA2083" s="1"/>
      <c r="AB2083" s="1"/>
      <c r="AC2083" s="1"/>
      <c r="AD2083" s="1"/>
      <c r="AE2083" s="1"/>
      <c r="AF2083" s="1"/>
    </row>
    <row r="2084" spans="7:32" x14ac:dyDescent="0.2">
      <c r="G2084" s="2"/>
      <c r="H2084" s="1"/>
      <c r="I2084" s="1"/>
      <c r="J2084" s="1"/>
      <c r="K2084" s="1"/>
      <c r="L2084" s="1"/>
      <c r="M2084" s="1"/>
      <c r="N2084" s="1"/>
      <c r="O2084" s="1"/>
      <c r="P2084" s="1"/>
      <c r="Q2084" s="1"/>
      <c r="R2084" s="1"/>
      <c r="S2084" s="1"/>
      <c r="T2084" s="1"/>
      <c r="U2084" s="1"/>
      <c r="V2084" s="1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</row>
    <row r="2085" spans="7:32" x14ac:dyDescent="0.2">
      <c r="G2085" s="2"/>
      <c r="H2085" s="1"/>
      <c r="I2085" s="1"/>
      <c r="J2085" s="1"/>
      <c r="K2085" s="1"/>
      <c r="L2085" s="1"/>
      <c r="M2085" s="1"/>
      <c r="N2085" s="1"/>
      <c r="O2085" s="1"/>
      <c r="P2085" s="1"/>
      <c r="Q2085" s="1"/>
      <c r="R2085" s="1"/>
      <c r="S2085" s="1"/>
      <c r="T2085" s="1"/>
      <c r="U2085" s="1"/>
      <c r="V2085" s="1"/>
      <c r="W2085" s="1"/>
      <c r="X2085" s="1"/>
      <c r="Y2085" s="1"/>
      <c r="Z2085" s="1"/>
      <c r="AA2085" s="1"/>
      <c r="AB2085" s="1"/>
      <c r="AC2085" s="1"/>
      <c r="AD2085" s="1"/>
      <c r="AE2085" s="1"/>
      <c r="AF2085" s="1"/>
    </row>
    <row r="2086" spans="7:32" x14ac:dyDescent="0.2">
      <c r="G2086" s="2"/>
      <c r="H2086" s="1"/>
      <c r="I2086" s="1"/>
      <c r="J2086" s="1"/>
      <c r="K2086" s="1"/>
      <c r="L2086" s="1"/>
      <c r="M2086" s="1"/>
      <c r="N2086" s="1"/>
      <c r="O2086" s="1"/>
      <c r="P2086" s="1"/>
      <c r="Q2086" s="1"/>
      <c r="R2086" s="1"/>
      <c r="S2086" s="1"/>
      <c r="T2086" s="1"/>
      <c r="U2086" s="1"/>
      <c r="V2086" s="1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</row>
    <row r="2087" spans="7:32" x14ac:dyDescent="0.2">
      <c r="G2087" s="2"/>
      <c r="H2087" s="1"/>
      <c r="I2087" s="1"/>
      <c r="J2087" s="1"/>
      <c r="K2087" s="1"/>
      <c r="L2087" s="1"/>
      <c r="M2087" s="1"/>
      <c r="N2087" s="1"/>
      <c r="O2087" s="1"/>
      <c r="P2087" s="1"/>
      <c r="Q2087" s="1"/>
      <c r="R2087" s="1"/>
      <c r="S2087" s="1"/>
      <c r="T2087" s="1"/>
      <c r="U2087" s="1"/>
      <c r="V2087" s="1"/>
      <c r="W2087" s="1"/>
      <c r="X2087" s="1"/>
      <c r="Y2087" s="1"/>
      <c r="Z2087" s="1"/>
      <c r="AA2087" s="1"/>
      <c r="AB2087" s="1"/>
      <c r="AC2087" s="1"/>
      <c r="AD2087" s="1"/>
      <c r="AE2087" s="1"/>
      <c r="AF2087" s="1"/>
    </row>
    <row r="2088" spans="7:32" x14ac:dyDescent="0.2">
      <c r="G2088" s="2"/>
      <c r="H2088" s="1"/>
      <c r="I2088" s="1"/>
      <c r="J2088" s="1"/>
      <c r="K2088" s="1"/>
      <c r="L2088" s="1"/>
      <c r="M2088" s="1"/>
      <c r="N2088" s="1"/>
      <c r="O2088" s="1"/>
      <c r="P2088" s="1"/>
      <c r="Q2088" s="1"/>
      <c r="R2088" s="1"/>
      <c r="S2088" s="1"/>
      <c r="T2088" s="1"/>
      <c r="U2088" s="1"/>
      <c r="V2088" s="1"/>
      <c r="W2088" s="1"/>
      <c r="X2088" s="1"/>
      <c r="Y2088" s="1"/>
      <c r="Z2088" s="1"/>
      <c r="AA2088" s="1"/>
      <c r="AB2088" s="1"/>
      <c r="AC2088" s="1"/>
      <c r="AD2088" s="1"/>
      <c r="AE2088" s="1"/>
      <c r="AF2088" s="1"/>
    </row>
    <row r="2089" spans="7:32" x14ac:dyDescent="0.2">
      <c r="G2089" s="2"/>
      <c r="H2089" s="1"/>
      <c r="I2089" s="1"/>
      <c r="J2089" s="1"/>
      <c r="K2089" s="1"/>
      <c r="L2089" s="1"/>
      <c r="M2089" s="1"/>
      <c r="N2089" s="1"/>
      <c r="O2089" s="1"/>
      <c r="P2089" s="1"/>
      <c r="Q2089" s="1"/>
      <c r="R2089" s="1"/>
      <c r="S2089" s="1"/>
      <c r="T2089" s="1"/>
      <c r="U2089" s="1"/>
      <c r="V2089" s="1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</row>
    <row r="2090" spans="7:32" x14ac:dyDescent="0.2">
      <c r="G2090" s="2"/>
      <c r="H2090" s="1"/>
      <c r="I2090" s="1"/>
      <c r="J2090" s="1"/>
      <c r="K2090" s="1"/>
      <c r="L2090" s="1"/>
      <c r="M2090" s="1"/>
      <c r="N2090" s="1"/>
      <c r="O2090" s="1"/>
      <c r="P2090" s="1"/>
      <c r="Q2090" s="1"/>
      <c r="R2090" s="1"/>
      <c r="S2090" s="1"/>
      <c r="T2090" s="1"/>
      <c r="U2090" s="1"/>
      <c r="V2090" s="1"/>
      <c r="W2090" s="1"/>
      <c r="X2090" s="1"/>
      <c r="Y2090" s="1"/>
      <c r="Z2090" s="1"/>
      <c r="AA2090" s="1"/>
      <c r="AB2090" s="1"/>
      <c r="AC2090" s="1"/>
      <c r="AD2090" s="1"/>
      <c r="AE2090" s="1"/>
      <c r="AF2090" s="1"/>
    </row>
    <row r="2091" spans="7:32" x14ac:dyDescent="0.2">
      <c r="G2091" s="2"/>
      <c r="H2091" s="1"/>
      <c r="I2091" s="1"/>
      <c r="J2091" s="1"/>
      <c r="K2091" s="1"/>
      <c r="L2091" s="1"/>
      <c r="M2091" s="1"/>
      <c r="N2091" s="1"/>
      <c r="O2091" s="1"/>
      <c r="P2091" s="1"/>
      <c r="Q2091" s="1"/>
      <c r="R2091" s="1"/>
      <c r="S2091" s="1"/>
      <c r="T2091" s="1"/>
      <c r="U2091" s="1"/>
      <c r="V2091" s="1"/>
      <c r="W2091" s="1"/>
      <c r="X2091" s="1"/>
      <c r="Y2091" s="1"/>
      <c r="Z2091" s="1"/>
      <c r="AA2091" s="1"/>
      <c r="AB2091" s="1"/>
      <c r="AC2091" s="1"/>
      <c r="AD2091" s="1"/>
      <c r="AE2091" s="1"/>
      <c r="AF2091" s="1"/>
    </row>
    <row r="2092" spans="7:32" x14ac:dyDescent="0.2">
      <c r="G2092" s="2"/>
      <c r="H2092" s="1"/>
      <c r="I2092" s="1"/>
      <c r="J2092" s="1"/>
      <c r="K2092" s="1"/>
      <c r="L2092" s="1"/>
      <c r="M2092" s="1"/>
      <c r="N2092" s="1"/>
      <c r="O2092" s="1"/>
      <c r="P2092" s="1"/>
      <c r="Q2092" s="1"/>
      <c r="R2092" s="1"/>
      <c r="S2092" s="1"/>
      <c r="T2092" s="1"/>
      <c r="U2092" s="1"/>
      <c r="V2092" s="1"/>
      <c r="W2092" s="1"/>
      <c r="X2092" s="1"/>
      <c r="Y2092" s="1"/>
      <c r="Z2092" s="1"/>
      <c r="AA2092" s="1"/>
      <c r="AB2092" s="1"/>
      <c r="AC2092" s="1"/>
      <c r="AD2092" s="1"/>
      <c r="AE2092" s="1"/>
      <c r="AF2092" s="1"/>
    </row>
    <row r="2093" spans="7:32" x14ac:dyDescent="0.2">
      <c r="G2093" s="2"/>
      <c r="H2093" s="1"/>
      <c r="I2093" s="1"/>
      <c r="J2093" s="1"/>
      <c r="K2093" s="1"/>
      <c r="L2093" s="1"/>
      <c r="M2093" s="1"/>
      <c r="N2093" s="1"/>
      <c r="O2093" s="1"/>
      <c r="P2093" s="1"/>
      <c r="Q2093" s="1"/>
      <c r="R2093" s="1"/>
      <c r="S2093" s="1"/>
      <c r="T2093" s="1"/>
      <c r="U2093" s="1"/>
      <c r="V2093" s="1"/>
      <c r="W2093" s="1"/>
      <c r="X2093" s="1"/>
      <c r="Y2093" s="1"/>
      <c r="Z2093" s="1"/>
      <c r="AA2093" s="1"/>
      <c r="AB2093" s="1"/>
      <c r="AC2093" s="1"/>
      <c r="AD2093" s="1"/>
      <c r="AE2093" s="1"/>
      <c r="AF2093" s="1"/>
    </row>
    <row r="2094" spans="7:32" x14ac:dyDescent="0.2">
      <c r="G2094" s="2"/>
      <c r="H2094" s="1"/>
      <c r="I2094" s="1"/>
      <c r="J2094" s="1"/>
      <c r="K2094" s="1"/>
      <c r="L2094" s="1"/>
      <c r="M2094" s="1"/>
      <c r="N2094" s="1"/>
      <c r="O2094" s="1"/>
      <c r="P2094" s="1"/>
      <c r="Q2094" s="1"/>
      <c r="R2094" s="1"/>
      <c r="S2094" s="1"/>
      <c r="T2094" s="1"/>
      <c r="U2094" s="1"/>
      <c r="V2094" s="1"/>
      <c r="W2094" s="1"/>
      <c r="X2094" s="1"/>
      <c r="Y2094" s="1"/>
      <c r="Z2094" s="1"/>
      <c r="AA2094" s="1"/>
      <c r="AB2094" s="1"/>
      <c r="AC2094" s="1"/>
      <c r="AD2094" s="1"/>
      <c r="AE2094" s="1"/>
      <c r="AF2094" s="1"/>
    </row>
    <row r="2095" spans="7:32" x14ac:dyDescent="0.2">
      <c r="G2095" s="2"/>
      <c r="H2095" s="1"/>
      <c r="I2095" s="1"/>
      <c r="J2095" s="1"/>
      <c r="K2095" s="1"/>
      <c r="L2095" s="1"/>
      <c r="M2095" s="1"/>
      <c r="N2095" s="1"/>
      <c r="O2095" s="1"/>
      <c r="P2095" s="1"/>
      <c r="Q2095" s="1"/>
      <c r="R2095" s="1"/>
      <c r="S2095" s="1"/>
      <c r="T2095" s="1"/>
      <c r="U2095" s="1"/>
      <c r="V2095" s="1"/>
      <c r="W2095" s="1"/>
      <c r="X2095" s="1"/>
      <c r="Y2095" s="1"/>
      <c r="Z2095" s="1"/>
      <c r="AA2095" s="1"/>
      <c r="AB2095" s="1"/>
      <c r="AC2095" s="1"/>
      <c r="AD2095" s="1"/>
      <c r="AE2095" s="1"/>
      <c r="AF2095" s="1"/>
    </row>
    <row r="2096" spans="7:32" x14ac:dyDescent="0.2">
      <c r="G2096" s="2"/>
      <c r="H2096" s="1"/>
      <c r="I2096" s="1"/>
      <c r="J2096" s="1"/>
      <c r="K2096" s="1"/>
      <c r="L2096" s="1"/>
      <c r="M2096" s="1"/>
      <c r="N2096" s="1"/>
      <c r="O2096" s="1"/>
      <c r="P2096" s="1"/>
      <c r="Q2096" s="1"/>
      <c r="R2096" s="1"/>
      <c r="S2096" s="1"/>
      <c r="T2096" s="1"/>
      <c r="U2096" s="1"/>
      <c r="V2096" s="1"/>
      <c r="W2096" s="1"/>
      <c r="X2096" s="1"/>
      <c r="Y2096" s="1"/>
      <c r="Z2096" s="1"/>
      <c r="AA2096" s="1"/>
      <c r="AB2096" s="1"/>
      <c r="AC2096" s="1"/>
      <c r="AD2096" s="1"/>
      <c r="AE2096" s="1"/>
      <c r="AF2096" s="1"/>
    </row>
    <row r="2097" spans="7:32" x14ac:dyDescent="0.2">
      <c r="G2097" s="2"/>
      <c r="H2097" s="1"/>
      <c r="I2097" s="1"/>
      <c r="J2097" s="1"/>
      <c r="K2097" s="1"/>
      <c r="L2097" s="1"/>
      <c r="M2097" s="1"/>
      <c r="N2097" s="1"/>
      <c r="O2097" s="1"/>
      <c r="P2097" s="1"/>
      <c r="Q2097" s="1"/>
      <c r="R2097" s="1"/>
      <c r="S2097" s="1"/>
      <c r="T2097" s="1"/>
      <c r="U2097" s="1"/>
      <c r="V2097" s="1"/>
      <c r="W2097" s="1"/>
      <c r="X2097" s="1"/>
      <c r="Y2097" s="1"/>
      <c r="Z2097" s="1"/>
      <c r="AA2097" s="1"/>
      <c r="AB2097" s="1"/>
      <c r="AC2097" s="1"/>
      <c r="AD2097" s="1"/>
      <c r="AE2097" s="1"/>
      <c r="AF2097" s="1"/>
    </row>
    <row r="2098" spans="7:32" x14ac:dyDescent="0.2">
      <c r="G2098" s="2"/>
      <c r="H2098" s="1"/>
      <c r="I2098" s="1"/>
      <c r="J2098" s="1"/>
      <c r="K2098" s="1"/>
      <c r="L2098" s="1"/>
      <c r="M2098" s="1"/>
      <c r="N2098" s="1"/>
      <c r="O2098" s="1"/>
      <c r="P2098" s="1"/>
      <c r="Q2098" s="1"/>
      <c r="R2098" s="1"/>
      <c r="S2098" s="1"/>
      <c r="T2098" s="1"/>
      <c r="U2098" s="1"/>
      <c r="V2098" s="1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</row>
    <row r="2099" spans="7:32" x14ac:dyDescent="0.2">
      <c r="G2099" s="2"/>
      <c r="H2099" s="1"/>
      <c r="I2099" s="1"/>
      <c r="J2099" s="1"/>
      <c r="K2099" s="1"/>
      <c r="L2099" s="1"/>
      <c r="M2099" s="1"/>
      <c r="N2099" s="1"/>
      <c r="O2099" s="1"/>
      <c r="P2099" s="1"/>
      <c r="Q2099" s="1"/>
      <c r="R2099" s="1"/>
      <c r="S2099" s="1"/>
      <c r="T2099" s="1"/>
      <c r="U2099" s="1"/>
      <c r="V2099" s="1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</row>
    <row r="2100" spans="7:32" x14ac:dyDescent="0.2">
      <c r="G2100" s="2"/>
      <c r="H2100" s="1"/>
      <c r="I2100" s="1"/>
      <c r="J2100" s="1"/>
      <c r="K2100" s="1"/>
      <c r="L2100" s="1"/>
      <c r="M2100" s="1"/>
      <c r="N2100" s="1"/>
      <c r="O2100" s="1"/>
      <c r="P2100" s="1"/>
      <c r="Q2100" s="1"/>
      <c r="R2100" s="1"/>
      <c r="S2100" s="1"/>
      <c r="T2100" s="1"/>
      <c r="U2100" s="1"/>
      <c r="V2100" s="1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</row>
    <row r="2101" spans="7:32" x14ac:dyDescent="0.2">
      <c r="G2101" s="2"/>
      <c r="H2101" s="1"/>
      <c r="I2101" s="1"/>
      <c r="J2101" s="1"/>
      <c r="K2101" s="1"/>
      <c r="L2101" s="1"/>
      <c r="M2101" s="1"/>
      <c r="N2101" s="1"/>
      <c r="O2101" s="1"/>
      <c r="P2101" s="1"/>
      <c r="Q2101" s="1"/>
      <c r="R2101" s="1"/>
      <c r="S2101" s="1"/>
      <c r="T2101" s="1"/>
      <c r="U2101" s="1"/>
      <c r="V2101" s="1"/>
      <c r="W2101" s="1"/>
      <c r="X2101" s="1"/>
      <c r="Y2101" s="1"/>
      <c r="Z2101" s="1"/>
      <c r="AA2101" s="1"/>
      <c r="AB2101" s="1"/>
      <c r="AC2101" s="1"/>
      <c r="AD2101" s="1"/>
      <c r="AE2101" s="1"/>
      <c r="AF2101" s="1"/>
    </row>
    <row r="2102" spans="7:32" x14ac:dyDescent="0.2">
      <c r="G2102" s="2"/>
      <c r="H2102" s="1"/>
      <c r="I2102" s="1"/>
      <c r="J2102" s="1"/>
      <c r="K2102" s="1"/>
      <c r="L2102" s="1"/>
      <c r="M2102" s="1"/>
      <c r="N2102" s="1"/>
      <c r="O2102" s="1"/>
      <c r="P2102" s="1"/>
      <c r="Q2102" s="1"/>
      <c r="R2102" s="1"/>
      <c r="S2102" s="1"/>
      <c r="T2102" s="1"/>
      <c r="U2102" s="1"/>
      <c r="V2102" s="1"/>
      <c r="W2102" s="1"/>
      <c r="X2102" s="1"/>
      <c r="Y2102" s="1"/>
      <c r="Z2102" s="1"/>
      <c r="AA2102" s="1"/>
      <c r="AB2102" s="1"/>
      <c r="AC2102" s="1"/>
      <c r="AD2102" s="1"/>
      <c r="AE2102" s="1"/>
      <c r="AF2102" s="1"/>
    </row>
    <row r="2103" spans="7:32" x14ac:dyDescent="0.2">
      <c r="G2103" s="2"/>
      <c r="H2103" s="1"/>
      <c r="I2103" s="1"/>
      <c r="J2103" s="1"/>
      <c r="K2103" s="1"/>
      <c r="L2103" s="1"/>
      <c r="M2103" s="1"/>
      <c r="N2103" s="1"/>
      <c r="O2103" s="1"/>
      <c r="P2103" s="1"/>
      <c r="Q2103" s="1"/>
      <c r="R2103" s="1"/>
      <c r="S2103" s="1"/>
      <c r="T2103" s="1"/>
      <c r="U2103" s="1"/>
      <c r="V2103" s="1"/>
      <c r="W2103" s="1"/>
      <c r="X2103" s="1"/>
      <c r="Y2103" s="1"/>
      <c r="Z2103" s="1"/>
      <c r="AA2103" s="1"/>
      <c r="AB2103" s="1"/>
      <c r="AC2103" s="1"/>
      <c r="AD2103" s="1"/>
      <c r="AE2103" s="1"/>
      <c r="AF2103" s="1"/>
    </row>
    <row r="2104" spans="7:32" x14ac:dyDescent="0.2">
      <c r="G2104" s="2"/>
      <c r="H2104" s="1"/>
      <c r="I2104" s="1"/>
      <c r="J2104" s="1"/>
      <c r="K2104" s="1"/>
      <c r="L2104" s="1"/>
      <c r="M2104" s="1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</row>
    <row r="2105" spans="7:32" x14ac:dyDescent="0.2">
      <c r="G2105" s="2"/>
      <c r="H2105" s="1"/>
      <c r="I2105" s="1"/>
      <c r="J2105" s="1"/>
      <c r="K2105" s="1"/>
      <c r="L2105" s="1"/>
      <c r="M2105" s="1"/>
      <c r="N2105" s="1"/>
      <c r="O2105" s="1"/>
      <c r="P2105" s="1"/>
      <c r="Q2105" s="1"/>
      <c r="R2105" s="1"/>
      <c r="S2105" s="1"/>
      <c r="T2105" s="1"/>
      <c r="U2105" s="1"/>
      <c r="V2105" s="1"/>
      <c r="W2105" s="1"/>
      <c r="X2105" s="1"/>
      <c r="Y2105" s="1"/>
      <c r="Z2105" s="1"/>
      <c r="AA2105" s="1"/>
      <c r="AB2105" s="1"/>
      <c r="AC2105" s="1"/>
      <c r="AD2105" s="1"/>
      <c r="AE2105" s="1"/>
      <c r="AF2105" s="1"/>
    </row>
    <row r="2106" spans="7:32" x14ac:dyDescent="0.2">
      <c r="G2106" s="2"/>
      <c r="H2106" s="1"/>
      <c r="I2106" s="1"/>
      <c r="J2106" s="1"/>
      <c r="K2106" s="1"/>
      <c r="L2106" s="1"/>
      <c r="M2106" s="1"/>
      <c r="N2106" s="1"/>
      <c r="O2106" s="1"/>
      <c r="P2106" s="1"/>
      <c r="Q2106" s="1"/>
      <c r="R2106" s="1"/>
      <c r="S2106" s="1"/>
      <c r="T2106" s="1"/>
      <c r="U2106" s="1"/>
      <c r="V2106" s="1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</row>
    <row r="2107" spans="7:32" x14ac:dyDescent="0.2">
      <c r="G2107" s="2"/>
      <c r="H2107" s="1"/>
      <c r="I2107" s="1"/>
      <c r="J2107" s="1"/>
      <c r="K2107" s="1"/>
      <c r="L2107" s="1"/>
      <c r="M2107" s="1"/>
      <c r="N2107" s="1"/>
      <c r="O2107" s="1"/>
      <c r="P2107" s="1"/>
      <c r="Q2107" s="1"/>
      <c r="R2107" s="1"/>
      <c r="S2107" s="1"/>
      <c r="T2107" s="1"/>
      <c r="U2107" s="1"/>
      <c r="V2107" s="1"/>
      <c r="W2107" s="1"/>
      <c r="X2107" s="1"/>
      <c r="Y2107" s="1"/>
      <c r="Z2107" s="1"/>
      <c r="AA2107" s="1"/>
      <c r="AB2107" s="1"/>
      <c r="AC2107" s="1"/>
      <c r="AD2107" s="1"/>
      <c r="AE2107" s="1"/>
      <c r="AF2107" s="1"/>
    </row>
    <row r="2108" spans="7:32" x14ac:dyDescent="0.2">
      <c r="G2108" s="2"/>
      <c r="H2108" s="1"/>
      <c r="I2108" s="1"/>
      <c r="J2108" s="1"/>
      <c r="K2108" s="1"/>
      <c r="L2108" s="1"/>
      <c r="M2108" s="1"/>
      <c r="N2108" s="1"/>
      <c r="O2108" s="1"/>
      <c r="P2108" s="1"/>
      <c r="Q2108" s="1"/>
      <c r="R2108" s="1"/>
      <c r="S2108" s="1"/>
      <c r="T2108" s="1"/>
      <c r="U2108" s="1"/>
      <c r="V2108" s="1"/>
      <c r="W2108" s="1"/>
      <c r="X2108" s="1"/>
      <c r="Y2108" s="1"/>
      <c r="Z2108" s="1"/>
      <c r="AA2108" s="1"/>
      <c r="AB2108" s="1"/>
      <c r="AC2108" s="1"/>
      <c r="AD2108" s="1"/>
      <c r="AE2108" s="1"/>
      <c r="AF2108" s="1"/>
    </row>
    <row r="2109" spans="7:32" x14ac:dyDescent="0.2">
      <c r="G2109" s="2"/>
      <c r="H2109" s="1"/>
      <c r="I2109" s="1"/>
      <c r="J2109" s="1"/>
      <c r="K2109" s="1"/>
      <c r="L2109" s="1"/>
      <c r="M2109" s="1"/>
      <c r="N2109" s="1"/>
      <c r="O2109" s="1"/>
      <c r="P2109" s="1"/>
      <c r="Q2109" s="1"/>
      <c r="R2109" s="1"/>
      <c r="S2109" s="1"/>
      <c r="T2109" s="1"/>
      <c r="U2109" s="1"/>
      <c r="V2109" s="1"/>
      <c r="W2109" s="1"/>
      <c r="X2109" s="1"/>
      <c r="Y2109" s="1"/>
      <c r="Z2109" s="1"/>
      <c r="AA2109" s="1"/>
      <c r="AB2109" s="1"/>
      <c r="AC2109" s="1"/>
      <c r="AD2109" s="1"/>
      <c r="AE2109" s="1"/>
      <c r="AF2109" s="1"/>
    </row>
    <row r="2110" spans="7:32" x14ac:dyDescent="0.2">
      <c r="G2110" s="2"/>
      <c r="H2110" s="1"/>
      <c r="I2110" s="1"/>
      <c r="J2110" s="1"/>
      <c r="K2110" s="1"/>
      <c r="L2110" s="1"/>
      <c r="M2110" s="1"/>
      <c r="N2110" s="1"/>
      <c r="O2110" s="1"/>
      <c r="P2110" s="1"/>
      <c r="Q2110" s="1"/>
      <c r="R2110" s="1"/>
      <c r="S2110" s="1"/>
      <c r="T2110" s="1"/>
      <c r="U2110" s="1"/>
      <c r="V2110" s="1"/>
      <c r="W2110" s="1"/>
      <c r="X2110" s="1"/>
      <c r="Y2110" s="1"/>
      <c r="Z2110" s="1"/>
      <c r="AA2110" s="1"/>
      <c r="AB2110" s="1"/>
      <c r="AC2110" s="1"/>
      <c r="AD2110" s="1"/>
      <c r="AE2110" s="1"/>
      <c r="AF2110" s="1"/>
    </row>
    <row r="2111" spans="7:32" x14ac:dyDescent="0.2">
      <c r="G2111" s="2"/>
      <c r="H2111" s="1"/>
      <c r="I2111" s="1"/>
      <c r="J2111" s="1"/>
      <c r="K2111" s="1"/>
      <c r="L2111" s="1"/>
      <c r="M2111" s="1"/>
      <c r="N2111" s="1"/>
      <c r="O2111" s="1"/>
      <c r="P2111" s="1"/>
      <c r="Q2111" s="1"/>
      <c r="R2111" s="1"/>
      <c r="S2111" s="1"/>
      <c r="T2111" s="1"/>
      <c r="U2111" s="1"/>
      <c r="V2111" s="1"/>
      <c r="W2111" s="1"/>
      <c r="X2111" s="1"/>
      <c r="Y2111" s="1"/>
      <c r="Z2111" s="1"/>
      <c r="AA2111" s="1"/>
      <c r="AB2111" s="1"/>
      <c r="AC2111" s="1"/>
      <c r="AD2111" s="1"/>
      <c r="AE2111" s="1"/>
      <c r="AF2111" s="1"/>
    </row>
    <row r="2112" spans="7:32" x14ac:dyDescent="0.2">
      <c r="G2112" s="2"/>
      <c r="H2112" s="1"/>
      <c r="I2112" s="1"/>
      <c r="J2112" s="1"/>
      <c r="K2112" s="1"/>
      <c r="L2112" s="1"/>
      <c r="M2112" s="1"/>
      <c r="N2112" s="1"/>
      <c r="O2112" s="1"/>
      <c r="P2112" s="1"/>
      <c r="Q2112" s="1"/>
      <c r="R2112" s="1"/>
      <c r="S2112" s="1"/>
      <c r="T2112" s="1"/>
      <c r="U2112" s="1"/>
      <c r="V2112" s="1"/>
      <c r="W2112" s="1"/>
      <c r="X2112" s="1"/>
      <c r="Y2112" s="1"/>
      <c r="Z2112" s="1"/>
      <c r="AA2112" s="1"/>
      <c r="AB2112" s="1"/>
      <c r="AC2112" s="1"/>
      <c r="AD2112" s="1"/>
      <c r="AE2112" s="1"/>
      <c r="AF2112" s="1"/>
    </row>
    <row r="2113" spans="7:32" x14ac:dyDescent="0.2">
      <c r="G2113" s="2"/>
      <c r="H2113" s="1"/>
      <c r="I2113" s="1"/>
      <c r="J2113" s="1"/>
      <c r="K2113" s="1"/>
      <c r="L2113" s="1"/>
      <c r="M2113" s="1"/>
      <c r="N2113" s="1"/>
      <c r="O2113" s="1"/>
      <c r="P2113" s="1"/>
      <c r="Q2113" s="1"/>
      <c r="R2113" s="1"/>
      <c r="S2113" s="1"/>
      <c r="T2113" s="1"/>
      <c r="U2113" s="1"/>
      <c r="V2113" s="1"/>
      <c r="W2113" s="1"/>
      <c r="X2113" s="1"/>
      <c r="Y2113" s="1"/>
      <c r="Z2113" s="1"/>
      <c r="AA2113" s="1"/>
      <c r="AB2113" s="1"/>
      <c r="AC2113" s="1"/>
      <c r="AD2113" s="1"/>
      <c r="AE2113" s="1"/>
      <c r="AF2113" s="1"/>
    </row>
    <row r="2114" spans="7:32" x14ac:dyDescent="0.2">
      <c r="G2114" s="2"/>
      <c r="H2114" s="1"/>
      <c r="I2114" s="1"/>
      <c r="J2114" s="1"/>
      <c r="K2114" s="1"/>
      <c r="L2114" s="1"/>
      <c r="M2114" s="1"/>
      <c r="N2114" s="1"/>
      <c r="O2114" s="1"/>
      <c r="P2114" s="1"/>
      <c r="Q2114" s="1"/>
      <c r="R2114" s="1"/>
      <c r="S2114" s="1"/>
      <c r="T2114" s="1"/>
      <c r="U2114" s="1"/>
      <c r="V2114" s="1"/>
      <c r="W2114" s="1"/>
      <c r="X2114" s="1"/>
      <c r="Y2114" s="1"/>
      <c r="Z2114" s="1"/>
      <c r="AA2114" s="1"/>
      <c r="AB2114" s="1"/>
      <c r="AC2114" s="1"/>
      <c r="AD2114" s="1"/>
      <c r="AE2114" s="1"/>
      <c r="AF2114" s="1"/>
    </row>
    <row r="2115" spans="7:32" x14ac:dyDescent="0.2">
      <c r="G2115" s="2"/>
      <c r="H2115" s="1"/>
      <c r="I2115" s="1"/>
      <c r="J2115" s="1"/>
      <c r="K2115" s="1"/>
      <c r="L2115" s="1"/>
      <c r="M2115" s="1"/>
      <c r="N2115" s="1"/>
      <c r="O2115" s="1"/>
      <c r="P2115" s="1"/>
      <c r="Q2115" s="1"/>
      <c r="R2115" s="1"/>
      <c r="S2115" s="1"/>
      <c r="T2115" s="1"/>
      <c r="U2115" s="1"/>
      <c r="V2115" s="1"/>
      <c r="W2115" s="1"/>
      <c r="X2115" s="1"/>
      <c r="Y2115" s="1"/>
      <c r="Z2115" s="1"/>
      <c r="AA2115" s="1"/>
      <c r="AB2115" s="1"/>
      <c r="AC2115" s="1"/>
      <c r="AD2115" s="1"/>
      <c r="AE2115" s="1"/>
      <c r="AF2115" s="1"/>
    </row>
    <row r="2116" spans="7:32" x14ac:dyDescent="0.2">
      <c r="G2116" s="2"/>
      <c r="H2116" s="1"/>
      <c r="I2116" s="1"/>
      <c r="J2116" s="1"/>
      <c r="K2116" s="1"/>
      <c r="L2116" s="1"/>
      <c r="M2116" s="1"/>
      <c r="N2116" s="1"/>
      <c r="O2116" s="1"/>
      <c r="P2116" s="1"/>
      <c r="Q2116" s="1"/>
      <c r="R2116" s="1"/>
      <c r="S2116" s="1"/>
      <c r="T2116" s="1"/>
      <c r="U2116" s="1"/>
      <c r="V2116" s="1"/>
      <c r="W2116" s="1"/>
      <c r="X2116" s="1"/>
      <c r="Y2116" s="1"/>
      <c r="Z2116" s="1"/>
      <c r="AA2116" s="1"/>
      <c r="AB2116" s="1"/>
      <c r="AC2116" s="1"/>
      <c r="AD2116" s="1"/>
      <c r="AE2116" s="1"/>
      <c r="AF2116" s="1"/>
    </row>
    <row r="2117" spans="7:32" x14ac:dyDescent="0.2">
      <c r="G2117" s="2"/>
      <c r="H2117" s="1"/>
      <c r="I2117" s="1"/>
      <c r="J2117" s="1"/>
      <c r="K2117" s="1"/>
      <c r="L2117" s="1"/>
      <c r="M2117" s="1"/>
      <c r="N2117" s="1"/>
      <c r="O2117" s="1"/>
      <c r="P2117" s="1"/>
      <c r="Q2117" s="1"/>
      <c r="R2117" s="1"/>
      <c r="S2117" s="1"/>
      <c r="T2117" s="1"/>
      <c r="U2117" s="1"/>
      <c r="V2117" s="1"/>
      <c r="W2117" s="1"/>
      <c r="X2117" s="1"/>
      <c r="Y2117" s="1"/>
      <c r="Z2117" s="1"/>
      <c r="AA2117" s="1"/>
      <c r="AB2117" s="1"/>
      <c r="AC2117" s="1"/>
      <c r="AD2117" s="1"/>
      <c r="AE2117" s="1"/>
      <c r="AF2117" s="1"/>
    </row>
    <row r="2118" spans="7:32" x14ac:dyDescent="0.2">
      <c r="G2118" s="2"/>
      <c r="H2118" s="1"/>
      <c r="I2118" s="1"/>
      <c r="J2118" s="1"/>
      <c r="K2118" s="1"/>
      <c r="L2118" s="1"/>
      <c r="M2118" s="1"/>
      <c r="N2118" s="1"/>
      <c r="O2118" s="1"/>
      <c r="P2118" s="1"/>
      <c r="Q2118" s="1"/>
      <c r="R2118" s="1"/>
      <c r="S2118" s="1"/>
      <c r="T2118" s="1"/>
      <c r="U2118" s="1"/>
      <c r="V2118" s="1"/>
      <c r="W2118" s="1"/>
      <c r="X2118" s="1"/>
      <c r="Y2118" s="1"/>
      <c r="Z2118" s="1"/>
      <c r="AA2118" s="1"/>
      <c r="AB2118" s="1"/>
      <c r="AC2118" s="1"/>
      <c r="AD2118" s="1"/>
      <c r="AE2118" s="1"/>
      <c r="AF2118" s="1"/>
    </row>
    <row r="2119" spans="7:32" x14ac:dyDescent="0.2">
      <c r="G2119" s="2"/>
      <c r="H2119" s="1"/>
      <c r="I2119" s="1"/>
      <c r="J2119" s="1"/>
      <c r="K2119" s="1"/>
      <c r="L2119" s="1"/>
      <c r="M2119" s="1"/>
      <c r="N2119" s="1"/>
      <c r="O2119" s="1"/>
      <c r="P2119" s="1"/>
      <c r="Q2119" s="1"/>
      <c r="R2119" s="1"/>
      <c r="S2119" s="1"/>
      <c r="T2119" s="1"/>
      <c r="U2119" s="1"/>
      <c r="V2119" s="1"/>
      <c r="W2119" s="1"/>
      <c r="X2119" s="1"/>
      <c r="Y2119" s="1"/>
      <c r="Z2119" s="1"/>
      <c r="AA2119" s="1"/>
      <c r="AB2119" s="1"/>
      <c r="AC2119" s="1"/>
      <c r="AD2119" s="1"/>
      <c r="AE2119" s="1"/>
      <c r="AF2119" s="1"/>
    </row>
    <row r="2120" spans="7:32" x14ac:dyDescent="0.2">
      <c r="G2120" s="2"/>
      <c r="H2120" s="1"/>
      <c r="I2120" s="1"/>
      <c r="J2120" s="1"/>
      <c r="K2120" s="1"/>
      <c r="L2120" s="1"/>
      <c r="M2120" s="1"/>
      <c r="N2120" s="1"/>
      <c r="O2120" s="1"/>
      <c r="P2120" s="1"/>
      <c r="Q2120" s="1"/>
      <c r="R2120" s="1"/>
      <c r="S2120" s="1"/>
      <c r="T2120" s="1"/>
      <c r="U2120" s="1"/>
      <c r="V2120" s="1"/>
      <c r="W2120" s="1"/>
      <c r="X2120" s="1"/>
      <c r="Y2120" s="1"/>
      <c r="Z2120" s="1"/>
      <c r="AA2120" s="1"/>
      <c r="AB2120" s="1"/>
      <c r="AC2120" s="1"/>
      <c r="AD2120" s="1"/>
      <c r="AE2120" s="1"/>
      <c r="AF2120" s="1"/>
    </row>
    <row r="2121" spans="7:32" x14ac:dyDescent="0.2">
      <c r="G2121" s="2"/>
      <c r="H2121" s="1"/>
      <c r="I2121" s="1"/>
      <c r="J2121" s="1"/>
      <c r="K2121" s="1"/>
      <c r="L2121" s="1"/>
      <c r="M2121" s="1"/>
      <c r="N2121" s="1"/>
      <c r="O2121" s="1"/>
      <c r="P2121" s="1"/>
      <c r="Q2121" s="1"/>
      <c r="R2121" s="1"/>
      <c r="S2121" s="1"/>
      <c r="T2121" s="1"/>
      <c r="U2121" s="1"/>
      <c r="V2121" s="1"/>
      <c r="W2121" s="1"/>
      <c r="X2121" s="1"/>
      <c r="Y2121" s="1"/>
      <c r="Z2121" s="1"/>
      <c r="AA2121" s="1"/>
      <c r="AB2121" s="1"/>
      <c r="AC2121" s="1"/>
      <c r="AD2121" s="1"/>
      <c r="AE2121" s="1"/>
      <c r="AF2121" s="1"/>
    </row>
    <row r="2122" spans="7:32" x14ac:dyDescent="0.2">
      <c r="G2122" s="2"/>
      <c r="H2122" s="1"/>
      <c r="I2122" s="1"/>
      <c r="J2122" s="1"/>
      <c r="K2122" s="1"/>
      <c r="L2122" s="1"/>
      <c r="M2122" s="1"/>
      <c r="N2122" s="1"/>
      <c r="O2122" s="1"/>
      <c r="P2122" s="1"/>
      <c r="Q2122" s="1"/>
      <c r="R2122" s="1"/>
      <c r="S2122" s="1"/>
      <c r="T2122" s="1"/>
      <c r="U2122" s="1"/>
      <c r="V2122" s="1"/>
      <c r="W2122" s="1"/>
      <c r="X2122" s="1"/>
      <c r="Y2122" s="1"/>
      <c r="Z2122" s="1"/>
      <c r="AA2122" s="1"/>
      <c r="AB2122" s="1"/>
      <c r="AC2122" s="1"/>
      <c r="AD2122" s="1"/>
      <c r="AE2122" s="1"/>
      <c r="AF2122" s="1"/>
    </row>
    <row r="2123" spans="7:32" x14ac:dyDescent="0.2">
      <c r="G2123" s="2"/>
      <c r="H2123" s="1"/>
      <c r="I2123" s="1"/>
      <c r="J2123" s="1"/>
      <c r="K2123" s="1"/>
      <c r="L2123" s="1"/>
      <c r="M2123" s="1"/>
      <c r="N2123" s="1"/>
      <c r="O2123" s="1"/>
      <c r="P2123" s="1"/>
      <c r="Q2123" s="1"/>
      <c r="R2123" s="1"/>
      <c r="S2123" s="1"/>
      <c r="T2123" s="1"/>
      <c r="U2123" s="1"/>
      <c r="V2123" s="1"/>
      <c r="W2123" s="1"/>
      <c r="X2123" s="1"/>
      <c r="Y2123" s="1"/>
      <c r="Z2123" s="1"/>
      <c r="AA2123" s="1"/>
      <c r="AB2123" s="1"/>
      <c r="AC2123" s="1"/>
      <c r="AD2123" s="1"/>
      <c r="AE2123" s="1"/>
      <c r="AF2123" s="1"/>
    </row>
    <row r="2124" spans="7:32" x14ac:dyDescent="0.2">
      <c r="G2124" s="2"/>
      <c r="H2124" s="1"/>
      <c r="I2124" s="1"/>
      <c r="J2124" s="1"/>
      <c r="K2124" s="1"/>
      <c r="L2124" s="1"/>
      <c r="M2124" s="1"/>
      <c r="N2124" s="1"/>
      <c r="O2124" s="1"/>
      <c r="P2124" s="1"/>
      <c r="Q2124" s="1"/>
      <c r="R2124" s="1"/>
      <c r="S2124" s="1"/>
      <c r="T2124" s="1"/>
      <c r="U2124" s="1"/>
      <c r="V2124" s="1"/>
      <c r="W2124" s="1"/>
      <c r="X2124" s="1"/>
      <c r="Y2124" s="1"/>
      <c r="Z2124" s="1"/>
      <c r="AA2124" s="1"/>
      <c r="AB2124" s="1"/>
      <c r="AC2124" s="1"/>
      <c r="AD2124" s="1"/>
      <c r="AE2124" s="1"/>
      <c r="AF2124" s="1"/>
    </row>
    <row r="2125" spans="7:32" x14ac:dyDescent="0.2">
      <c r="G2125" s="2"/>
      <c r="H2125" s="1"/>
      <c r="I2125" s="1"/>
      <c r="J2125" s="1"/>
      <c r="K2125" s="1"/>
      <c r="L2125" s="1"/>
      <c r="M2125" s="1"/>
      <c r="N2125" s="1"/>
      <c r="O2125" s="1"/>
      <c r="P2125" s="1"/>
      <c r="Q2125" s="1"/>
      <c r="R2125" s="1"/>
      <c r="S2125" s="1"/>
      <c r="T2125" s="1"/>
      <c r="U2125" s="1"/>
      <c r="V2125" s="1"/>
      <c r="W2125" s="1"/>
      <c r="X2125" s="1"/>
      <c r="Y2125" s="1"/>
      <c r="Z2125" s="1"/>
      <c r="AA2125" s="1"/>
      <c r="AB2125" s="1"/>
      <c r="AC2125" s="1"/>
      <c r="AD2125" s="1"/>
      <c r="AE2125" s="1"/>
      <c r="AF2125" s="1"/>
    </row>
    <row r="2126" spans="7:32" x14ac:dyDescent="0.2">
      <c r="G2126" s="2"/>
      <c r="H2126" s="1"/>
      <c r="I2126" s="1"/>
      <c r="J2126" s="1"/>
      <c r="K2126" s="1"/>
      <c r="L2126" s="1"/>
      <c r="M2126" s="1"/>
      <c r="N2126" s="1"/>
      <c r="O2126" s="1"/>
      <c r="P2126" s="1"/>
      <c r="Q2126" s="1"/>
      <c r="R2126" s="1"/>
      <c r="S2126" s="1"/>
      <c r="T2126" s="1"/>
      <c r="U2126" s="1"/>
      <c r="V2126" s="1"/>
      <c r="W2126" s="1"/>
      <c r="X2126" s="1"/>
      <c r="Y2126" s="1"/>
      <c r="Z2126" s="1"/>
      <c r="AA2126" s="1"/>
      <c r="AB2126" s="1"/>
      <c r="AC2126" s="1"/>
      <c r="AD2126" s="1"/>
      <c r="AE2126" s="1"/>
      <c r="AF2126" s="1"/>
    </row>
    <row r="2127" spans="7:32" x14ac:dyDescent="0.2">
      <c r="G2127" s="2"/>
      <c r="H2127" s="1"/>
      <c r="I2127" s="1"/>
      <c r="J2127" s="1"/>
      <c r="K2127" s="1"/>
      <c r="L2127" s="1"/>
      <c r="M2127" s="1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  <c r="AC2127" s="1"/>
      <c r="AD2127" s="1"/>
      <c r="AE2127" s="1"/>
      <c r="AF2127" s="1"/>
    </row>
    <row r="2128" spans="7:32" x14ac:dyDescent="0.2">
      <c r="G2128" s="2"/>
      <c r="H2128" s="1"/>
      <c r="I2128" s="1"/>
      <c r="J2128" s="1"/>
      <c r="K2128" s="1"/>
      <c r="L2128" s="1"/>
      <c r="M2128" s="1"/>
      <c r="N2128" s="1"/>
      <c r="O2128" s="1"/>
      <c r="P2128" s="1"/>
      <c r="Q2128" s="1"/>
      <c r="R2128" s="1"/>
      <c r="S2128" s="1"/>
      <c r="T2128" s="1"/>
      <c r="U2128" s="1"/>
      <c r="V2128" s="1"/>
      <c r="W2128" s="1"/>
      <c r="X2128" s="1"/>
      <c r="Y2128" s="1"/>
      <c r="Z2128" s="1"/>
      <c r="AA2128" s="1"/>
      <c r="AB2128" s="1"/>
      <c r="AC2128" s="1"/>
      <c r="AD2128" s="1"/>
      <c r="AE2128" s="1"/>
      <c r="AF2128" s="1"/>
    </row>
    <row r="2129" spans="7:32" x14ac:dyDescent="0.2">
      <c r="G2129" s="2"/>
      <c r="H2129" s="1"/>
      <c r="I2129" s="1"/>
      <c r="J2129" s="1"/>
      <c r="K2129" s="1"/>
      <c r="L2129" s="1"/>
      <c r="M2129" s="1"/>
      <c r="N2129" s="1"/>
      <c r="O2129" s="1"/>
      <c r="P2129" s="1"/>
      <c r="Q2129" s="1"/>
      <c r="R2129" s="1"/>
      <c r="S2129" s="1"/>
      <c r="T2129" s="1"/>
      <c r="U2129" s="1"/>
      <c r="V2129" s="1"/>
      <c r="W2129" s="1"/>
      <c r="X2129" s="1"/>
      <c r="Y2129" s="1"/>
      <c r="Z2129" s="1"/>
      <c r="AA2129" s="1"/>
      <c r="AB2129" s="1"/>
      <c r="AC2129" s="1"/>
      <c r="AD2129" s="1"/>
      <c r="AE2129" s="1"/>
      <c r="AF2129" s="1"/>
    </row>
    <row r="2130" spans="7:32" x14ac:dyDescent="0.2">
      <c r="G2130" s="2"/>
      <c r="H2130" s="1"/>
      <c r="I2130" s="1"/>
      <c r="J2130" s="1"/>
      <c r="K2130" s="1"/>
      <c r="L2130" s="1"/>
      <c r="M2130" s="1"/>
      <c r="N2130" s="1"/>
      <c r="O2130" s="1"/>
      <c r="P2130" s="1"/>
      <c r="Q2130" s="1"/>
      <c r="R2130" s="1"/>
      <c r="S2130" s="1"/>
      <c r="T2130" s="1"/>
      <c r="U2130" s="1"/>
      <c r="V2130" s="1"/>
      <c r="W2130" s="1"/>
      <c r="X2130" s="1"/>
      <c r="Y2130" s="1"/>
      <c r="Z2130" s="1"/>
      <c r="AA2130" s="1"/>
      <c r="AB2130" s="1"/>
      <c r="AC2130" s="1"/>
      <c r="AD2130" s="1"/>
      <c r="AE2130" s="1"/>
      <c r="AF2130" s="1"/>
    </row>
    <row r="2131" spans="7:32" x14ac:dyDescent="0.2">
      <c r="G2131" s="2"/>
      <c r="H2131" s="1"/>
      <c r="I2131" s="1"/>
      <c r="J2131" s="1"/>
      <c r="K2131" s="1"/>
      <c r="L2131" s="1"/>
      <c r="M2131" s="1"/>
      <c r="N2131" s="1"/>
      <c r="O2131" s="1"/>
      <c r="P2131" s="1"/>
      <c r="Q2131" s="1"/>
      <c r="R2131" s="1"/>
      <c r="S2131" s="1"/>
      <c r="T2131" s="1"/>
      <c r="U2131" s="1"/>
      <c r="V2131" s="1"/>
      <c r="W2131" s="1"/>
      <c r="X2131" s="1"/>
      <c r="Y2131" s="1"/>
      <c r="Z2131" s="1"/>
      <c r="AA2131" s="1"/>
      <c r="AB2131" s="1"/>
      <c r="AC2131" s="1"/>
      <c r="AD2131" s="1"/>
      <c r="AE2131" s="1"/>
      <c r="AF2131" s="1"/>
    </row>
    <row r="2132" spans="7:32" x14ac:dyDescent="0.2">
      <c r="G2132" s="2"/>
      <c r="H2132" s="1"/>
      <c r="I2132" s="1"/>
      <c r="J2132" s="1"/>
      <c r="K2132" s="1"/>
      <c r="L2132" s="1"/>
      <c r="M2132" s="1"/>
      <c r="N2132" s="1"/>
      <c r="O2132" s="1"/>
      <c r="P2132" s="1"/>
      <c r="Q2132" s="1"/>
      <c r="R2132" s="1"/>
      <c r="S2132" s="1"/>
      <c r="T2132" s="1"/>
      <c r="U2132" s="1"/>
      <c r="V2132" s="1"/>
      <c r="W2132" s="1"/>
      <c r="X2132" s="1"/>
      <c r="Y2132" s="1"/>
      <c r="Z2132" s="1"/>
      <c r="AA2132" s="1"/>
      <c r="AB2132" s="1"/>
      <c r="AC2132" s="1"/>
      <c r="AD2132" s="1"/>
      <c r="AE2132" s="1"/>
      <c r="AF2132" s="1"/>
    </row>
    <row r="2133" spans="7:32" x14ac:dyDescent="0.2">
      <c r="G2133" s="2"/>
      <c r="H2133" s="1"/>
      <c r="I2133" s="1"/>
      <c r="J2133" s="1"/>
      <c r="K2133" s="1"/>
      <c r="L2133" s="1"/>
      <c r="M2133" s="1"/>
      <c r="N2133" s="1"/>
      <c r="O2133" s="1"/>
      <c r="P2133" s="1"/>
      <c r="Q2133" s="1"/>
      <c r="R2133" s="1"/>
      <c r="S2133" s="1"/>
      <c r="T2133" s="1"/>
      <c r="U2133" s="1"/>
      <c r="V2133" s="1"/>
      <c r="W2133" s="1"/>
      <c r="X2133" s="1"/>
      <c r="Y2133" s="1"/>
      <c r="Z2133" s="1"/>
      <c r="AA2133" s="1"/>
      <c r="AB2133" s="1"/>
      <c r="AC2133" s="1"/>
      <c r="AD2133" s="1"/>
      <c r="AE2133" s="1"/>
      <c r="AF2133" s="1"/>
    </row>
    <row r="2134" spans="7:32" x14ac:dyDescent="0.2">
      <c r="G2134" s="2"/>
      <c r="H2134" s="1"/>
      <c r="I2134" s="1"/>
      <c r="J2134" s="1"/>
      <c r="K2134" s="1"/>
      <c r="L2134" s="1"/>
      <c r="M2134" s="1"/>
      <c r="N2134" s="1"/>
      <c r="O2134" s="1"/>
      <c r="P2134" s="1"/>
      <c r="Q2134" s="1"/>
      <c r="R2134" s="1"/>
      <c r="S2134" s="1"/>
      <c r="T2134" s="1"/>
      <c r="U2134" s="1"/>
      <c r="V2134" s="1"/>
      <c r="W2134" s="1"/>
      <c r="X2134" s="1"/>
      <c r="Y2134" s="1"/>
      <c r="Z2134" s="1"/>
      <c r="AA2134" s="1"/>
      <c r="AB2134" s="1"/>
      <c r="AC2134" s="1"/>
      <c r="AD2134" s="1"/>
      <c r="AE2134" s="1"/>
      <c r="AF2134" s="1"/>
    </row>
    <row r="2135" spans="7:32" x14ac:dyDescent="0.2">
      <c r="G2135" s="2"/>
      <c r="H2135" s="1"/>
      <c r="I2135" s="1"/>
      <c r="J2135" s="1"/>
      <c r="K2135" s="1"/>
      <c r="L2135" s="1"/>
      <c r="M2135" s="1"/>
      <c r="N2135" s="1"/>
      <c r="O2135" s="1"/>
      <c r="P2135" s="1"/>
      <c r="Q2135" s="1"/>
      <c r="R2135" s="1"/>
      <c r="S2135" s="1"/>
      <c r="T2135" s="1"/>
      <c r="U2135" s="1"/>
      <c r="V2135" s="1"/>
      <c r="W2135" s="1"/>
      <c r="X2135" s="1"/>
      <c r="Y2135" s="1"/>
      <c r="Z2135" s="1"/>
      <c r="AA2135" s="1"/>
      <c r="AB2135" s="1"/>
      <c r="AC2135" s="1"/>
      <c r="AD2135" s="1"/>
      <c r="AE2135" s="1"/>
      <c r="AF2135" s="1"/>
    </row>
    <row r="2136" spans="7:32" x14ac:dyDescent="0.2">
      <c r="G2136" s="2"/>
      <c r="H2136" s="1"/>
      <c r="I2136" s="1"/>
      <c r="J2136" s="1"/>
      <c r="K2136" s="1"/>
      <c r="L2136" s="1"/>
      <c r="M2136" s="1"/>
      <c r="N2136" s="1"/>
      <c r="O2136" s="1"/>
      <c r="P2136" s="1"/>
      <c r="Q2136" s="1"/>
      <c r="R2136" s="1"/>
      <c r="S2136" s="1"/>
      <c r="T2136" s="1"/>
      <c r="U2136" s="1"/>
      <c r="V2136" s="1"/>
      <c r="W2136" s="1"/>
      <c r="X2136" s="1"/>
      <c r="Y2136" s="1"/>
      <c r="Z2136" s="1"/>
      <c r="AA2136" s="1"/>
      <c r="AB2136" s="1"/>
      <c r="AC2136" s="1"/>
      <c r="AD2136" s="1"/>
      <c r="AE2136" s="1"/>
      <c r="AF2136" s="1"/>
    </row>
    <row r="2137" spans="7:32" x14ac:dyDescent="0.2">
      <c r="G2137" s="2"/>
      <c r="H2137" s="1"/>
      <c r="I2137" s="1"/>
      <c r="J2137" s="1"/>
      <c r="K2137" s="1"/>
      <c r="L2137" s="1"/>
      <c r="M2137" s="1"/>
      <c r="N2137" s="1"/>
      <c r="O2137" s="1"/>
      <c r="P2137" s="1"/>
      <c r="Q2137" s="1"/>
      <c r="R2137" s="1"/>
      <c r="S2137" s="1"/>
      <c r="T2137" s="1"/>
      <c r="U2137" s="1"/>
      <c r="V2137" s="1"/>
      <c r="W2137" s="1"/>
      <c r="X2137" s="1"/>
      <c r="Y2137" s="1"/>
      <c r="Z2137" s="1"/>
      <c r="AA2137" s="1"/>
      <c r="AB2137" s="1"/>
      <c r="AC2137" s="1"/>
      <c r="AD2137" s="1"/>
      <c r="AE2137" s="1"/>
      <c r="AF2137" s="1"/>
    </row>
    <row r="2138" spans="7:32" x14ac:dyDescent="0.2">
      <c r="G2138" s="2"/>
      <c r="H2138" s="1"/>
      <c r="I2138" s="1"/>
      <c r="J2138" s="1"/>
      <c r="K2138" s="1"/>
      <c r="L2138" s="1"/>
      <c r="M2138" s="1"/>
      <c r="N2138" s="1"/>
      <c r="O2138" s="1"/>
      <c r="P2138" s="1"/>
      <c r="Q2138" s="1"/>
      <c r="R2138" s="1"/>
      <c r="S2138" s="1"/>
      <c r="T2138" s="1"/>
      <c r="U2138" s="1"/>
      <c r="V2138" s="1"/>
      <c r="W2138" s="1"/>
      <c r="X2138" s="1"/>
      <c r="Y2138" s="1"/>
      <c r="Z2138" s="1"/>
      <c r="AA2138" s="1"/>
      <c r="AB2138" s="1"/>
      <c r="AC2138" s="1"/>
      <c r="AD2138" s="1"/>
      <c r="AE2138" s="1"/>
      <c r="AF2138" s="1"/>
    </row>
    <row r="2139" spans="7:32" x14ac:dyDescent="0.2">
      <c r="G2139" s="2"/>
      <c r="H2139" s="1"/>
      <c r="I2139" s="1"/>
      <c r="J2139" s="1"/>
      <c r="K2139" s="1"/>
      <c r="L2139" s="1"/>
      <c r="M2139" s="1"/>
      <c r="N2139" s="1"/>
      <c r="O2139" s="1"/>
      <c r="P2139" s="1"/>
      <c r="Q2139" s="1"/>
      <c r="R2139" s="1"/>
      <c r="S2139" s="1"/>
      <c r="T2139" s="1"/>
      <c r="U2139" s="1"/>
      <c r="V2139" s="1"/>
      <c r="W2139" s="1"/>
      <c r="X2139" s="1"/>
      <c r="Y2139" s="1"/>
      <c r="Z2139" s="1"/>
      <c r="AA2139" s="1"/>
      <c r="AB2139" s="1"/>
      <c r="AC2139" s="1"/>
      <c r="AD2139" s="1"/>
      <c r="AE2139" s="1"/>
      <c r="AF2139" s="1"/>
    </row>
    <row r="2140" spans="7:32" x14ac:dyDescent="0.2">
      <c r="G2140" s="2"/>
      <c r="H2140" s="1"/>
      <c r="I2140" s="1"/>
      <c r="J2140" s="1"/>
      <c r="K2140" s="1"/>
      <c r="L2140" s="1"/>
      <c r="M2140" s="1"/>
      <c r="N2140" s="1"/>
      <c r="O2140" s="1"/>
      <c r="P2140" s="1"/>
      <c r="Q2140" s="1"/>
      <c r="R2140" s="1"/>
      <c r="S2140" s="1"/>
      <c r="T2140" s="1"/>
      <c r="U2140" s="1"/>
      <c r="V2140" s="1"/>
      <c r="W2140" s="1"/>
      <c r="X2140" s="1"/>
      <c r="Y2140" s="1"/>
      <c r="Z2140" s="1"/>
      <c r="AA2140" s="1"/>
      <c r="AB2140" s="1"/>
      <c r="AC2140" s="1"/>
      <c r="AD2140" s="1"/>
      <c r="AE2140" s="1"/>
      <c r="AF2140" s="1"/>
    </row>
    <row r="2141" spans="7:32" x14ac:dyDescent="0.2">
      <c r="G2141" s="2"/>
      <c r="H2141" s="1"/>
      <c r="I2141" s="1"/>
      <c r="J2141" s="1"/>
      <c r="K2141" s="1"/>
      <c r="L2141" s="1"/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  <c r="X2141" s="1"/>
      <c r="Y2141" s="1"/>
      <c r="Z2141" s="1"/>
      <c r="AA2141" s="1"/>
      <c r="AB2141" s="1"/>
      <c r="AC2141" s="1"/>
      <c r="AD2141" s="1"/>
      <c r="AE2141" s="1"/>
      <c r="AF2141" s="1"/>
    </row>
    <row r="2142" spans="7:32" x14ac:dyDescent="0.2">
      <c r="G2142" s="2"/>
      <c r="H2142" s="1"/>
      <c r="I2142" s="1"/>
      <c r="J2142" s="1"/>
      <c r="K2142" s="1"/>
      <c r="L2142" s="1"/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  <c r="X2142" s="1"/>
      <c r="Y2142" s="1"/>
      <c r="Z2142" s="1"/>
      <c r="AA2142" s="1"/>
      <c r="AB2142" s="1"/>
      <c r="AC2142" s="1"/>
      <c r="AD2142" s="1"/>
      <c r="AE2142" s="1"/>
      <c r="AF2142" s="1"/>
    </row>
    <row r="2143" spans="7:32" x14ac:dyDescent="0.2">
      <c r="G2143" s="2"/>
      <c r="H2143" s="1"/>
      <c r="I2143" s="1"/>
      <c r="J2143" s="1"/>
      <c r="K2143" s="1"/>
      <c r="L2143" s="1"/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  <c r="X2143" s="1"/>
      <c r="Y2143" s="1"/>
      <c r="Z2143" s="1"/>
      <c r="AA2143" s="1"/>
      <c r="AB2143" s="1"/>
      <c r="AC2143" s="1"/>
      <c r="AD2143" s="1"/>
      <c r="AE2143" s="1"/>
      <c r="AF2143" s="1"/>
    </row>
    <row r="2144" spans="7:32" x14ac:dyDescent="0.2">
      <c r="G2144" s="2"/>
      <c r="H2144" s="1"/>
      <c r="I2144" s="1"/>
      <c r="J2144" s="1"/>
      <c r="K2144" s="1"/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  <c r="X2144" s="1"/>
      <c r="Y2144" s="1"/>
      <c r="Z2144" s="1"/>
      <c r="AA2144" s="1"/>
      <c r="AB2144" s="1"/>
      <c r="AC2144" s="1"/>
      <c r="AD2144" s="1"/>
      <c r="AE2144" s="1"/>
      <c r="AF2144" s="1"/>
    </row>
    <row r="2145" spans="7:32" x14ac:dyDescent="0.2">
      <c r="G2145" s="2"/>
      <c r="H2145" s="1"/>
      <c r="I2145" s="1"/>
      <c r="J2145" s="1"/>
      <c r="K2145" s="1"/>
      <c r="L2145" s="1"/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  <c r="X2145" s="1"/>
      <c r="Y2145" s="1"/>
      <c r="Z2145" s="1"/>
      <c r="AA2145" s="1"/>
      <c r="AB2145" s="1"/>
      <c r="AC2145" s="1"/>
      <c r="AD2145" s="1"/>
      <c r="AE2145" s="1"/>
      <c r="AF2145" s="1"/>
    </row>
    <row r="2146" spans="7:32" x14ac:dyDescent="0.2">
      <c r="G2146" s="2"/>
      <c r="H2146" s="1"/>
      <c r="I2146" s="1"/>
      <c r="J2146" s="1"/>
      <c r="K2146" s="1"/>
      <c r="L2146" s="1"/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  <c r="X2146" s="1"/>
      <c r="Y2146" s="1"/>
      <c r="Z2146" s="1"/>
      <c r="AA2146" s="1"/>
      <c r="AB2146" s="1"/>
      <c r="AC2146" s="1"/>
      <c r="AD2146" s="1"/>
      <c r="AE2146" s="1"/>
      <c r="AF2146" s="1"/>
    </row>
    <row r="2147" spans="7:32" x14ac:dyDescent="0.2">
      <c r="G2147" s="2"/>
      <c r="H2147" s="1"/>
      <c r="I2147" s="1"/>
      <c r="J2147" s="1"/>
      <c r="K2147" s="1"/>
      <c r="L2147" s="1"/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  <c r="X2147" s="1"/>
      <c r="Y2147" s="1"/>
      <c r="Z2147" s="1"/>
      <c r="AA2147" s="1"/>
      <c r="AB2147" s="1"/>
      <c r="AC2147" s="1"/>
      <c r="AD2147" s="1"/>
      <c r="AE2147" s="1"/>
      <c r="AF2147" s="1"/>
    </row>
    <row r="2148" spans="7:32" x14ac:dyDescent="0.2">
      <c r="G2148" s="2"/>
      <c r="H2148" s="1"/>
      <c r="I2148" s="1"/>
      <c r="J2148" s="1"/>
      <c r="K2148" s="1"/>
      <c r="L2148" s="1"/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  <c r="X2148" s="1"/>
      <c r="Y2148" s="1"/>
      <c r="Z2148" s="1"/>
      <c r="AA2148" s="1"/>
      <c r="AB2148" s="1"/>
      <c r="AC2148" s="1"/>
      <c r="AD2148" s="1"/>
      <c r="AE2148" s="1"/>
      <c r="AF2148" s="1"/>
    </row>
    <row r="2149" spans="7:32" x14ac:dyDescent="0.2">
      <c r="G2149" s="2"/>
      <c r="H2149" s="1"/>
      <c r="I2149" s="1"/>
      <c r="J2149" s="1"/>
      <c r="K2149" s="1"/>
      <c r="L2149" s="1"/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  <c r="X2149" s="1"/>
      <c r="Y2149" s="1"/>
      <c r="Z2149" s="1"/>
      <c r="AA2149" s="1"/>
      <c r="AB2149" s="1"/>
      <c r="AC2149" s="1"/>
      <c r="AD2149" s="1"/>
      <c r="AE2149" s="1"/>
      <c r="AF2149" s="1"/>
    </row>
    <row r="2150" spans="7:32" x14ac:dyDescent="0.2">
      <c r="G2150" s="2"/>
      <c r="H2150" s="1"/>
      <c r="I2150" s="1"/>
      <c r="J2150" s="1"/>
      <c r="K2150" s="1"/>
      <c r="L2150" s="1"/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  <c r="X2150" s="1"/>
      <c r="Y2150" s="1"/>
      <c r="Z2150" s="1"/>
      <c r="AA2150" s="1"/>
      <c r="AB2150" s="1"/>
      <c r="AC2150" s="1"/>
      <c r="AD2150" s="1"/>
      <c r="AE2150" s="1"/>
      <c r="AF2150" s="1"/>
    </row>
    <row r="2151" spans="7:32" x14ac:dyDescent="0.2">
      <c r="G2151" s="2"/>
      <c r="H2151" s="1"/>
      <c r="I2151" s="1"/>
      <c r="J2151" s="1"/>
      <c r="K2151" s="1"/>
      <c r="L2151" s="1"/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  <c r="X2151" s="1"/>
      <c r="Y2151" s="1"/>
      <c r="Z2151" s="1"/>
      <c r="AA2151" s="1"/>
      <c r="AB2151" s="1"/>
      <c r="AC2151" s="1"/>
      <c r="AD2151" s="1"/>
      <c r="AE2151" s="1"/>
      <c r="AF2151" s="1"/>
    </row>
    <row r="2152" spans="7:32" x14ac:dyDescent="0.2">
      <c r="G2152" s="2"/>
      <c r="H2152" s="1"/>
      <c r="I2152" s="1"/>
      <c r="J2152" s="1"/>
      <c r="K2152" s="1"/>
      <c r="L2152" s="1"/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  <c r="X2152" s="1"/>
      <c r="Y2152" s="1"/>
      <c r="Z2152" s="1"/>
      <c r="AA2152" s="1"/>
      <c r="AB2152" s="1"/>
      <c r="AC2152" s="1"/>
      <c r="AD2152" s="1"/>
      <c r="AE2152" s="1"/>
      <c r="AF2152" s="1"/>
    </row>
    <row r="2153" spans="7:32" x14ac:dyDescent="0.2">
      <c r="G2153" s="2"/>
      <c r="H2153" s="1"/>
      <c r="I2153" s="1"/>
      <c r="J2153" s="1"/>
      <c r="K2153" s="1"/>
      <c r="L2153" s="1"/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  <c r="X2153" s="1"/>
      <c r="Y2153" s="1"/>
      <c r="Z2153" s="1"/>
      <c r="AA2153" s="1"/>
      <c r="AB2153" s="1"/>
      <c r="AC2153" s="1"/>
      <c r="AD2153" s="1"/>
      <c r="AE2153" s="1"/>
      <c r="AF2153" s="1"/>
    </row>
    <row r="2154" spans="7:32" x14ac:dyDescent="0.2">
      <c r="G2154" s="2"/>
      <c r="H2154" s="1"/>
      <c r="I2154" s="1"/>
      <c r="J2154" s="1"/>
      <c r="K2154" s="1"/>
      <c r="L2154" s="1"/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  <c r="X2154" s="1"/>
      <c r="Y2154" s="1"/>
      <c r="Z2154" s="1"/>
      <c r="AA2154" s="1"/>
      <c r="AB2154" s="1"/>
      <c r="AC2154" s="1"/>
      <c r="AD2154" s="1"/>
      <c r="AE2154" s="1"/>
      <c r="AF2154" s="1"/>
    </row>
    <row r="2155" spans="7:32" x14ac:dyDescent="0.2">
      <c r="G2155" s="2"/>
      <c r="H2155" s="1"/>
      <c r="I2155" s="1"/>
      <c r="J2155" s="1"/>
      <c r="K2155" s="1"/>
      <c r="L2155" s="1"/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  <c r="X2155" s="1"/>
      <c r="Y2155" s="1"/>
      <c r="Z2155" s="1"/>
      <c r="AA2155" s="1"/>
      <c r="AB2155" s="1"/>
      <c r="AC2155" s="1"/>
      <c r="AD2155" s="1"/>
      <c r="AE2155" s="1"/>
      <c r="AF2155" s="1"/>
    </row>
    <row r="2156" spans="7:32" x14ac:dyDescent="0.2">
      <c r="G2156" s="2"/>
      <c r="H2156" s="1"/>
      <c r="I2156" s="1"/>
      <c r="J2156" s="1"/>
      <c r="K2156" s="1"/>
      <c r="L2156" s="1"/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  <c r="X2156" s="1"/>
      <c r="Y2156" s="1"/>
      <c r="Z2156" s="1"/>
      <c r="AA2156" s="1"/>
      <c r="AB2156" s="1"/>
      <c r="AC2156" s="1"/>
      <c r="AD2156" s="1"/>
      <c r="AE2156" s="1"/>
      <c r="AF2156" s="1"/>
    </row>
    <row r="2157" spans="7:32" x14ac:dyDescent="0.2">
      <c r="G2157" s="2"/>
      <c r="H2157" s="1"/>
      <c r="I2157" s="1"/>
      <c r="J2157" s="1"/>
      <c r="K2157" s="1"/>
      <c r="L2157" s="1"/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  <c r="X2157" s="1"/>
      <c r="Y2157" s="1"/>
      <c r="Z2157" s="1"/>
      <c r="AA2157" s="1"/>
      <c r="AB2157" s="1"/>
      <c r="AC2157" s="1"/>
      <c r="AD2157" s="1"/>
      <c r="AE2157" s="1"/>
      <c r="AF2157" s="1"/>
    </row>
    <row r="2158" spans="7:32" x14ac:dyDescent="0.2">
      <c r="G2158" s="2"/>
      <c r="H2158" s="1"/>
      <c r="I2158" s="1"/>
      <c r="J2158" s="1"/>
      <c r="K2158" s="1"/>
      <c r="L2158" s="1"/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  <c r="X2158" s="1"/>
      <c r="Y2158" s="1"/>
      <c r="Z2158" s="1"/>
      <c r="AA2158" s="1"/>
      <c r="AB2158" s="1"/>
      <c r="AC2158" s="1"/>
      <c r="AD2158" s="1"/>
      <c r="AE2158" s="1"/>
      <c r="AF2158" s="1"/>
    </row>
    <row r="2159" spans="7:32" x14ac:dyDescent="0.2">
      <c r="G2159" s="2"/>
      <c r="H2159" s="1"/>
      <c r="I2159" s="1"/>
      <c r="J2159" s="1"/>
      <c r="K2159" s="1"/>
      <c r="L2159" s="1"/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  <c r="X2159" s="1"/>
      <c r="Y2159" s="1"/>
      <c r="Z2159" s="1"/>
      <c r="AA2159" s="1"/>
      <c r="AB2159" s="1"/>
      <c r="AC2159" s="1"/>
      <c r="AD2159" s="1"/>
      <c r="AE2159" s="1"/>
      <c r="AF2159" s="1"/>
    </row>
    <row r="2160" spans="7:32" x14ac:dyDescent="0.2">
      <c r="G2160" s="2"/>
      <c r="H2160" s="1"/>
      <c r="I2160" s="1"/>
      <c r="J2160" s="1"/>
      <c r="K2160" s="1"/>
      <c r="L2160" s="1"/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  <c r="X2160" s="1"/>
      <c r="Y2160" s="1"/>
      <c r="Z2160" s="1"/>
      <c r="AA2160" s="1"/>
      <c r="AB2160" s="1"/>
      <c r="AC2160" s="1"/>
      <c r="AD2160" s="1"/>
      <c r="AE2160" s="1"/>
      <c r="AF2160" s="1"/>
    </row>
    <row r="2161" spans="7:32" x14ac:dyDescent="0.2">
      <c r="G2161" s="2"/>
      <c r="H2161" s="1"/>
      <c r="I2161" s="1"/>
      <c r="J2161" s="1"/>
      <c r="K2161" s="1"/>
      <c r="L2161" s="1"/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  <c r="X2161" s="1"/>
      <c r="Y2161" s="1"/>
      <c r="Z2161" s="1"/>
      <c r="AA2161" s="1"/>
      <c r="AB2161" s="1"/>
      <c r="AC2161" s="1"/>
      <c r="AD2161" s="1"/>
      <c r="AE2161" s="1"/>
      <c r="AF2161" s="1"/>
    </row>
    <row r="2162" spans="7:32" x14ac:dyDescent="0.2">
      <c r="G2162" s="2"/>
      <c r="H2162" s="1"/>
      <c r="I2162" s="1"/>
      <c r="J2162" s="1"/>
      <c r="K2162" s="1"/>
      <c r="L2162" s="1"/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  <c r="X2162" s="1"/>
      <c r="Y2162" s="1"/>
      <c r="Z2162" s="1"/>
      <c r="AA2162" s="1"/>
      <c r="AB2162" s="1"/>
      <c r="AC2162" s="1"/>
      <c r="AD2162" s="1"/>
      <c r="AE2162" s="1"/>
      <c r="AF2162" s="1"/>
    </row>
    <row r="2163" spans="7:32" x14ac:dyDescent="0.2">
      <c r="G2163" s="2"/>
      <c r="H2163" s="1"/>
      <c r="I2163" s="1"/>
      <c r="J2163" s="1"/>
      <c r="K2163" s="1"/>
      <c r="L2163" s="1"/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  <c r="X2163" s="1"/>
      <c r="Y2163" s="1"/>
      <c r="Z2163" s="1"/>
      <c r="AA2163" s="1"/>
      <c r="AB2163" s="1"/>
      <c r="AC2163" s="1"/>
      <c r="AD2163" s="1"/>
      <c r="AE2163" s="1"/>
      <c r="AF2163" s="1"/>
    </row>
    <row r="2164" spans="7:32" x14ac:dyDescent="0.2">
      <c r="G2164" s="2"/>
      <c r="H2164" s="1"/>
      <c r="I2164" s="1"/>
      <c r="J2164" s="1"/>
      <c r="K2164" s="1"/>
      <c r="L2164" s="1"/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  <c r="X2164" s="1"/>
      <c r="Y2164" s="1"/>
      <c r="Z2164" s="1"/>
      <c r="AA2164" s="1"/>
      <c r="AB2164" s="1"/>
      <c r="AC2164" s="1"/>
      <c r="AD2164" s="1"/>
      <c r="AE2164" s="1"/>
      <c r="AF2164" s="1"/>
    </row>
    <row r="2165" spans="7:32" x14ac:dyDescent="0.2">
      <c r="G2165" s="2"/>
      <c r="H2165" s="1"/>
      <c r="I2165" s="1"/>
      <c r="J2165" s="1"/>
      <c r="K2165" s="1"/>
      <c r="L2165" s="1"/>
      <c r="M2165" s="1"/>
      <c r="N2165" s="1"/>
      <c r="O2165" s="1"/>
      <c r="P2165" s="1"/>
      <c r="Q2165" s="1"/>
      <c r="R2165" s="1"/>
      <c r="S2165" s="1"/>
      <c r="T2165" s="1"/>
      <c r="U2165" s="1"/>
      <c r="V2165" s="1"/>
      <c r="W2165" s="1"/>
      <c r="X2165" s="1"/>
      <c r="Y2165" s="1"/>
      <c r="Z2165" s="1"/>
      <c r="AA2165" s="1"/>
      <c r="AB2165" s="1"/>
      <c r="AC2165" s="1"/>
      <c r="AD2165" s="1"/>
      <c r="AE2165" s="1"/>
      <c r="AF2165" s="1"/>
    </row>
    <row r="2166" spans="7:32" x14ac:dyDescent="0.2">
      <c r="G2166" s="2"/>
      <c r="H2166" s="1"/>
      <c r="I2166" s="1"/>
      <c r="J2166" s="1"/>
      <c r="K2166" s="1"/>
      <c r="L2166" s="1"/>
      <c r="M2166" s="1"/>
      <c r="N2166" s="1"/>
      <c r="O2166" s="1"/>
      <c r="P2166" s="1"/>
      <c r="Q2166" s="1"/>
      <c r="R2166" s="1"/>
      <c r="S2166" s="1"/>
      <c r="T2166" s="1"/>
      <c r="U2166" s="1"/>
      <c r="V2166" s="1"/>
      <c r="W2166" s="1"/>
      <c r="X2166" s="1"/>
      <c r="Y2166" s="1"/>
      <c r="Z2166" s="1"/>
      <c r="AA2166" s="1"/>
      <c r="AB2166" s="1"/>
      <c r="AC2166" s="1"/>
      <c r="AD2166" s="1"/>
      <c r="AE2166" s="1"/>
      <c r="AF2166" s="1"/>
    </row>
    <row r="2167" spans="7:32" x14ac:dyDescent="0.2">
      <c r="G2167" s="2"/>
      <c r="H2167" s="1"/>
      <c r="I2167" s="1"/>
      <c r="J2167" s="1"/>
      <c r="K2167" s="1"/>
      <c r="L2167" s="1"/>
      <c r="M2167" s="1"/>
      <c r="N2167" s="1"/>
      <c r="O2167" s="1"/>
      <c r="P2167" s="1"/>
      <c r="Q2167" s="1"/>
      <c r="R2167" s="1"/>
      <c r="S2167" s="1"/>
      <c r="T2167" s="1"/>
      <c r="U2167" s="1"/>
      <c r="V2167" s="1"/>
      <c r="W2167" s="1"/>
      <c r="X2167" s="1"/>
      <c r="Y2167" s="1"/>
      <c r="Z2167" s="1"/>
      <c r="AA2167" s="1"/>
      <c r="AB2167" s="1"/>
      <c r="AC2167" s="1"/>
      <c r="AD2167" s="1"/>
      <c r="AE2167" s="1"/>
      <c r="AF2167" s="1"/>
    </row>
    <row r="2168" spans="7:32" x14ac:dyDescent="0.2">
      <c r="G2168" s="2"/>
      <c r="H2168" s="1"/>
      <c r="I2168" s="1"/>
      <c r="J2168" s="1"/>
      <c r="K2168" s="1"/>
      <c r="L2168" s="1"/>
      <c r="M2168" s="1"/>
      <c r="N2168" s="1"/>
      <c r="O2168" s="1"/>
      <c r="P2168" s="1"/>
      <c r="Q2168" s="1"/>
      <c r="R2168" s="1"/>
      <c r="S2168" s="1"/>
      <c r="T2168" s="1"/>
      <c r="U2168" s="1"/>
      <c r="V2168" s="1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</row>
    <row r="2169" spans="7:32" x14ac:dyDescent="0.2">
      <c r="G2169" s="2"/>
      <c r="H2169" s="1"/>
      <c r="I2169" s="1"/>
      <c r="J2169" s="1"/>
      <c r="K2169" s="1"/>
      <c r="L2169" s="1"/>
      <c r="M2169" s="1"/>
      <c r="N2169" s="1"/>
      <c r="O2169" s="1"/>
      <c r="P2169" s="1"/>
      <c r="Q2169" s="1"/>
      <c r="R2169" s="1"/>
      <c r="S2169" s="1"/>
      <c r="T2169" s="1"/>
      <c r="U2169" s="1"/>
      <c r="V2169" s="1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</row>
    <row r="2170" spans="7:32" x14ac:dyDescent="0.2">
      <c r="G2170" s="2"/>
      <c r="H2170" s="1"/>
      <c r="I2170" s="1"/>
      <c r="J2170" s="1"/>
      <c r="K2170" s="1"/>
      <c r="L2170" s="1"/>
      <c r="M2170" s="1"/>
      <c r="N2170" s="1"/>
      <c r="O2170" s="1"/>
      <c r="P2170" s="1"/>
      <c r="Q2170" s="1"/>
      <c r="R2170" s="1"/>
      <c r="S2170" s="1"/>
      <c r="T2170" s="1"/>
      <c r="U2170" s="1"/>
      <c r="V2170" s="1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</row>
    <row r="2171" spans="7:32" x14ac:dyDescent="0.2">
      <c r="G2171" s="2"/>
      <c r="H2171" s="1"/>
      <c r="I2171" s="1"/>
      <c r="J2171" s="1"/>
      <c r="K2171" s="1"/>
      <c r="L2171" s="1"/>
      <c r="M2171" s="1"/>
      <c r="N2171" s="1"/>
      <c r="O2171" s="1"/>
      <c r="P2171" s="1"/>
      <c r="Q2171" s="1"/>
      <c r="R2171" s="1"/>
      <c r="S2171" s="1"/>
      <c r="T2171" s="1"/>
      <c r="U2171" s="1"/>
      <c r="V2171" s="1"/>
      <c r="W2171" s="1"/>
      <c r="X2171" s="1"/>
      <c r="Y2171" s="1"/>
      <c r="Z2171" s="1"/>
      <c r="AA2171" s="1"/>
      <c r="AB2171" s="1"/>
      <c r="AC2171" s="1"/>
      <c r="AD2171" s="1"/>
      <c r="AE2171" s="1"/>
      <c r="AF2171" s="1"/>
    </row>
    <row r="2172" spans="7:32" x14ac:dyDescent="0.2">
      <c r="G2172" s="2"/>
      <c r="H2172" s="1"/>
      <c r="I2172" s="1"/>
      <c r="J2172" s="1"/>
      <c r="K2172" s="1"/>
      <c r="L2172" s="1"/>
      <c r="M2172" s="1"/>
      <c r="N2172" s="1"/>
      <c r="O2172" s="1"/>
      <c r="P2172" s="1"/>
      <c r="Q2172" s="1"/>
      <c r="R2172" s="1"/>
      <c r="S2172" s="1"/>
      <c r="T2172" s="1"/>
      <c r="U2172" s="1"/>
      <c r="V2172" s="1"/>
      <c r="W2172" s="1"/>
      <c r="X2172" s="1"/>
      <c r="Y2172" s="1"/>
      <c r="Z2172" s="1"/>
      <c r="AA2172" s="1"/>
      <c r="AB2172" s="1"/>
      <c r="AC2172" s="1"/>
      <c r="AD2172" s="1"/>
      <c r="AE2172" s="1"/>
      <c r="AF2172" s="1"/>
    </row>
    <row r="2173" spans="7:32" x14ac:dyDescent="0.2">
      <c r="G2173" s="2"/>
      <c r="H2173" s="1"/>
      <c r="I2173" s="1"/>
      <c r="J2173" s="1"/>
      <c r="K2173" s="1"/>
      <c r="L2173" s="1"/>
      <c r="M2173" s="1"/>
      <c r="N2173" s="1"/>
      <c r="O2173" s="1"/>
      <c r="P2173" s="1"/>
      <c r="Q2173" s="1"/>
      <c r="R2173" s="1"/>
      <c r="S2173" s="1"/>
      <c r="T2173" s="1"/>
      <c r="U2173" s="1"/>
      <c r="V2173" s="1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</row>
    <row r="2174" spans="7:32" x14ac:dyDescent="0.2">
      <c r="G2174" s="2"/>
      <c r="H2174" s="1"/>
      <c r="I2174" s="1"/>
      <c r="J2174" s="1"/>
      <c r="K2174" s="1"/>
      <c r="L2174" s="1"/>
      <c r="M2174" s="1"/>
      <c r="N2174" s="1"/>
      <c r="O2174" s="1"/>
      <c r="P2174" s="1"/>
      <c r="Q2174" s="1"/>
      <c r="R2174" s="1"/>
      <c r="S2174" s="1"/>
      <c r="T2174" s="1"/>
      <c r="U2174" s="1"/>
      <c r="V2174" s="1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</row>
    <row r="2175" spans="7:32" x14ac:dyDescent="0.2">
      <c r="G2175" s="2"/>
      <c r="H2175" s="1"/>
      <c r="I2175" s="1"/>
      <c r="J2175" s="1"/>
      <c r="K2175" s="1"/>
      <c r="L2175" s="1"/>
      <c r="M2175" s="1"/>
      <c r="N2175" s="1"/>
      <c r="O2175" s="1"/>
      <c r="P2175" s="1"/>
      <c r="Q2175" s="1"/>
      <c r="R2175" s="1"/>
      <c r="S2175" s="1"/>
      <c r="T2175" s="1"/>
      <c r="U2175" s="1"/>
      <c r="V2175" s="1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</row>
    <row r="2176" spans="7:32" x14ac:dyDescent="0.2">
      <c r="G2176" s="2"/>
      <c r="H2176" s="1"/>
      <c r="I2176" s="1"/>
      <c r="J2176" s="1"/>
      <c r="K2176" s="1"/>
      <c r="L2176" s="1"/>
      <c r="M2176" s="1"/>
      <c r="N2176" s="1"/>
      <c r="O2176" s="1"/>
      <c r="P2176" s="1"/>
      <c r="Q2176" s="1"/>
      <c r="R2176" s="1"/>
      <c r="S2176" s="1"/>
      <c r="T2176" s="1"/>
      <c r="U2176" s="1"/>
      <c r="V2176" s="1"/>
      <c r="W2176" s="1"/>
      <c r="X2176" s="1"/>
      <c r="Y2176" s="1"/>
      <c r="Z2176" s="1"/>
      <c r="AA2176" s="1"/>
      <c r="AB2176" s="1"/>
      <c r="AC2176" s="1"/>
      <c r="AD2176" s="1"/>
      <c r="AE2176" s="1"/>
      <c r="AF2176" s="1"/>
    </row>
    <row r="2177" spans="7:32" x14ac:dyDescent="0.2">
      <c r="G2177" s="2"/>
      <c r="H2177" s="1"/>
      <c r="I2177" s="1"/>
      <c r="J2177" s="1"/>
      <c r="K2177" s="1"/>
      <c r="L2177" s="1"/>
      <c r="M2177" s="1"/>
      <c r="N2177" s="1"/>
      <c r="O2177" s="1"/>
      <c r="P2177" s="1"/>
      <c r="Q2177" s="1"/>
      <c r="R2177" s="1"/>
      <c r="S2177" s="1"/>
      <c r="T2177" s="1"/>
      <c r="U2177" s="1"/>
      <c r="V2177" s="1"/>
      <c r="W2177" s="1"/>
      <c r="X2177" s="1"/>
      <c r="Y2177" s="1"/>
      <c r="Z2177" s="1"/>
      <c r="AA2177" s="1"/>
      <c r="AB2177" s="1"/>
      <c r="AC2177" s="1"/>
      <c r="AD2177" s="1"/>
      <c r="AE2177" s="1"/>
      <c r="AF2177" s="1"/>
    </row>
    <row r="2178" spans="7:32" x14ac:dyDescent="0.2">
      <c r="G2178" s="2"/>
      <c r="H2178" s="1"/>
      <c r="I2178" s="1"/>
      <c r="J2178" s="1"/>
      <c r="K2178" s="1"/>
      <c r="L2178" s="1"/>
      <c r="M2178" s="1"/>
      <c r="N2178" s="1"/>
      <c r="O2178" s="1"/>
      <c r="P2178" s="1"/>
      <c r="Q2178" s="1"/>
      <c r="R2178" s="1"/>
      <c r="S2178" s="1"/>
      <c r="T2178" s="1"/>
      <c r="U2178" s="1"/>
      <c r="V2178" s="1"/>
      <c r="W2178" s="1"/>
      <c r="X2178" s="1"/>
      <c r="Y2178" s="1"/>
      <c r="Z2178" s="1"/>
      <c r="AA2178" s="1"/>
      <c r="AB2178" s="1"/>
      <c r="AC2178" s="1"/>
      <c r="AD2178" s="1"/>
      <c r="AE2178" s="1"/>
      <c r="AF2178" s="1"/>
    </row>
    <row r="2179" spans="7:32" x14ac:dyDescent="0.2">
      <c r="G2179" s="2"/>
      <c r="H2179" s="1"/>
      <c r="I2179" s="1"/>
      <c r="J2179" s="1"/>
      <c r="K2179" s="1"/>
      <c r="L2179" s="1"/>
      <c r="M2179" s="1"/>
      <c r="N2179" s="1"/>
      <c r="O2179" s="1"/>
      <c r="P2179" s="1"/>
      <c r="Q2179" s="1"/>
      <c r="R2179" s="1"/>
      <c r="S2179" s="1"/>
      <c r="T2179" s="1"/>
      <c r="U2179" s="1"/>
      <c r="V2179" s="1"/>
      <c r="W2179" s="1"/>
      <c r="X2179" s="1"/>
      <c r="Y2179" s="1"/>
      <c r="Z2179" s="1"/>
      <c r="AA2179" s="1"/>
      <c r="AB2179" s="1"/>
      <c r="AC2179" s="1"/>
      <c r="AD2179" s="1"/>
      <c r="AE2179" s="1"/>
      <c r="AF2179" s="1"/>
    </row>
    <row r="2180" spans="7:32" x14ac:dyDescent="0.2">
      <c r="G2180" s="2"/>
      <c r="H2180" s="1"/>
      <c r="I2180" s="1"/>
      <c r="J2180" s="1"/>
      <c r="K2180" s="1"/>
      <c r="L2180" s="1"/>
      <c r="M2180" s="1"/>
      <c r="N2180" s="1"/>
      <c r="O2180" s="1"/>
      <c r="P2180" s="1"/>
      <c r="Q2180" s="1"/>
      <c r="R2180" s="1"/>
      <c r="S2180" s="1"/>
      <c r="T2180" s="1"/>
      <c r="U2180" s="1"/>
      <c r="V2180" s="1"/>
      <c r="W2180" s="1"/>
      <c r="X2180" s="1"/>
      <c r="Y2180" s="1"/>
      <c r="Z2180" s="1"/>
      <c r="AA2180" s="1"/>
      <c r="AB2180" s="1"/>
      <c r="AC2180" s="1"/>
      <c r="AD2180" s="1"/>
      <c r="AE2180" s="1"/>
      <c r="AF2180" s="1"/>
    </row>
    <row r="2181" spans="7:32" x14ac:dyDescent="0.2">
      <c r="G2181" s="2"/>
      <c r="H2181" s="1"/>
      <c r="I2181" s="1"/>
      <c r="J2181" s="1"/>
      <c r="K2181" s="1"/>
      <c r="L2181" s="1"/>
      <c r="M2181" s="1"/>
      <c r="N2181" s="1"/>
      <c r="O2181" s="1"/>
      <c r="P2181" s="1"/>
      <c r="Q2181" s="1"/>
      <c r="R2181" s="1"/>
      <c r="S2181" s="1"/>
      <c r="T2181" s="1"/>
      <c r="U2181" s="1"/>
      <c r="V2181" s="1"/>
      <c r="W2181" s="1"/>
      <c r="X2181" s="1"/>
      <c r="Y2181" s="1"/>
      <c r="Z2181" s="1"/>
      <c r="AA2181" s="1"/>
      <c r="AB2181" s="1"/>
      <c r="AC2181" s="1"/>
      <c r="AD2181" s="1"/>
      <c r="AE2181" s="1"/>
      <c r="AF2181" s="1"/>
    </row>
    <row r="2182" spans="7:32" x14ac:dyDescent="0.2">
      <c r="G2182" s="2"/>
      <c r="H2182" s="1"/>
      <c r="I2182" s="1"/>
      <c r="J2182" s="1"/>
      <c r="K2182" s="1"/>
      <c r="L2182" s="1"/>
      <c r="M2182" s="1"/>
      <c r="N2182" s="1"/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/>
      <c r="Z2182" s="1"/>
      <c r="AA2182" s="1"/>
      <c r="AB2182" s="1"/>
      <c r="AC2182" s="1"/>
      <c r="AD2182" s="1"/>
      <c r="AE2182" s="1"/>
      <c r="AF2182" s="1"/>
    </row>
    <row r="2183" spans="7:32" x14ac:dyDescent="0.2">
      <c r="G2183" s="2"/>
      <c r="H2183" s="1"/>
      <c r="I2183" s="1"/>
      <c r="J2183" s="1"/>
      <c r="K2183" s="1"/>
      <c r="L2183" s="1"/>
      <c r="M2183" s="1"/>
      <c r="N2183" s="1"/>
      <c r="O2183" s="1"/>
      <c r="P2183" s="1"/>
      <c r="Q2183" s="1"/>
      <c r="R2183" s="1"/>
      <c r="S2183" s="1"/>
      <c r="T2183" s="1"/>
      <c r="U2183" s="1"/>
      <c r="V2183" s="1"/>
      <c r="W2183" s="1"/>
      <c r="X2183" s="1"/>
      <c r="Y2183" s="1"/>
      <c r="Z2183" s="1"/>
      <c r="AA2183" s="1"/>
      <c r="AB2183" s="1"/>
      <c r="AC2183" s="1"/>
      <c r="AD2183" s="1"/>
      <c r="AE2183" s="1"/>
      <c r="AF2183" s="1"/>
    </row>
    <row r="2184" spans="7:32" x14ac:dyDescent="0.2">
      <c r="G2184" s="2"/>
      <c r="H2184" s="1"/>
      <c r="I2184" s="1"/>
      <c r="J2184" s="1"/>
      <c r="K2184" s="1"/>
      <c r="L2184" s="1"/>
      <c r="M2184" s="1"/>
      <c r="N2184" s="1"/>
      <c r="O2184" s="1"/>
      <c r="P2184" s="1"/>
      <c r="Q2184" s="1"/>
      <c r="R2184" s="1"/>
      <c r="S2184" s="1"/>
      <c r="T2184" s="1"/>
      <c r="U2184" s="1"/>
      <c r="V2184" s="1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</row>
    <row r="2185" spans="7:32" x14ac:dyDescent="0.2">
      <c r="G2185" s="2"/>
      <c r="H2185" s="1"/>
      <c r="I2185" s="1"/>
      <c r="J2185" s="1"/>
      <c r="K2185" s="1"/>
      <c r="L2185" s="1"/>
      <c r="M2185" s="1"/>
      <c r="N2185" s="1"/>
      <c r="O2185" s="1"/>
      <c r="P2185" s="1"/>
      <c r="Q2185" s="1"/>
      <c r="R2185" s="1"/>
      <c r="S2185" s="1"/>
      <c r="T2185" s="1"/>
      <c r="U2185" s="1"/>
      <c r="V2185" s="1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</row>
    <row r="2186" spans="7:32" x14ac:dyDescent="0.2">
      <c r="G2186" s="2"/>
      <c r="H2186" s="1"/>
      <c r="I2186" s="1"/>
      <c r="J2186" s="1"/>
      <c r="K2186" s="1"/>
      <c r="L2186" s="1"/>
      <c r="M2186" s="1"/>
      <c r="N2186" s="1"/>
      <c r="O2186" s="1"/>
      <c r="P2186" s="1"/>
      <c r="Q2186" s="1"/>
      <c r="R2186" s="1"/>
      <c r="S2186" s="1"/>
      <c r="T2186" s="1"/>
      <c r="U2186" s="1"/>
      <c r="V2186" s="1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</row>
    <row r="2187" spans="7:32" x14ac:dyDescent="0.2">
      <c r="G2187" s="2"/>
      <c r="H2187" s="1"/>
      <c r="I2187" s="1"/>
      <c r="J2187" s="1"/>
      <c r="K2187" s="1"/>
      <c r="L2187" s="1"/>
      <c r="M2187" s="1"/>
      <c r="N2187" s="1"/>
      <c r="O2187" s="1"/>
      <c r="P2187" s="1"/>
      <c r="Q2187" s="1"/>
      <c r="R2187" s="1"/>
      <c r="S2187" s="1"/>
      <c r="T2187" s="1"/>
      <c r="U2187" s="1"/>
      <c r="V2187" s="1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</row>
    <row r="2188" spans="7:32" x14ac:dyDescent="0.2">
      <c r="G2188" s="2"/>
      <c r="H2188" s="1"/>
      <c r="I2188" s="1"/>
      <c r="J2188" s="1"/>
      <c r="K2188" s="1"/>
      <c r="L2188" s="1"/>
      <c r="M2188" s="1"/>
      <c r="N2188" s="1"/>
      <c r="O2188" s="1"/>
      <c r="P2188" s="1"/>
      <c r="Q2188" s="1"/>
      <c r="R2188" s="1"/>
      <c r="S2188" s="1"/>
      <c r="T2188" s="1"/>
      <c r="U2188" s="1"/>
      <c r="V2188" s="1"/>
      <c r="W2188" s="1"/>
      <c r="X2188" s="1"/>
      <c r="Y2188" s="1"/>
      <c r="Z2188" s="1"/>
      <c r="AA2188" s="1"/>
      <c r="AB2188" s="1"/>
      <c r="AC2188" s="1"/>
      <c r="AD2188" s="1"/>
      <c r="AE2188" s="1"/>
      <c r="AF2188" s="1"/>
    </row>
    <row r="2189" spans="7:32" x14ac:dyDescent="0.2">
      <c r="G2189" s="2"/>
      <c r="H2189" s="1"/>
      <c r="I2189" s="1"/>
      <c r="J2189" s="1"/>
      <c r="K2189" s="1"/>
      <c r="L2189" s="1"/>
      <c r="M2189" s="1"/>
      <c r="N2189" s="1"/>
      <c r="O2189" s="1"/>
      <c r="P2189" s="1"/>
      <c r="Q2189" s="1"/>
      <c r="R2189" s="1"/>
      <c r="S2189" s="1"/>
      <c r="T2189" s="1"/>
      <c r="U2189" s="1"/>
      <c r="V2189" s="1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</row>
    <row r="2190" spans="7:32" x14ac:dyDescent="0.2">
      <c r="G2190" s="2"/>
      <c r="H2190" s="1"/>
      <c r="I2190" s="1"/>
      <c r="J2190" s="1"/>
      <c r="K2190" s="1"/>
      <c r="L2190" s="1"/>
      <c r="M2190" s="1"/>
      <c r="N2190" s="1"/>
      <c r="O2190" s="1"/>
      <c r="P2190" s="1"/>
      <c r="Q2190" s="1"/>
      <c r="R2190" s="1"/>
      <c r="S2190" s="1"/>
      <c r="T2190" s="1"/>
      <c r="U2190" s="1"/>
      <c r="V2190" s="1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</row>
    <row r="2191" spans="7:32" x14ac:dyDescent="0.2">
      <c r="G2191" s="2"/>
      <c r="H2191" s="1"/>
      <c r="I2191" s="1"/>
      <c r="J2191" s="1"/>
      <c r="K2191" s="1"/>
      <c r="L2191" s="1"/>
      <c r="M2191" s="1"/>
      <c r="N2191" s="1"/>
      <c r="O2191" s="1"/>
      <c r="P2191" s="1"/>
      <c r="Q2191" s="1"/>
      <c r="R2191" s="1"/>
      <c r="S2191" s="1"/>
      <c r="T2191" s="1"/>
      <c r="U2191" s="1"/>
      <c r="V2191" s="1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</row>
    <row r="2192" spans="7:32" x14ac:dyDescent="0.2">
      <c r="G2192" s="2"/>
      <c r="H2192" s="1"/>
      <c r="I2192" s="1"/>
      <c r="J2192" s="1"/>
      <c r="K2192" s="1"/>
      <c r="L2192" s="1"/>
      <c r="M2192" s="1"/>
      <c r="N2192" s="1"/>
      <c r="O2192" s="1"/>
      <c r="P2192" s="1"/>
      <c r="Q2192" s="1"/>
      <c r="R2192" s="1"/>
      <c r="S2192" s="1"/>
      <c r="T2192" s="1"/>
      <c r="U2192" s="1"/>
      <c r="V2192" s="1"/>
      <c r="W2192" s="1"/>
      <c r="X2192" s="1"/>
      <c r="Y2192" s="1"/>
      <c r="Z2192" s="1"/>
      <c r="AA2192" s="1"/>
      <c r="AB2192" s="1"/>
      <c r="AC2192" s="1"/>
      <c r="AD2192" s="1"/>
      <c r="AE2192" s="1"/>
      <c r="AF2192" s="1"/>
    </row>
    <row r="2193" spans="7:32" x14ac:dyDescent="0.2">
      <c r="G2193" s="2"/>
      <c r="H2193" s="1"/>
      <c r="I2193" s="1"/>
      <c r="J2193" s="1"/>
      <c r="K2193" s="1"/>
      <c r="L2193" s="1"/>
      <c r="M2193" s="1"/>
      <c r="N2193" s="1"/>
      <c r="O2193" s="1"/>
      <c r="P2193" s="1"/>
      <c r="Q2193" s="1"/>
      <c r="R2193" s="1"/>
      <c r="S2193" s="1"/>
      <c r="T2193" s="1"/>
      <c r="U2193" s="1"/>
      <c r="V2193" s="1"/>
      <c r="W2193" s="1"/>
      <c r="X2193" s="1"/>
      <c r="Y2193" s="1"/>
      <c r="Z2193" s="1"/>
      <c r="AA2193" s="1"/>
      <c r="AB2193" s="1"/>
      <c r="AC2193" s="1"/>
      <c r="AD2193" s="1"/>
      <c r="AE2193" s="1"/>
      <c r="AF2193" s="1"/>
    </row>
    <row r="2194" spans="7:32" x14ac:dyDescent="0.2">
      <c r="G2194" s="2"/>
      <c r="H2194" s="1"/>
      <c r="I2194" s="1"/>
      <c r="J2194" s="1"/>
      <c r="K2194" s="1"/>
      <c r="L2194" s="1"/>
      <c r="M2194" s="1"/>
      <c r="N2194" s="1"/>
      <c r="O2194" s="1"/>
      <c r="P2194" s="1"/>
      <c r="Q2194" s="1"/>
      <c r="R2194" s="1"/>
      <c r="S2194" s="1"/>
      <c r="T2194" s="1"/>
      <c r="U2194" s="1"/>
      <c r="V2194" s="1"/>
      <c r="W2194" s="1"/>
      <c r="X2194" s="1"/>
      <c r="Y2194" s="1"/>
      <c r="Z2194" s="1"/>
      <c r="AA2194" s="1"/>
      <c r="AB2194" s="1"/>
      <c r="AC2194" s="1"/>
      <c r="AD2194" s="1"/>
      <c r="AE2194" s="1"/>
      <c r="AF2194" s="1"/>
    </row>
    <row r="2195" spans="7:32" x14ac:dyDescent="0.2">
      <c r="G2195" s="2"/>
      <c r="H2195" s="1"/>
      <c r="I2195" s="1"/>
      <c r="J2195" s="1"/>
      <c r="K2195" s="1"/>
      <c r="L2195" s="1"/>
      <c r="M2195" s="1"/>
      <c r="N2195" s="1"/>
      <c r="O2195" s="1"/>
      <c r="P2195" s="1"/>
      <c r="Q2195" s="1"/>
      <c r="R2195" s="1"/>
      <c r="S2195" s="1"/>
      <c r="T2195" s="1"/>
      <c r="U2195" s="1"/>
      <c r="V2195" s="1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</row>
    <row r="2196" spans="7:32" x14ac:dyDescent="0.2">
      <c r="G2196" s="2"/>
      <c r="H2196" s="1"/>
      <c r="I2196" s="1"/>
      <c r="J2196" s="1"/>
      <c r="K2196" s="1"/>
      <c r="L2196" s="1"/>
      <c r="M2196" s="1"/>
      <c r="N2196" s="1"/>
      <c r="O2196" s="1"/>
      <c r="P2196" s="1"/>
      <c r="Q2196" s="1"/>
      <c r="R2196" s="1"/>
      <c r="S2196" s="1"/>
      <c r="T2196" s="1"/>
      <c r="U2196" s="1"/>
      <c r="V2196" s="1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</row>
    <row r="2197" spans="7:32" x14ac:dyDescent="0.2">
      <c r="G2197" s="2"/>
      <c r="H2197" s="1"/>
      <c r="I2197" s="1"/>
      <c r="J2197" s="1"/>
      <c r="K2197" s="1"/>
      <c r="L2197" s="1"/>
      <c r="M2197" s="1"/>
      <c r="N2197" s="1"/>
      <c r="O2197" s="1"/>
      <c r="P2197" s="1"/>
      <c r="Q2197" s="1"/>
      <c r="R2197" s="1"/>
      <c r="S2197" s="1"/>
      <c r="T2197" s="1"/>
      <c r="U2197" s="1"/>
      <c r="V2197" s="1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</row>
    <row r="2198" spans="7:32" x14ac:dyDescent="0.2">
      <c r="G2198" s="2"/>
      <c r="H2198" s="1"/>
      <c r="I2198" s="1"/>
      <c r="J2198" s="1"/>
      <c r="K2198" s="1"/>
      <c r="L2198" s="1"/>
      <c r="M2198" s="1"/>
      <c r="N2198" s="1"/>
      <c r="O2198" s="1"/>
      <c r="P2198" s="1"/>
      <c r="Q2198" s="1"/>
      <c r="R2198" s="1"/>
      <c r="S2198" s="1"/>
      <c r="T2198" s="1"/>
      <c r="U2198" s="1"/>
      <c r="V2198" s="1"/>
      <c r="W2198" s="1"/>
      <c r="X2198" s="1"/>
      <c r="Y2198" s="1"/>
      <c r="Z2198" s="1"/>
      <c r="AA2198" s="1"/>
      <c r="AB2198" s="1"/>
      <c r="AC2198" s="1"/>
      <c r="AD2198" s="1"/>
      <c r="AE2198" s="1"/>
      <c r="AF2198" s="1"/>
    </row>
    <row r="2199" spans="7:32" x14ac:dyDescent="0.2">
      <c r="G2199" s="2"/>
      <c r="H2199" s="1"/>
      <c r="I2199" s="1"/>
      <c r="J2199" s="1"/>
      <c r="K2199" s="1"/>
      <c r="L2199" s="1"/>
      <c r="M2199" s="1"/>
      <c r="N2199" s="1"/>
      <c r="O2199" s="1"/>
      <c r="P2199" s="1"/>
      <c r="Q2199" s="1"/>
      <c r="R2199" s="1"/>
      <c r="S2199" s="1"/>
      <c r="T2199" s="1"/>
      <c r="U2199" s="1"/>
      <c r="V2199" s="1"/>
      <c r="W2199" s="1"/>
      <c r="X2199" s="1"/>
      <c r="Y2199" s="1"/>
      <c r="Z2199" s="1"/>
      <c r="AA2199" s="1"/>
      <c r="AB2199" s="1"/>
      <c r="AC2199" s="1"/>
      <c r="AD2199" s="1"/>
      <c r="AE2199" s="1"/>
      <c r="AF2199" s="1"/>
    </row>
    <row r="2200" spans="7:32" x14ac:dyDescent="0.2">
      <c r="G2200" s="2"/>
      <c r="H2200" s="1"/>
      <c r="I2200" s="1"/>
      <c r="J2200" s="1"/>
      <c r="K2200" s="1"/>
      <c r="L2200" s="1"/>
      <c r="M2200" s="1"/>
      <c r="N2200" s="1"/>
      <c r="O2200" s="1"/>
      <c r="P2200" s="1"/>
      <c r="Q2200" s="1"/>
      <c r="R2200" s="1"/>
      <c r="S2200" s="1"/>
      <c r="T2200" s="1"/>
      <c r="U2200" s="1"/>
      <c r="V2200" s="1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</row>
    <row r="2201" spans="7:32" x14ac:dyDescent="0.2">
      <c r="G2201" s="2"/>
      <c r="H2201" s="1"/>
      <c r="I2201" s="1"/>
      <c r="J2201" s="1"/>
      <c r="K2201" s="1"/>
      <c r="L2201" s="1"/>
      <c r="M2201" s="1"/>
      <c r="N2201" s="1"/>
      <c r="O2201" s="1"/>
      <c r="P2201" s="1"/>
      <c r="Q2201" s="1"/>
      <c r="R2201" s="1"/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</row>
    <row r="2202" spans="7:32" x14ac:dyDescent="0.2">
      <c r="G2202" s="2"/>
      <c r="H2202" s="1"/>
      <c r="I2202" s="1"/>
      <c r="J2202" s="1"/>
      <c r="K2202" s="1"/>
      <c r="L2202" s="1"/>
      <c r="M2202" s="1"/>
      <c r="N2202" s="1"/>
      <c r="O2202" s="1"/>
      <c r="P2202" s="1"/>
      <c r="Q2202" s="1"/>
      <c r="R2202" s="1"/>
      <c r="S2202" s="1"/>
      <c r="T2202" s="1"/>
      <c r="U2202" s="1"/>
      <c r="V2202" s="1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</row>
    <row r="2203" spans="7:32" x14ac:dyDescent="0.2">
      <c r="G2203" s="2"/>
      <c r="H2203" s="1"/>
      <c r="I2203" s="1"/>
      <c r="J2203" s="1"/>
      <c r="K2203" s="1"/>
      <c r="L2203" s="1"/>
      <c r="M2203" s="1"/>
      <c r="N2203" s="1"/>
      <c r="O2203" s="1"/>
      <c r="P2203" s="1"/>
      <c r="Q2203" s="1"/>
      <c r="R2203" s="1"/>
      <c r="S2203" s="1"/>
      <c r="T2203" s="1"/>
      <c r="U2203" s="1"/>
      <c r="V2203" s="1"/>
      <c r="W2203" s="1"/>
      <c r="X2203" s="1"/>
      <c r="Y2203" s="1"/>
      <c r="Z2203" s="1"/>
      <c r="AA2203" s="1"/>
      <c r="AB2203" s="1"/>
      <c r="AC2203" s="1"/>
      <c r="AD2203" s="1"/>
      <c r="AE2203" s="1"/>
      <c r="AF2203" s="1"/>
    </row>
    <row r="2204" spans="7:32" x14ac:dyDescent="0.2">
      <c r="G2204" s="2"/>
      <c r="H2204" s="1"/>
      <c r="I2204" s="1"/>
      <c r="J2204" s="1"/>
      <c r="K2204" s="1"/>
      <c r="L2204" s="1"/>
      <c r="M2204" s="1"/>
      <c r="N2204" s="1"/>
      <c r="O2204" s="1"/>
      <c r="P2204" s="1"/>
      <c r="Q2204" s="1"/>
      <c r="R2204" s="1"/>
      <c r="S2204" s="1"/>
      <c r="T2204" s="1"/>
      <c r="U2204" s="1"/>
      <c r="V2204" s="1"/>
      <c r="W2204" s="1"/>
      <c r="X2204" s="1"/>
      <c r="Y2204" s="1"/>
      <c r="Z2204" s="1"/>
      <c r="AA2204" s="1"/>
      <c r="AB2204" s="1"/>
      <c r="AC2204" s="1"/>
      <c r="AD2204" s="1"/>
      <c r="AE2204" s="1"/>
      <c r="AF2204" s="1"/>
    </row>
    <row r="2205" spans="7:32" x14ac:dyDescent="0.2">
      <c r="G2205" s="2"/>
      <c r="H2205" s="1"/>
      <c r="I2205" s="1"/>
      <c r="J2205" s="1"/>
      <c r="K2205" s="1"/>
      <c r="L2205" s="1"/>
      <c r="M2205" s="1"/>
      <c r="N2205" s="1"/>
      <c r="O2205" s="1"/>
      <c r="P2205" s="1"/>
      <c r="Q2205" s="1"/>
      <c r="R2205" s="1"/>
      <c r="S2205" s="1"/>
      <c r="T2205" s="1"/>
      <c r="U2205" s="1"/>
      <c r="V2205" s="1"/>
      <c r="W2205" s="1"/>
      <c r="X2205" s="1"/>
      <c r="Y2205" s="1"/>
      <c r="Z2205" s="1"/>
      <c r="AA2205" s="1"/>
      <c r="AB2205" s="1"/>
      <c r="AC2205" s="1"/>
      <c r="AD2205" s="1"/>
      <c r="AE2205" s="1"/>
      <c r="AF2205" s="1"/>
    </row>
    <row r="2206" spans="7:32" x14ac:dyDescent="0.2">
      <c r="G2206" s="2"/>
      <c r="H2206" s="1"/>
      <c r="I2206" s="1"/>
      <c r="J2206" s="1"/>
      <c r="K2206" s="1"/>
      <c r="L2206" s="1"/>
      <c r="M2206" s="1"/>
      <c r="N2206" s="1"/>
      <c r="O2206" s="1"/>
      <c r="P2206" s="1"/>
      <c r="Q2206" s="1"/>
      <c r="R2206" s="1"/>
      <c r="S2206" s="1"/>
      <c r="T2206" s="1"/>
      <c r="U2206" s="1"/>
      <c r="V2206" s="1"/>
      <c r="W2206" s="1"/>
      <c r="X2206" s="1"/>
      <c r="Y2206" s="1"/>
      <c r="Z2206" s="1"/>
      <c r="AA2206" s="1"/>
      <c r="AB2206" s="1"/>
      <c r="AC2206" s="1"/>
      <c r="AD2206" s="1"/>
      <c r="AE2206" s="1"/>
      <c r="AF2206" s="1"/>
    </row>
    <row r="2207" spans="7:32" x14ac:dyDescent="0.2">
      <c r="G2207" s="2"/>
      <c r="H2207" s="1"/>
      <c r="I2207" s="1"/>
      <c r="J2207" s="1"/>
      <c r="K2207" s="1"/>
      <c r="L2207" s="1"/>
      <c r="M2207" s="1"/>
      <c r="N2207" s="1"/>
      <c r="O2207" s="1"/>
      <c r="P2207" s="1"/>
      <c r="Q2207" s="1"/>
      <c r="R2207" s="1"/>
      <c r="S2207" s="1"/>
      <c r="T2207" s="1"/>
      <c r="U2207" s="1"/>
      <c r="V2207" s="1"/>
      <c r="W2207" s="1"/>
      <c r="X2207" s="1"/>
      <c r="Y2207" s="1"/>
      <c r="Z2207" s="1"/>
      <c r="AA2207" s="1"/>
      <c r="AB2207" s="1"/>
      <c r="AC2207" s="1"/>
      <c r="AD2207" s="1"/>
      <c r="AE2207" s="1"/>
      <c r="AF2207" s="1"/>
    </row>
    <row r="2208" spans="7:32" x14ac:dyDescent="0.2">
      <c r="G2208" s="2"/>
      <c r="H2208" s="1"/>
      <c r="I2208" s="1"/>
      <c r="J2208" s="1"/>
      <c r="K2208" s="1"/>
      <c r="L2208" s="1"/>
      <c r="M2208" s="1"/>
      <c r="N2208" s="1"/>
      <c r="O2208" s="1"/>
      <c r="P2208" s="1"/>
      <c r="Q2208" s="1"/>
      <c r="R2208" s="1"/>
      <c r="S2208" s="1"/>
      <c r="T2208" s="1"/>
      <c r="U2208" s="1"/>
      <c r="V2208" s="1"/>
      <c r="W2208" s="1"/>
      <c r="X2208" s="1"/>
      <c r="Y2208" s="1"/>
      <c r="Z2208" s="1"/>
      <c r="AA2208" s="1"/>
      <c r="AB2208" s="1"/>
      <c r="AC2208" s="1"/>
      <c r="AD2208" s="1"/>
      <c r="AE2208" s="1"/>
      <c r="AF2208" s="1"/>
    </row>
    <row r="2209" spans="7:32" x14ac:dyDescent="0.2">
      <c r="G2209" s="2"/>
      <c r="H2209" s="1"/>
      <c r="I2209" s="1"/>
      <c r="J2209" s="1"/>
      <c r="K2209" s="1"/>
      <c r="L2209" s="1"/>
      <c r="M2209" s="1"/>
      <c r="N2209" s="1"/>
      <c r="O2209" s="1"/>
      <c r="P2209" s="1"/>
      <c r="Q2209" s="1"/>
      <c r="R2209" s="1"/>
      <c r="S2209" s="1"/>
      <c r="T2209" s="1"/>
      <c r="U2209" s="1"/>
      <c r="V2209" s="1"/>
      <c r="W2209" s="1"/>
      <c r="X2209" s="1"/>
      <c r="Y2209" s="1"/>
      <c r="Z2209" s="1"/>
      <c r="AA2209" s="1"/>
      <c r="AB2209" s="1"/>
      <c r="AC2209" s="1"/>
      <c r="AD2209" s="1"/>
      <c r="AE2209" s="1"/>
      <c r="AF2209" s="1"/>
    </row>
    <row r="2210" spans="7:32" x14ac:dyDescent="0.2">
      <c r="G2210" s="2"/>
      <c r="H2210" s="1"/>
      <c r="I2210" s="1"/>
      <c r="J2210" s="1"/>
      <c r="K2210" s="1"/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/>
      <c r="W2210" s="1"/>
      <c r="X2210" s="1"/>
      <c r="Y2210" s="1"/>
      <c r="Z2210" s="1"/>
      <c r="AA2210" s="1"/>
      <c r="AB2210" s="1"/>
      <c r="AC2210" s="1"/>
      <c r="AD2210" s="1"/>
      <c r="AE2210" s="1"/>
      <c r="AF2210" s="1"/>
    </row>
    <row r="2211" spans="7:32" x14ac:dyDescent="0.2">
      <c r="G2211" s="2"/>
      <c r="H2211" s="1"/>
      <c r="I2211" s="1"/>
      <c r="J2211" s="1"/>
      <c r="K2211" s="1"/>
      <c r="L2211" s="1"/>
      <c r="M2211" s="1"/>
      <c r="N2211" s="1"/>
      <c r="O2211" s="1"/>
      <c r="P2211" s="1"/>
      <c r="Q2211" s="1"/>
      <c r="R2211" s="1"/>
      <c r="S2211" s="1"/>
      <c r="T2211" s="1"/>
      <c r="U2211" s="1"/>
      <c r="V2211" s="1"/>
      <c r="W2211" s="1"/>
      <c r="X2211" s="1"/>
      <c r="Y2211" s="1"/>
      <c r="Z2211" s="1"/>
      <c r="AA2211" s="1"/>
      <c r="AB2211" s="1"/>
      <c r="AC2211" s="1"/>
      <c r="AD2211" s="1"/>
      <c r="AE2211" s="1"/>
      <c r="AF2211" s="1"/>
    </row>
    <row r="2212" spans="7:32" x14ac:dyDescent="0.2">
      <c r="G2212" s="2"/>
      <c r="H2212" s="1"/>
      <c r="I2212" s="1"/>
      <c r="J2212" s="1"/>
      <c r="K2212" s="1"/>
      <c r="L2212" s="1"/>
      <c r="M2212" s="1"/>
      <c r="N2212" s="1"/>
      <c r="O2212" s="1"/>
      <c r="P2212" s="1"/>
      <c r="Q2212" s="1"/>
      <c r="R2212" s="1"/>
      <c r="S2212" s="1"/>
      <c r="T2212" s="1"/>
      <c r="U2212" s="1"/>
      <c r="V2212" s="1"/>
      <c r="W2212" s="1"/>
      <c r="X2212" s="1"/>
      <c r="Y2212" s="1"/>
      <c r="Z2212" s="1"/>
      <c r="AA2212" s="1"/>
      <c r="AB2212" s="1"/>
      <c r="AC2212" s="1"/>
      <c r="AD2212" s="1"/>
      <c r="AE2212" s="1"/>
      <c r="AF2212" s="1"/>
    </row>
    <row r="2213" spans="7:32" x14ac:dyDescent="0.2">
      <c r="G2213" s="2"/>
      <c r="H2213" s="1"/>
      <c r="I2213" s="1"/>
      <c r="J2213" s="1"/>
      <c r="K2213" s="1"/>
      <c r="L2213" s="1"/>
      <c r="M2213" s="1"/>
      <c r="N2213" s="1"/>
      <c r="O2213" s="1"/>
      <c r="P2213" s="1"/>
      <c r="Q2213" s="1"/>
      <c r="R2213" s="1"/>
      <c r="S2213" s="1"/>
      <c r="T2213" s="1"/>
      <c r="U2213" s="1"/>
      <c r="V2213" s="1"/>
      <c r="W2213" s="1"/>
      <c r="X2213" s="1"/>
      <c r="Y2213" s="1"/>
      <c r="Z2213" s="1"/>
      <c r="AA2213" s="1"/>
      <c r="AB2213" s="1"/>
      <c r="AC2213" s="1"/>
      <c r="AD2213" s="1"/>
      <c r="AE2213" s="1"/>
      <c r="AF2213" s="1"/>
    </row>
    <row r="2214" spans="7:32" x14ac:dyDescent="0.2">
      <c r="G2214" s="2"/>
      <c r="H2214" s="1"/>
      <c r="I2214" s="1"/>
      <c r="J2214" s="1"/>
      <c r="K2214" s="1"/>
      <c r="L2214" s="1"/>
      <c r="M2214" s="1"/>
      <c r="N2214" s="1"/>
      <c r="O2214" s="1"/>
      <c r="P2214" s="1"/>
      <c r="Q2214" s="1"/>
      <c r="R2214" s="1"/>
      <c r="S2214" s="1"/>
      <c r="T2214" s="1"/>
      <c r="U2214" s="1"/>
      <c r="V2214" s="1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</row>
    <row r="2215" spans="7:32" x14ac:dyDescent="0.2">
      <c r="G2215" s="2"/>
      <c r="H2215" s="1"/>
      <c r="I2215" s="1"/>
      <c r="J2215" s="1"/>
      <c r="K2215" s="1"/>
      <c r="L2215" s="1"/>
      <c r="M2215" s="1"/>
      <c r="N2215" s="1"/>
      <c r="O2215" s="1"/>
      <c r="P2215" s="1"/>
      <c r="Q2215" s="1"/>
      <c r="R2215" s="1"/>
      <c r="S2215" s="1"/>
      <c r="T2215" s="1"/>
      <c r="U2215" s="1"/>
      <c r="V2215" s="1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</row>
    <row r="2216" spans="7:32" x14ac:dyDescent="0.2">
      <c r="G2216" s="2"/>
      <c r="H2216" s="1"/>
      <c r="I2216" s="1"/>
      <c r="J2216" s="1"/>
      <c r="K2216" s="1"/>
      <c r="L2216" s="1"/>
      <c r="M2216" s="1"/>
      <c r="N2216" s="1"/>
      <c r="O2216" s="1"/>
      <c r="P2216" s="1"/>
      <c r="Q2216" s="1"/>
      <c r="R2216" s="1"/>
      <c r="S2216" s="1"/>
      <c r="T2216" s="1"/>
      <c r="U2216" s="1"/>
      <c r="V2216" s="1"/>
      <c r="W2216" s="1"/>
      <c r="X2216" s="1"/>
      <c r="Y2216" s="1"/>
      <c r="Z2216" s="1"/>
      <c r="AA2216" s="1"/>
      <c r="AB2216" s="1"/>
      <c r="AC2216" s="1"/>
      <c r="AD2216" s="1"/>
      <c r="AE2216" s="1"/>
      <c r="AF2216" s="1"/>
    </row>
    <row r="2217" spans="7:32" x14ac:dyDescent="0.2">
      <c r="G2217" s="2"/>
      <c r="H2217" s="1"/>
      <c r="I2217" s="1"/>
      <c r="J2217" s="1"/>
      <c r="K2217" s="1"/>
      <c r="L2217" s="1"/>
      <c r="M2217" s="1"/>
      <c r="N2217" s="1"/>
      <c r="O2217" s="1"/>
      <c r="P2217" s="1"/>
      <c r="Q2217" s="1"/>
      <c r="R2217" s="1"/>
      <c r="S2217" s="1"/>
      <c r="T2217" s="1"/>
      <c r="U2217" s="1"/>
      <c r="V2217" s="1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</row>
    <row r="2218" spans="7:32" x14ac:dyDescent="0.2">
      <c r="G2218" s="2"/>
      <c r="H2218" s="1"/>
      <c r="I2218" s="1"/>
      <c r="J2218" s="1"/>
      <c r="K2218" s="1"/>
      <c r="L2218" s="1"/>
      <c r="M2218" s="1"/>
      <c r="N2218" s="1"/>
      <c r="O2218" s="1"/>
      <c r="P2218" s="1"/>
      <c r="Q2218" s="1"/>
      <c r="R2218" s="1"/>
      <c r="S2218" s="1"/>
      <c r="T2218" s="1"/>
      <c r="U2218" s="1"/>
      <c r="V2218" s="1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</row>
    <row r="2219" spans="7:32" x14ac:dyDescent="0.2">
      <c r="G2219" s="2"/>
      <c r="H2219" s="1"/>
      <c r="I2219" s="1"/>
      <c r="J2219" s="1"/>
      <c r="K2219" s="1"/>
      <c r="L2219" s="1"/>
      <c r="M2219" s="1"/>
      <c r="N2219" s="1"/>
      <c r="O2219" s="1"/>
      <c r="P2219" s="1"/>
      <c r="Q2219" s="1"/>
      <c r="R2219" s="1"/>
      <c r="S2219" s="1"/>
      <c r="T2219" s="1"/>
      <c r="U2219" s="1"/>
      <c r="V2219" s="1"/>
      <c r="W2219" s="1"/>
      <c r="X2219" s="1"/>
      <c r="Y2219" s="1"/>
      <c r="Z2219" s="1"/>
      <c r="AA2219" s="1"/>
      <c r="AB2219" s="1"/>
      <c r="AC2219" s="1"/>
      <c r="AD2219" s="1"/>
      <c r="AE2219" s="1"/>
      <c r="AF2219" s="1"/>
    </row>
    <row r="2220" spans="7:32" x14ac:dyDescent="0.2">
      <c r="G2220" s="2"/>
      <c r="H2220" s="1"/>
      <c r="I2220" s="1"/>
      <c r="J2220" s="1"/>
      <c r="K2220" s="1"/>
      <c r="L2220" s="1"/>
      <c r="M2220" s="1"/>
      <c r="N2220" s="1"/>
      <c r="O2220" s="1"/>
      <c r="P2220" s="1"/>
      <c r="Q2220" s="1"/>
      <c r="R2220" s="1"/>
      <c r="S2220" s="1"/>
      <c r="T2220" s="1"/>
      <c r="U2220" s="1"/>
      <c r="V2220" s="1"/>
      <c r="W2220" s="1"/>
      <c r="X2220" s="1"/>
      <c r="Y2220" s="1"/>
      <c r="Z2220" s="1"/>
      <c r="AA2220" s="1"/>
      <c r="AB2220" s="1"/>
      <c r="AC2220" s="1"/>
      <c r="AD2220" s="1"/>
      <c r="AE2220" s="1"/>
      <c r="AF2220" s="1"/>
    </row>
    <row r="2221" spans="7:32" x14ac:dyDescent="0.2">
      <c r="G2221" s="2"/>
      <c r="H2221" s="1"/>
      <c r="I2221" s="1"/>
      <c r="J2221" s="1"/>
      <c r="K2221" s="1"/>
      <c r="L2221" s="1"/>
      <c r="M2221" s="1"/>
      <c r="N2221" s="1"/>
      <c r="O2221" s="1"/>
      <c r="P2221" s="1"/>
      <c r="Q2221" s="1"/>
      <c r="R2221" s="1"/>
      <c r="S2221" s="1"/>
      <c r="T2221" s="1"/>
      <c r="U2221" s="1"/>
      <c r="V2221" s="1"/>
      <c r="W2221" s="1"/>
      <c r="X2221" s="1"/>
      <c r="Y2221" s="1"/>
      <c r="Z2221" s="1"/>
      <c r="AA2221" s="1"/>
      <c r="AB2221" s="1"/>
      <c r="AC2221" s="1"/>
      <c r="AD2221" s="1"/>
      <c r="AE2221" s="1"/>
      <c r="AF2221" s="1"/>
    </row>
    <row r="2222" spans="7:32" x14ac:dyDescent="0.2">
      <c r="G2222" s="2"/>
      <c r="H2222" s="1"/>
      <c r="I2222" s="1"/>
      <c r="J2222" s="1"/>
      <c r="K2222" s="1"/>
      <c r="L2222" s="1"/>
      <c r="M2222" s="1"/>
      <c r="N2222" s="1"/>
      <c r="O2222" s="1"/>
      <c r="P2222" s="1"/>
      <c r="Q2222" s="1"/>
      <c r="R2222" s="1"/>
      <c r="S2222" s="1"/>
      <c r="T2222" s="1"/>
      <c r="U2222" s="1"/>
      <c r="V2222" s="1"/>
      <c r="W2222" s="1"/>
      <c r="X2222" s="1"/>
      <c r="Y2222" s="1"/>
      <c r="Z2222" s="1"/>
      <c r="AA2222" s="1"/>
      <c r="AB2222" s="1"/>
      <c r="AC2222" s="1"/>
      <c r="AD2222" s="1"/>
      <c r="AE2222" s="1"/>
      <c r="AF2222" s="1"/>
    </row>
    <row r="2223" spans="7:32" x14ac:dyDescent="0.2">
      <c r="G2223" s="2"/>
      <c r="H2223" s="1"/>
      <c r="I2223" s="1"/>
      <c r="J2223" s="1"/>
      <c r="K2223" s="1"/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  <c r="X2223" s="1"/>
      <c r="Y2223" s="1"/>
      <c r="Z2223" s="1"/>
      <c r="AA2223" s="1"/>
      <c r="AB2223" s="1"/>
      <c r="AC2223" s="1"/>
      <c r="AD2223" s="1"/>
      <c r="AE2223" s="1"/>
      <c r="AF2223" s="1"/>
    </row>
    <row r="2224" spans="7:32" x14ac:dyDescent="0.2">
      <c r="G2224" s="2"/>
      <c r="H2224" s="1"/>
      <c r="I2224" s="1"/>
      <c r="J2224" s="1"/>
      <c r="K2224" s="1"/>
      <c r="L2224" s="1"/>
      <c r="M2224" s="1"/>
      <c r="N2224" s="1"/>
      <c r="O2224" s="1"/>
      <c r="P2224" s="1"/>
      <c r="Q2224" s="1"/>
      <c r="R2224" s="1"/>
      <c r="S2224" s="1"/>
      <c r="T2224" s="1"/>
      <c r="U2224" s="1"/>
      <c r="V2224" s="1"/>
      <c r="W2224" s="1"/>
      <c r="X2224" s="1"/>
      <c r="Y2224" s="1"/>
      <c r="Z2224" s="1"/>
      <c r="AA2224" s="1"/>
      <c r="AB2224" s="1"/>
      <c r="AC2224" s="1"/>
      <c r="AD2224" s="1"/>
      <c r="AE2224" s="1"/>
      <c r="AF2224" s="1"/>
    </row>
    <row r="2225" spans="7:32" x14ac:dyDescent="0.2">
      <c r="G2225" s="2"/>
      <c r="H2225" s="1"/>
      <c r="I2225" s="1"/>
      <c r="J2225" s="1"/>
      <c r="K2225" s="1"/>
      <c r="L2225" s="1"/>
      <c r="M2225" s="1"/>
      <c r="N2225" s="1"/>
      <c r="O2225" s="1"/>
      <c r="P2225" s="1"/>
      <c r="Q2225" s="1"/>
      <c r="R2225" s="1"/>
      <c r="S2225" s="1"/>
      <c r="T2225" s="1"/>
      <c r="U2225" s="1"/>
      <c r="V2225" s="1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</row>
    <row r="2226" spans="7:32" x14ac:dyDescent="0.2">
      <c r="G2226" s="2"/>
      <c r="H2226" s="1"/>
      <c r="I2226" s="1"/>
      <c r="J2226" s="1"/>
      <c r="K2226" s="1"/>
      <c r="L2226" s="1"/>
      <c r="M2226" s="1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  <c r="AC2226" s="1"/>
      <c r="AD2226" s="1"/>
      <c r="AE2226" s="1"/>
      <c r="AF2226" s="1"/>
    </row>
    <row r="2227" spans="7:32" x14ac:dyDescent="0.2">
      <c r="G2227" s="2"/>
      <c r="H2227" s="1"/>
      <c r="I2227" s="1"/>
      <c r="J2227" s="1"/>
      <c r="K2227" s="1"/>
      <c r="L2227" s="1"/>
      <c r="M2227" s="1"/>
      <c r="N2227" s="1"/>
      <c r="O2227" s="1"/>
      <c r="P2227" s="1"/>
      <c r="Q2227" s="1"/>
      <c r="R2227" s="1"/>
      <c r="S2227" s="1"/>
      <c r="T2227" s="1"/>
      <c r="U2227" s="1"/>
      <c r="V2227" s="1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</row>
    <row r="2228" spans="7:32" x14ac:dyDescent="0.2">
      <c r="G2228" s="2"/>
      <c r="H2228" s="1"/>
      <c r="I2228" s="1"/>
      <c r="J2228" s="1"/>
      <c r="K2228" s="1"/>
      <c r="L2228" s="1"/>
      <c r="M2228" s="1"/>
      <c r="N2228" s="1"/>
      <c r="O2228" s="1"/>
      <c r="P2228" s="1"/>
      <c r="Q2228" s="1"/>
      <c r="R2228" s="1"/>
      <c r="S2228" s="1"/>
      <c r="T2228" s="1"/>
      <c r="U2228" s="1"/>
      <c r="V2228" s="1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</row>
    <row r="2229" spans="7:32" x14ac:dyDescent="0.2">
      <c r="G2229" s="2"/>
      <c r="H2229" s="1"/>
      <c r="I2229" s="1"/>
      <c r="J2229" s="1"/>
      <c r="K2229" s="1"/>
      <c r="L2229" s="1"/>
      <c r="M2229" s="1"/>
      <c r="N2229" s="1"/>
      <c r="O2229" s="1"/>
      <c r="P2229" s="1"/>
      <c r="Q2229" s="1"/>
      <c r="R2229" s="1"/>
      <c r="S2229" s="1"/>
      <c r="T2229" s="1"/>
      <c r="U2229" s="1"/>
      <c r="V2229" s="1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</row>
    <row r="2230" spans="7:32" x14ac:dyDescent="0.2">
      <c r="G2230" s="2"/>
      <c r="H2230" s="1"/>
      <c r="I2230" s="1"/>
      <c r="J2230" s="1"/>
      <c r="K2230" s="1"/>
      <c r="L2230" s="1"/>
      <c r="M2230" s="1"/>
      <c r="N2230" s="1"/>
      <c r="O2230" s="1"/>
      <c r="P2230" s="1"/>
      <c r="Q2230" s="1"/>
      <c r="R2230" s="1"/>
      <c r="S2230" s="1"/>
      <c r="T2230" s="1"/>
      <c r="U2230" s="1"/>
      <c r="V2230" s="1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</row>
    <row r="2231" spans="7:32" x14ac:dyDescent="0.2">
      <c r="G2231" s="2"/>
      <c r="H2231" s="1"/>
      <c r="I2231" s="1"/>
      <c r="J2231" s="1"/>
      <c r="K2231" s="1"/>
      <c r="L2231" s="1"/>
      <c r="M2231" s="1"/>
      <c r="N2231" s="1"/>
      <c r="O2231" s="1"/>
      <c r="P2231" s="1"/>
      <c r="Q2231" s="1"/>
      <c r="R2231" s="1"/>
      <c r="S2231" s="1"/>
      <c r="T2231" s="1"/>
      <c r="U2231" s="1"/>
      <c r="V2231" s="1"/>
      <c r="W2231" s="1"/>
      <c r="X2231" s="1"/>
      <c r="Y2231" s="1"/>
      <c r="Z2231" s="1"/>
      <c r="AA2231" s="1"/>
      <c r="AB2231" s="1"/>
      <c r="AC2231" s="1"/>
      <c r="AD2231" s="1"/>
      <c r="AE2231" s="1"/>
      <c r="AF2231" s="1"/>
    </row>
    <row r="2232" spans="7:32" x14ac:dyDescent="0.2">
      <c r="G2232" s="2"/>
      <c r="H2232" s="1"/>
      <c r="I2232" s="1"/>
      <c r="J2232" s="1"/>
      <c r="K2232" s="1"/>
      <c r="L2232" s="1"/>
      <c r="M2232" s="1"/>
      <c r="N2232" s="1"/>
      <c r="O2232" s="1"/>
      <c r="P2232" s="1"/>
      <c r="Q2232" s="1"/>
      <c r="R2232" s="1"/>
      <c r="S2232" s="1"/>
      <c r="T2232" s="1"/>
      <c r="U2232" s="1"/>
      <c r="V2232" s="1"/>
      <c r="W2232" s="1"/>
      <c r="X2232" s="1"/>
      <c r="Y2232" s="1"/>
      <c r="Z2232" s="1"/>
      <c r="AA2232" s="1"/>
      <c r="AB2232" s="1"/>
      <c r="AC2232" s="1"/>
      <c r="AD2232" s="1"/>
      <c r="AE2232" s="1"/>
      <c r="AF2232" s="1"/>
    </row>
    <row r="2233" spans="7:32" x14ac:dyDescent="0.2">
      <c r="G2233" s="2"/>
      <c r="H2233" s="1"/>
      <c r="I2233" s="1"/>
      <c r="J2233" s="1"/>
      <c r="K2233" s="1"/>
      <c r="L2233" s="1"/>
      <c r="M2233" s="1"/>
      <c r="N2233" s="1"/>
      <c r="O2233" s="1"/>
      <c r="P2233" s="1"/>
      <c r="Q2233" s="1"/>
      <c r="R2233" s="1"/>
      <c r="S2233" s="1"/>
      <c r="T2233" s="1"/>
      <c r="U2233" s="1"/>
      <c r="V2233" s="1"/>
      <c r="W2233" s="1"/>
      <c r="X2233" s="1"/>
      <c r="Y2233" s="1"/>
      <c r="Z2233" s="1"/>
      <c r="AA2233" s="1"/>
      <c r="AB2233" s="1"/>
      <c r="AC2233" s="1"/>
      <c r="AD2233" s="1"/>
      <c r="AE2233" s="1"/>
      <c r="AF2233" s="1"/>
    </row>
    <row r="2234" spans="7:32" x14ac:dyDescent="0.2">
      <c r="G2234" s="2"/>
      <c r="H2234" s="1"/>
      <c r="I2234" s="1"/>
      <c r="J2234" s="1"/>
      <c r="K2234" s="1"/>
      <c r="L2234" s="1"/>
      <c r="M2234" s="1"/>
      <c r="N2234" s="1"/>
      <c r="O2234" s="1"/>
      <c r="P2234" s="1"/>
      <c r="Q2234" s="1"/>
      <c r="R2234" s="1"/>
      <c r="S2234" s="1"/>
      <c r="T2234" s="1"/>
      <c r="U2234" s="1"/>
      <c r="V2234" s="1"/>
      <c r="W2234" s="1"/>
      <c r="X2234" s="1"/>
      <c r="Y2234" s="1"/>
      <c r="Z2234" s="1"/>
      <c r="AA2234" s="1"/>
      <c r="AB2234" s="1"/>
      <c r="AC2234" s="1"/>
      <c r="AD2234" s="1"/>
      <c r="AE2234" s="1"/>
      <c r="AF2234" s="1"/>
    </row>
    <row r="2235" spans="7:32" x14ac:dyDescent="0.2">
      <c r="G2235" s="2"/>
      <c r="H2235" s="1"/>
      <c r="I2235" s="1"/>
      <c r="J2235" s="1"/>
      <c r="K2235" s="1"/>
      <c r="L2235" s="1"/>
      <c r="M2235" s="1"/>
      <c r="N2235" s="1"/>
      <c r="O2235" s="1"/>
      <c r="P2235" s="1"/>
      <c r="Q2235" s="1"/>
      <c r="R2235" s="1"/>
      <c r="S2235" s="1"/>
      <c r="T2235" s="1"/>
      <c r="U2235" s="1"/>
      <c r="V2235" s="1"/>
      <c r="W2235" s="1"/>
      <c r="X2235" s="1"/>
      <c r="Y2235" s="1"/>
      <c r="Z2235" s="1"/>
      <c r="AA2235" s="1"/>
      <c r="AB2235" s="1"/>
      <c r="AC2235" s="1"/>
      <c r="AD2235" s="1"/>
      <c r="AE2235" s="1"/>
      <c r="AF2235" s="1"/>
    </row>
    <row r="2236" spans="7:32" x14ac:dyDescent="0.2">
      <c r="G2236" s="2"/>
      <c r="H2236" s="1"/>
      <c r="I2236" s="1"/>
      <c r="J2236" s="1"/>
      <c r="K2236" s="1"/>
      <c r="L2236" s="1"/>
      <c r="M2236" s="1"/>
      <c r="N2236" s="1"/>
      <c r="O2236" s="1"/>
      <c r="P2236" s="1"/>
      <c r="Q2236" s="1"/>
      <c r="R2236" s="1"/>
      <c r="S2236" s="1"/>
      <c r="T2236" s="1"/>
      <c r="U2236" s="1"/>
      <c r="V2236" s="1"/>
      <c r="W2236" s="1"/>
      <c r="X2236" s="1"/>
      <c r="Y2236" s="1"/>
      <c r="Z2236" s="1"/>
      <c r="AA2236" s="1"/>
      <c r="AB2236" s="1"/>
      <c r="AC2236" s="1"/>
      <c r="AD2236" s="1"/>
      <c r="AE2236" s="1"/>
      <c r="AF2236" s="1"/>
    </row>
    <row r="2237" spans="7:32" x14ac:dyDescent="0.2">
      <c r="G2237" s="2"/>
      <c r="H2237" s="1"/>
      <c r="I2237" s="1"/>
      <c r="J2237" s="1"/>
      <c r="K2237" s="1"/>
      <c r="L2237" s="1"/>
      <c r="M2237" s="1"/>
      <c r="N2237" s="1"/>
      <c r="O2237" s="1"/>
      <c r="P2237" s="1"/>
      <c r="Q2237" s="1"/>
      <c r="R2237" s="1"/>
      <c r="S2237" s="1"/>
      <c r="T2237" s="1"/>
      <c r="U2237" s="1"/>
      <c r="V2237" s="1"/>
      <c r="W2237" s="1"/>
      <c r="X2237" s="1"/>
      <c r="Y2237" s="1"/>
      <c r="Z2237" s="1"/>
      <c r="AA2237" s="1"/>
      <c r="AB2237" s="1"/>
      <c r="AC2237" s="1"/>
      <c r="AD2237" s="1"/>
      <c r="AE2237" s="1"/>
      <c r="AF2237" s="1"/>
    </row>
    <row r="2238" spans="7:32" x14ac:dyDescent="0.2">
      <c r="G2238" s="2"/>
      <c r="H2238" s="1"/>
      <c r="I2238" s="1"/>
      <c r="J2238" s="1"/>
      <c r="K2238" s="1"/>
      <c r="L2238" s="1"/>
      <c r="M2238" s="1"/>
      <c r="N2238" s="1"/>
      <c r="O2238" s="1"/>
      <c r="P2238" s="1"/>
      <c r="Q2238" s="1"/>
      <c r="R2238" s="1"/>
      <c r="S2238" s="1"/>
      <c r="T2238" s="1"/>
      <c r="U2238" s="1"/>
      <c r="V2238" s="1"/>
      <c r="W2238" s="1"/>
      <c r="X2238" s="1"/>
      <c r="Y2238" s="1"/>
      <c r="Z2238" s="1"/>
      <c r="AA2238" s="1"/>
      <c r="AB2238" s="1"/>
      <c r="AC2238" s="1"/>
      <c r="AD2238" s="1"/>
      <c r="AE2238" s="1"/>
      <c r="AF2238" s="1"/>
    </row>
    <row r="2239" spans="7:32" x14ac:dyDescent="0.2">
      <c r="G2239" s="2"/>
      <c r="H2239" s="1"/>
      <c r="I2239" s="1"/>
      <c r="J2239" s="1"/>
      <c r="K2239" s="1"/>
      <c r="L2239" s="1"/>
      <c r="M2239" s="1"/>
      <c r="N2239" s="1"/>
      <c r="O2239" s="1"/>
      <c r="P2239" s="1"/>
      <c r="Q2239" s="1"/>
      <c r="R2239" s="1"/>
      <c r="S2239" s="1"/>
      <c r="T2239" s="1"/>
      <c r="U2239" s="1"/>
      <c r="V2239" s="1"/>
      <c r="W2239" s="1"/>
      <c r="X2239" s="1"/>
      <c r="Y2239" s="1"/>
      <c r="Z2239" s="1"/>
      <c r="AA2239" s="1"/>
      <c r="AB2239" s="1"/>
      <c r="AC2239" s="1"/>
      <c r="AD2239" s="1"/>
      <c r="AE2239" s="1"/>
      <c r="AF2239" s="1"/>
    </row>
    <row r="2240" spans="7:32" x14ac:dyDescent="0.2">
      <c r="G2240" s="2"/>
      <c r="H2240" s="1"/>
      <c r="I2240" s="1"/>
      <c r="J2240" s="1"/>
      <c r="K2240" s="1"/>
      <c r="L2240" s="1"/>
      <c r="M2240" s="1"/>
      <c r="N2240" s="1"/>
      <c r="O2240" s="1"/>
      <c r="P2240" s="1"/>
      <c r="Q2240" s="1"/>
      <c r="R2240" s="1"/>
      <c r="S2240" s="1"/>
      <c r="T2240" s="1"/>
      <c r="U2240" s="1"/>
      <c r="V2240" s="1"/>
      <c r="W2240" s="1"/>
      <c r="X2240" s="1"/>
      <c r="Y2240" s="1"/>
      <c r="Z2240" s="1"/>
      <c r="AA2240" s="1"/>
      <c r="AB2240" s="1"/>
      <c r="AC2240" s="1"/>
      <c r="AD2240" s="1"/>
      <c r="AE2240" s="1"/>
      <c r="AF2240" s="1"/>
    </row>
    <row r="2241" spans="7:32" x14ac:dyDescent="0.2">
      <c r="G2241" s="2"/>
      <c r="H2241" s="1"/>
      <c r="I2241" s="1"/>
      <c r="J2241" s="1"/>
      <c r="K2241" s="1"/>
      <c r="L2241" s="1"/>
      <c r="M2241" s="1"/>
      <c r="N2241" s="1"/>
      <c r="O2241" s="1"/>
      <c r="P2241" s="1"/>
      <c r="Q2241" s="1"/>
      <c r="R2241" s="1"/>
      <c r="S2241" s="1"/>
      <c r="T2241" s="1"/>
      <c r="U2241" s="1"/>
      <c r="V2241" s="1"/>
      <c r="W2241" s="1"/>
      <c r="X2241" s="1"/>
      <c r="Y2241" s="1"/>
      <c r="Z2241" s="1"/>
      <c r="AA2241" s="1"/>
      <c r="AB2241" s="1"/>
      <c r="AC2241" s="1"/>
      <c r="AD2241" s="1"/>
      <c r="AE2241" s="1"/>
      <c r="AF2241" s="1"/>
    </row>
    <row r="2242" spans="7:32" x14ac:dyDescent="0.2">
      <c r="G2242" s="2"/>
      <c r="H2242" s="1"/>
      <c r="I2242" s="1"/>
      <c r="J2242" s="1"/>
      <c r="K2242" s="1"/>
      <c r="L2242" s="1"/>
      <c r="M2242" s="1"/>
      <c r="N2242" s="1"/>
      <c r="O2242" s="1"/>
      <c r="P2242" s="1"/>
      <c r="Q2242" s="1"/>
      <c r="R2242" s="1"/>
      <c r="S2242" s="1"/>
      <c r="T2242" s="1"/>
      <c r="U2242" s="1"/>
      <c r="V2242" s="1"/>
      <c r="W2242" s="1"/>
      <c r="X2242" s="1"/>
      <c r="Y2242" s="1"/>
      <c r="Z2242" s="1"/>
      <c r="AA2242" s="1"/>
      <c r="AB2242" s="1"/>
      <c r="AC2242" s="1"/>
      <c r="AD2242" s="1"/>
      <c r="AE2242" s="1"/>
      <c r="AF2242" s="1"/>
    </row>
    <row r="2243" spans="7:32" x14ac:dyDescent="0.2">
      <c r="G2243" s="2"/>
      <c r="H2243" s="1"/>
      <c r="I2243" s="1"/>
      <c r="J2243" s="1"/>
      <c r="K2243" s="1"/>
      <c r="L2243" s="1"/>
      <c r="M2243" s="1"/>
      <c r="N2243" s="1"/>
      <c r="O2243" s="1"/>
      <c r="P2243" s="1"/>
      <c r="Q2243" s="1"/>
      <c r="R2243" s="1"/>
      <c r="S2243" s="1"/>
      <c r="T2243" s="1"/>
      <c r="U2243" s="1"/>
      <c r="V2243" s="1"/>
      <c r="W2243" s="1"/>
      <c r="X2243" s="1"/>
      <c r="Y2243" s="1"/>
      <c r="Z2243" s="1"/>
      <c r="AA2243" s="1"/>
      <c r="AB2243" s="1"/>
      <c r="AC2243" s="1"/>
      <c r="AD2243" s="1"/>
      <c r="AE2243" s="1"/>
      <c r="AF2243" s="1"/>
    </row>
    <row r="2244" spans="7:32" x14ac:dyDescent="0.2">
      <c r="G2244" s="2"/>
      <c r="H2244" s="1"/>
      <c r="I2244" s="1"/>
      <c r="J2244" s="1"/>
      <c r="K2244" s="1"/>
      <c r="L2244" s="1"/>
      <c r="M2244" s="1"/>
      <c r="N2244" s="1"/>
      <c r="O2244" s="1"/>
      <c r="P2244" s="1"/>
      <c r="Q2244" s="1"/>
      <c r="R2244" s="1"/>
      <c r="S2244" s="1"/>
      <c r="T2244" s="1"/>
      <c r="U2244" s="1"/>
      <c r="V2244" s="1"/>
      <c r="W2244" s="1"/>
      <c r="X2244" s="1"/>
      <c r="Y2244" s="1"/>
      <c r="Z2244" s="1"/>
      <c r="AA2244" s="1"/>
      <c r="AB2244" s="1"/>
      <c r="AC2244" s="1"/>
      <c r="AD2244" s="1"/>
      <c r="AE2244" s="1"/>
      <c r="AF2244" s="1"/>
    </row>
    <row r="2245" spans="7:32" x14ac:dyDescent="0.2">
      <c r="G2245" s="2"/>
      <c r="H2245" s="1"/>
      <c r="I2245" s="1"/>
      <c r="J2245" s="1"/>
      <c r="K2245" s="1"/>
      <c r="L2245" s="1"/>
      <c r="M2245" s="1"/>
      <c r="N2245" s="1"/>
      <c r="O2245" s="1"/>
      <c r="P2245" s="1"/>
      <c r="Q2245" s="1"/>
      <c r="R2245" s="1"/>
      <c r="S2245" s="1"/>
      <c r="T2245" s="1"/>
      <c r="U2245" s="1"/>
      <c r="V2245" s="1"/>
      <c r="W2245" s="1"/>
      <c r="X2245" s="1"/>
      <c r="Y2245" s="1"/>
      <c r="Z2245" s="1"/>
      <c r="AA2245" s="1"/>
      <c r="AB2245" s="1"/>
      <c r="AC2245" s="1"/>
      <c r="AD2245" s="1"/>
      <c r="AE2245" s="1"/>
      <c r="AF2245" s="1"/>
    </row>
    <row r="2246" spans="7:32" x14ac:dyDescent="0.2">
      <c r="G2246" s="2"/>
      <c r="H2246" s="1"/>
      <c r="I2246" s="1"/>
      <c r="J2246" s="1"/>
      <c r="K2246" s="1"/>
      <c r="L2246" s="1"/>
      <c r="M2246" s="1"/>
      <c r="N2246" s="1"/>
      <c r="O2246" s="1"/>
      <c r="P2246" s="1"/>
      <c r="Q2246" s="1"/>
      <c r="R2246" s="1"/>
      <c r="S2246" s="1"/>
      <c r="T2246" s="1"/>
      <c r="U2246" s="1"/>
      <c r="V2246" s="1"/>
      <c r="W2246" s="1"/>
      <c r="X2246" s="1"/>
      <c r="Y2246" s="1"/>
      <c r="Z2246" s="1"/>
      <c r="AA2246" s="1"/>
      <c r="AB2246" s="1"/>
      <c r="AC2246" s="1"/>
      <c r="AD2246" s="1"/>
      <c r="AE2246" s="1"/>
      <c r="AF2246" s="1"/>
    </row>
    <row r="2247" spans="7:32" x14ac:dyDescent="0.2">
      <c r="G2247" s="2"/>
      <c r="H2247" s="1"/>
      <c r="I2247" s="1"/>
      <c r="J2247" s="1"/>
      <c r="K2247" s="1"/>
      <c r="L2247" s="1"/>
      <c r="M2247" s="1"/>
      <c r="N2247" s="1"/>
      <c r="O2247" s="1"/>
      <c r="P2247" s="1"/>
      <c r="Q2247" s="1"/>
      <c r="R2247" s="1"/>
      <c r="S2247" s="1"/>
      <c r="T2247" s="1"/>
      <c r="U2247" s="1"/>
      <c r="V2247" s="1"/>
      <c r="W2247" s="1"/>
      <c r="X2247" s="1"/>
      <c r="Y2247" s="1"/>
      <c r="Z2247" s="1"/>
      <c r="AA2247" s="1"/>
      <c r="AB2247" s="1"/>
      <c r="AC2247" s="1"/>
      <c r="AD2247" s="1"/>
      <c r="AE2247" s="1"/>
      <c r="AF2247" s="1"/>
    </row>
    <row r="2248" spans="7:32" x14ac:dyDescent="0.2">
      <c r="G2248" s="2"/>
      <c r="H2248" s="1"/>
      <c r="I2248" s="1"/>
      <c r="J2248" s="1"/>
      <c r="K2248" s="1"/>
      <c r="L2248" s="1"/>
      <c r="M2248" s="1"/>
      <c r="N2248" s="1"/>
      <c r="O2248" s="1"/>
      <c r="P2248" s="1"/>
      <c r="Q2248" s="1"/>
      <c r="R2248" s="1"/>
      <c r="S2248" s="1"/>
      <c r="T2248" s="1"/>
      <c r="U2248" s="1"/>
      <c r="V2248" s="1"/>
      <c r="W2248" s="1"/>
      <c r="X2248" s="1"/>
      <c r="Y2248" s="1"/>
      <c r="Z2248" s="1"/>
      <c r="AA2248" s="1"/>
      <c r="AB2248" s="1"/>
      <c r="AC2248" s="1"/>
      <c r="AD2248" s="1"/>
      <c r="AE2248" s="1"/>
      <c r="AF2248" s="1"/>
    </row>
    <row r="2249" spans="7:32" x14ac:dyDescent="0.2">
      <c r="G2249" s="2"/>
      <c r="H2249" s="1"/>
      <c r="I2249" s="1"/>
      <c r="J2249" s="1"/>
      <c r="K2249" s="1"/>
      <c r="L2249" s="1"/>
      <c r="M2249" s="1"/>
      <c r="N2249" s="1"/>
      <c r="O2249" s="1"/>
      <c r="P2249" s="1"/>
      <c r="Q2249" s="1"/>
      <c r="R2249" s="1"/>
      <c r="S2249" s="1"/>
      <c r="T2249" s="1"/>
      <c r="U2249" s="1"/>
      <c r="V2249" s="1"/>
      <c r="W2249" s="1"/>
      <c r="X2249" s="1"/>
      <c r="Y2249" s="1"/>
      <c r="Z2249" s="1"/>
      <c r="AA2249" s="1"/>
      <c r="AB2249" s="1"/>
      <c r="AC2249" s="1"/>
      <c r="AD2249" s="1"/>
      <c r="AE2249" s="1"/>
      <c r="AF2249" s="1"/>
    </row>
    <row r="2250" spans="7:32" x14ac:dyDescent="0.2">
      <c r="G2250" s="2"/>
      <c r="H2250" s="1"/>
      <c r="I2250" s="1"/>
      <c r="J2250" s="1"/>
      <c r="K2250" s="1"/>
      <c r="L2250" s="1"/>
      <c r="M2250" s="1"/>
      <c r="N2250" s="1"/>
      <c r="O2250" s="1"/>
      <c r="P2250" s="1"/>
      <c r="Q2250" s="1"/>
      <c r="R2250" s="1"/>
      <c r="S2250" s="1"/>
      <c r="T2250" s="1"/>
      <c r="U2250" s="1"/>
      <c r="V2250" s="1"/>
      <c r="W2250" s="1"/>
      <c r="X2250" s="1"/>
      <c r="Y2250" s="1"/>
      <c r="Z2250" s="1"/>
      <c r="AA2250" s="1"/>
      <c r="AB2250" s="1"/>
      <c r="AC2250" s="1"/>
      <c r="AD2250" s="1"/>
      <c r="AE2250" s="1"/>
      <c r="AF2250" s="1"/>
    </row>
    <row r="2251" spans="7:32" x14ac:dyDescent="0.2">
      <c r="G2251" s="2"/>
      <c r="H2251" s="1"/>
      <c r="I2251" s="1"/>
      <c r="J2251" s="1"/>
      <c r="K2251" s="1"/>
      <c r="L2251" s="1"/>
      <c r="M2251" s="1"/>
      <c r="N2251" s="1"/>
      <c r="O2251" s="1"/>
      <c r="P2251" s="1"/>
      <c r="Q2251" s="1"/>
      <c r="R2251" s="1"/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</row>
    <row r="2252" spans="7:32" x14ac:dyDescent="0.2">
      <c r="G2252" s="2"/>
      <c r="H2252" s="1"/>
      <c r="I2252" s="1"/>
      <c r="J2252" s="1"/>
      <c r="K2252" s="1"/>
      <c r="L2252" s="1"/>
      <c r="M2252" s="1"/>
      <c r="N2252" s="1"/>
      <c r="O2252" s="1"/>
      <c r="P2252" s="1"/>
      <c r="Q2252" s="1"/>
      <c r="R2252" s="1"/>
      <c r="S2252" s="1"/>
      <c r="T2252" s="1"/>
      <c r="U2252" s="1"/>
      <c r="V2252" s="1"/>
      <c r="W2252" s="1"/>
      <c r="X2252" s="1"/>
      <c r="Y2252" s="1"/>
      <c r="Z2252" s="1"/>
      <c r="AA2252" s="1"/>
      <c r="AB2252" s="1"/>
      <c r="AC2252" s="1"/>
      <c r="AD2252" s="1"/>
      <c r="AE2252" s="1"/>
      <c r="AF2252" s="1"/>
    </row>
    <row r="2253" spans="7:32" x14ac:dyDescent="0.2">
      <c r="G2253" s="2"/>
      <c r="H2253" s="1"/>
      <c r="I2253" s="1"/>
      <c r="J2253" s="1"/>
      <c r="K2253" s="1"/>
      <c r="L2253" s="1"/>
      <c r="M2253" s="1"/>
      <c r="N2253" s="1"/>
      <c r="O2253" s="1"/>
      <c r="P2253" s="1"/>
      <c r="Q2253" s="1"/>
      <c r="R2253" s="1"/>
      <c r="S2253" s="1"/>
      <c r="T2253" s="1"/>
      <c r="U2253" s="1"/>
      <c r="V2253" s="1"/>
      <c r="W2253" s="1"/>
      <c r="X2253" s="1"/>
      <c r="Y2253" s="1"/>
      <c r="Z2253" s="1"/>
      <c r="AA2253" s="1"/>
      <c r="AB2253" s="1"/>
      <c r="AC2253" s="1"/>
      <c r="AD2253" s="1"/>
      <c r="AE2253" s="1"/>
      <c r="AF2253" s="1"/>
    </row>
    <row r="2254" spans="7:32" x14ac:dyDescent="0.2">
      <c r="G2254" s="2"/>
      <c r="H2254" s="1"/>
      <c r="I2254" s="1"/>
      <c r="J2254" s="1"/>
      <c r="K2254" s="1"/>
      <c r="L2254" s="1"/>
      <c r="M2254" s="1"/>
      <c r="N2254" s="1"/>
      <c r="O2254" s="1"/>
      <c r="P2254" s="1"/>
      <c r="Q2254" s="1"/>
      <c r="R2254" s="1"/>
      <c r="S2254" s="1"/>
      <c r="T2254" s="1"/>
      <c r="U2254" s="1"/>
      <c r="V2254" s="1"/>
      <c r="W2254" s="1"/>
      <c r="X2254" s="1"/>
      <c r="Y2254" s="1"/>
      <c r="Z2254" s="1"/>
      <c r="AA2254" s="1"/>
      <c r="AB2254" s="1"/>
      <c r="AC2254" s="1"/>
      <c r="AD2254" s="1"/>
      <c r="AE2254" s="1"/>
      <c r="AF2254" s="1"/>
    </row>
    <row r="2255" spans="7:32" x14ac:dyDescent="0.2">
      <c r="G2255" s="2"/>
      <c r="H2255" s="1"/>
      <c r="I2255" s="1"/>
      <c r="J2255" s="1"/>
      <c r="K2255" s="1"/>
      <c r="L2255" s="1"/>
      <c r="M2255" s="1"/>
      <c r="N2255" s="1"/>
      <c r="O2255" s="1"/>
      <c r="P2255" s="1"/>
      <c r="Q2255" s="1"/>
      <c r="R2255" s="1"/>
      <c r="S2255" s="1"/>
      <c r="T2255" s="1"/>
      <c r="U2255" s="1"/>
      <c r="V2255" s="1"/>
      <c r="W2255" s="1"/>
      <c r="X2255" s="1"/>
      <c r="Y2255" s="1"/>
      <c r="Z2255" s="1"/>
      <c r="AA2255" s="1"/>
      <c r="AB2255" s="1"/>
      <c r="AC2255" s="1"/>
      <c r="AD2255" s="1"/>
      <c r="AE2255" s="1"/>
      <c r="AF2255" s="1"/>
    </row>
    <row r="2256" spans="7:32" x14ac:dyDescent="0.2">
      <c r="G2256" s="2"/>
      <c r="H2256" s="1"/>
      <c r="I2256" s="1"/>
      <c r="J2256" s="1"/>
      <c r="K2256" s="1"/>
      <c r="L2256" s="1"/>
      <c r="M2256" s="1"/>
      <c r="N2256" s="1"/>
      <c r="O2256" s="1"/>
      <c r="P2256" s="1"/>
      <c r="Q2256" s="1"/>
      <c r="R2256" s="1"/>
      <c r="S2256" s="1"/>
      <c r="T2256" s="1"/>
      <c r="U2256" s="1"/>
      <c r="V2256" s="1"/>
      <c r="W2256" s="1"/>
      <c r="X2256" s="1"/>
      <c r="Y2256" s="1"/>
      <c r="Z2256" s="1"/>
      <c r="AA2256" s="1"/>
      <c r="AB2256" s="1"/>
      <c r="AC2256" s="1"/>
      <c r="AD2256" s="1"/>
      <c r="AE2256" s="1"/>
      <c r="AF2256" s="1"/>
    </row>
    <row r="2257" spans="7:32" x14ac:dyDescent="0.2">
      <c r="G2257" s="2"/>
      <c r="H2257" s="1"/>
      <c r="I2257" s="1"/>
      <c r="J2257" s="1"/>
      <c r="K2257" s="1"/>
      <c r="L2257" s="1"/>
      <c r="M2257" s="1"/>
      <c r="N2257" s="1"/>
      <c r="O2257" s="1"/>
      <c r="P2257" s="1"/>
      <c r="Q2257" s="1"/>
      <c r="R2257" s="1"/>
      <c r="S2257" s="1"/>
      <c r="T2257" s="1"/>
      <c r="U2257" s="1"/>
      <c r="V2257" s="1"/>
      <c r="W2257" s="1"/>
      <c r="X2257" s="1"/>
      <c r="Y2257" s="1"/>
      <c r="Z2257" s="1"/>
      <c r="AA2257" s="1"/>
      <c r="AB2257" s="1"/>
      <c r="AC2257" s="1"/>
      <c r="AD2257" s="1"/>
      <c r="AE2257" s="1"/>
      <c r="AF2257" s="1"/>
    </row>
    <row r="2258" spans="7:32" x14ac:dyDescent="0.2">
      <c r="G2258" s="2"/>
      <c r="H2258" s="1"/>
      <c r="I2258" s="1"/>
      <c r="J2258" s="1"/>
      <c r="K2258" s="1"/>
      <c r="L2258" s="1"/>
      <c r="M2258" s="1"/>
      <c r="N2258" s="1"/>
      <c r="O2258" s="1"/>
      <c r="P2258" s="1"/>
      <c r="Q2258" s="1"/>
      <c r="R2258" s="1"/>
      <c r="S2258" s="1"/>
      <c r="T2258" s="1"/>
      <c r="U2258" s="1"/>
      <c r="V2258" s="1"/>
      <c r="W2258" s="1"/>
      <c r="X2258" s="1"/>
      <c r="Y2258" s="1"/>
      <c r="Z2258" s="1"/>
      <c r="AA2258" s="1"/>
      <c r="AB2258" s="1"/>
      <c r="AC2258" s="1"/>
      <c r="AD2258" s="1"/>
      <c r="AE2258" s="1"/>
      <c r="AF2258" s="1"/>
    </row>
    <row r="2259" spans="7:32" x14ac:dyDescent="0.2">
      <c r="G2259" s="2"/>
      <c r="H2259" s="1"/>
      <c r="I2259" s="1"/>
      <c r="J2259" s="1"/>
      <c r="K2259" s="1"/>
      <c r="L2259" s="1"/>
      <c r="M2259" s="1"/>
      <c r="N2259" s="1"/>
      <c r="O2259" s="1"/>
      <c r="P2259" s="1"/>
      <c r="Q2259" s="1"/>
      <c r="R2259" s="1"/>
      <c r="S2259" s="1"/>
      <c r="T2259" s="1"/>
      <c r="U2259" s="1"/>
      <c r="V2259" s="1"/>
      <c r="W2259" s="1"/>
      <c r="X2259" s="1"/>
      <c r="Y2259" s="1"/>
      <c r="Z2259" s="1"/>
      <c r="AA2259" s="1"/>
      <c r="AB2259" s="1"/>
      <c r="AC2259" s="1"/>
      <c r="AD2259" s="1"/>
      <c r="AE2259" s="1"/>
      <c r="AF2259" s="1"/>
    </row>
    <row r="2260" spans="7:32" x14ac:dyDescent="0.2">
      <c r="G2260" s="2"/>
      <c r="H2260" s="1"/>
      <c r="I2260" s="1"/>
      <c r="J2260" s="1"/>
      <c r="K2260" s="1"/>
      <c r="L2260" s="1"/>
      <c r="M2260" s="1"/>
      <c r="N2260" s="1"/>
      <c r="O2260" s="1"/>
      <c r="P2260" s="1"/>
      <c r="Q2260" s="1"/>
      <c r="R2260" s="1"/>
      <c r="S2260" s="1"/>
      <c r="T2260" s="1"/>
      <c r="U2260" s="1"/>
      <c r="V2260" s="1"/>
      <c r="W2260" s="1"/>
      <c r="X2260" s="1"/>
      <c r="Y2260" s="1"/>
      <c r="Z2260" s="1"/>
      <c r="AA2260" s="1"/>
      <c r="AB2260" s="1"/>
      <c r="AC2260" s="1"/>
      <c r="AD2260" s="1"/>
      <c r="AE2260" s="1"/>
      <c r="AF2260" s="1"/>
    </row>
    <row r="2261" spans="7:32" x14ac:dyDescent="0.2">
      <c r="G2261" s="2"/>
      <c r="H2261" s="1"/>
      <c r="I2261" s="1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1"/>
      <c r="Y2261" s="1"/>
      <c r="Z2261" s="1"/>
      <c r="AA2261" s="1"/>
      <c r="AB2261" s="1"/>
      <c r="AC2261" s="1"/>
      <c r="AD2261" s="1"/>
      <c r="AE2261" s="1"/>
      <c r="AF2261" s="1"/>
    </row>
    <row r="2262" spans="7:32" x14ac:dyDescent="0.2">
      <c r="G2262" s="2"/>
      <c r="H2262" s="1"/>
      <c r="I2262" s="1"/>
      <c r="J2262" s="1"/>
      <c r="K2262" s="1"/>
      <c r="L2262" s="1"/>
      <c r="M2262" s="1"/>
      <c r="N2262" s="1"/>
      <c r="O2262" s="1"/>
      <c r="P2262" s="1"/>
      <c r="Q2262" s="1"/>
      <c r="R2262" s="1"/>
      <c r="S2262" s="1"/>
      <c r="T2262" s="1"/>
      <c r="U2262" s="1"/>
      <c r="V2262" s="1"/>
      <c r="W2262" s="1"/>
      <c r="X2262" s="1"/>
      <c r="Y2262" s="1"/>
      <c r="Z2262" s="1"/>
      <c r="AA2262" s="1"/>
      <c r="AB2262" s="1"/>
      <c r="AC2262" s="1"/>
      <c r="AD2262" s="1"/>
      <c r="AE2262" s="1"/>
      <c r="AF2262" s="1"/>
    </row>
    <row r="2263" spans="7:32" x14ac:dyDescent="0.2">
      <c r="G2263" s="2"/>
      <c r="H2263" s="1"/>
      <c r="I2263" s="1"/>
      <c r="J2263" s="1"/>
      <c r="K2263" s="1"/>
      <c r="L2263" s="1"/>
      <c r="M2263" s="1"/>
      <c r="N2263" s="1"/>
      <c r="O2263" s="1"/>
      <c r="P2263" s="1"/>
      <c r="Q2263" s="1"/>
      <c r="R2263" s="1"/>
      <c r="S2263" s="1"/>
      <c r="T2263" s="1"/>
      <c r="U2263" s="1"/>
      <c r="V2263" s="1"/>
      <c r="W2263" s="1"/>
      <c r="X2263" s="1"/>
      <c r="Y2263" s="1"/>
      <c r="Z2263" s="1"/>
      <c r="AA2263" s="1"/>
      <c r="AB2263" s="1"/>
      <c r="AC2263" s="1"/>
      <c r="AD2263" s="1"/>
      <c r="AE2263" s="1"/>
      <c r="AF2263" s="1"/>
    </row>
    <row r="2264" spans="7:32" x14ac:dyDescent="0.2">
      <c r="G2264" s="2"/>
      <c r="H2264" s="1"/>
      <c r="I2264" s="1"/>
      <c r="J2264" s="1"/>
      <c r="K2264" s="1"/>
      <c r="L2264" s="1"/>
      <c r="M2264" s="1"/>
      <c r="N2264" s="1"/>
      <c r="O2264" s="1"/>
      <c r="P2264" s="1"/>
      <c r="Q2264" s="1"/>
      <c r="R2264" s="1"/>
      <c r="S2264" s="1"/>
      <c r="T2264" s="1"/>
      <c r="U2264" s="1"/>
      <c r="V2264" s="1"/>
      <c r="W2264" s="1"/>
      <c r="X2264" s="1"/>
      <c r="Y2264" s="1"/>
      <c r="Z2264" s="1"/>
      <c r="AA2264" s="1"/>
      <c r="AB2264" s="1"/>
      <c r="AC2264" s="1"/>
      <c r="AD2264" s="1"/>
      <c r="AE2264" s="1"/>
      <c r="AF2264" s="1"/>
    </row>
    <row r="2265" spans="7:32" x14ac:dyDescent="0.2">
      <c r="G2265" s="2"/>
      <c r="H2265" s="1"/>
      <c r="I2265" s="1"/>
      <c r="J2265" s="1"/>
      <c r="K2265" s="1"/>
      <c r="L2265" s="1"/>
      <c r="M2265" s="1"/>
      <c r="N2265" s="1"/>
      <c r="O2265" s="1"/>
      <c r="P2265" s="1"/>
      <c r="Q2265" s="1"/>
      <c r="R2265" s="1"/>
      <c r="S2265" s="1"/>
      <c r="T2265" s="1"/>
      <c r="U2265" s="1"/>
      <c r="V2265" s="1"/>
      <c r="W2265" s="1"/>
      <c r="X2265" s="1"/>
      <c r="Y2265" s="1"/>
      <c r="Z2265" s="1"/>
      <c r="AA2265" s="1"/>
      <c r="AB2265" s="1"/>
      <c r="AC2265" s="1"/>
      <c r="AD2265" s="1"/>
      <c r="AE2265" s="1"/>
      <c r="AF2265" s="1"/>
    </row>
    <row r="2266" spans="7:32" x14ac:dyDescent="0.2">
      <c r="G2266" s="2"/>
      <c r="H2266" s="1"/>
      <c r="I2266" s="1"/>
      <c r="J2266" s="1"/>
      <c r="K2266" s="1"/>
      <c r="L2266" s="1"/>
      <c r="M2266" s="1"/>
      <c r="N2266" s="1"/>
      <c r="O2266" s="1"/>
      <c r="P2266" s="1"/>
      <c r="Q2266" s="1"/>
      <c r="R2266" s="1"/>
      <c r="S2266" s="1"/>
      <c r="T2266" s="1"/>
      <c r="U2266" s="1"/>
      <c r="V2266" s="1"/>
      <c r="W2266" s="1"/>
      <c r="X2266" s="1"/>
      <c r="Y2266" s="1"/>
      <c r="Z2266" s="1"/>
      <c r="AA2266" s="1"/>
      <c r="AB2266" s="1"/>
      <c r="AC2266" s="1"/>
      <c r="AD2266" s="1"/>
      <c r="AE2266" s="1"/>
      <c r="AF2266" s="1"/>
    </row>
    <row r="2267" spans="7:32" x14ac:dyDescent="0.2">
      <c r="G2267" s="2"/>
      <c r="H2267" s="1"/>
      <c r="I2267" s="1"/>
      <c r="J2267" s="1"/>
      <c r="K2267" s="1"/>
      <c r="L2267" s="1"/>
      <c r="M2267" s="1"/>
      <c r="N2267" s="1"/>
      <c r="O2267" s="1"/>
      <c r="P2267" s="1"/>
      <c r="Q2267" s="1"/>
      <c r="R2267" s="1"/>
      <c r="S2267" s="1"/>
      <c r="T2267" s="1"/>
      <c r="U2267" s="1"/>
      <c r="V2267" s="1"/>
      <c r="W2267" s="1"/>
      <c r="X2267" s="1"/>
      <c r="Y2267" s="1"/>
      <c r="Z2267" s="1"/>
      <c r="AA2267" s="1"/>
      <c r="AB2267" s="1"/>
      <c r="AC2267" s="1"/>
      <c r="AD2267" s="1"/>
      <c r="AE2267" s="1"/>
      <c r="AF2267" s="1"/>
    </row>
    <row r="2268" spans="7:32" x14ac:dyDescent="0.2">
      <c r="G2268" s="2"/>
      <c r="H2268" s="1"/>
      <c r="I2268" s="1"/>
      <c r="J2268" s="1"/>
      <c r="K2268" s="1"/>
      <c r="L2268" s="1"/>
      <c r="M2268" s="1"/>
      <c r="N2268" s="1"/>
      <c r="O2268" s="1"/>
      <c r="P2268" s="1"/>
      <c r="Q2268" s="1"/>
      <c r="R2268" s="1"/>
      <c r="S2268" s="1"/>
      <c r="T2268" s="1"/>
      <c r="U2268" s="1"/>
      <c r="V2268" s="1"/>
      <c r="W2268" s="1"/>
      <c r="X2268" s="1"/>
      <c r="Y2268" s="1"/>
      <c r="Z2268" s="1"/>
      <c r="AA2268" s="1"/>
      <c r="AB2268" s="1"/>
      <c r="AC2268" s="1"/>
      <c r="AD2268" s="1"/>
      <c r="AE2268" s="1"/>
      <c r="AF2268" s="1"/>
    </row>
    <row r="2269" spans="7:32" x14ac:dyDescent="0.2">
      <c r="G2269" s="2"/>
      <c r="H2269" s="1"/>
      <c r="I2269" s="1"/>
      <c r="J2269" s="1"/>
      <c r="K2269" s="1"/>
      <c r="L2269" s="1"/>
      <c r="M2269" s="1"/>
      <c r="N2269" s="1"/>
      <c r="O2269" s="1"/>
      <c r="P2269" s="1"/>
      <c r="Q2269" s="1"/>
      <c r="R2269" s="1"/>
      <c r="S2269" s="1"/>
      <c r="T2269" s="1"/>
      <c r="U2269" s="1"/>
      <c r="V2269" s="1"/>
      <c r="W2269" s="1"/>
      <c r="X2269" s="1"/>
      <c r="Y2269" s="1"/>
      <c r="Z2269" s="1"/>
      <c r="AA2269" s="1"/>
      <c r="AB2269" s="1"/>
      <c r="AC2269" s="1"/>
      <c r="AD2269" s="1"/>
      <c r="AE2269" s="1"/>
      <c r="AF2269" s="1"/>
    </row>
    <row r="2270" spans="7:32" x14ac:dyDescent="0.2">
      <c r="G2270" s="2"/>
      <c r="H2270" s="1"/>
      <c r="I2270" s="1"/>
      <c r="J2270" s="1"/>
      <c r="K2270" s="1"/>
      <c r="L2270" s="1"/>
      <c r="M2270" s="1"/>
      <c r="N2270" s="1"/>
      <c r="O2270" s="1"/>
      <c r="P2270" s="1"/>
      <c r="Q2270" s="1"/>
      <c r="R2270" s="1"/>
      <c r="S2270" s="1"/>
      <c r="T2270" s="1"/>
      <c r="U2270" s="1"/>
      <c r="V2270" s="1"/>
      <c r="W2270" s="1"/>
      <c r="X2270" s="1"/>
      <c r="Y2270" s="1"/>
      <c r="Z2270" s="1"/>
      <c r="AA2270" s="1"/>
      <c r="AB2270" s="1"/>
      <c r="AC2270" s="1"/>
      <c r="AD2270" s="1"/>
      <c r="AE2270" s="1"/>
      <c r="AF2270" s="1"/>
    </row>
    <row r="2271" spans="7:32" x14ac:dyDescent="0.2">
      <c r="G2271" s="2"/>
      <c r="H2271" s="1"/>
      <c r="I2271" s="1"/>
      <c r="J2271" s="1"/>
      <c r="K2271" s="1"/>
      <c r="L2271" s="1"/>
      <c r="M2271" s="1"/>
      <c r="N2271" s="1"/>
      <c r="O2271" s="1"/>
      <c r="P2271" s="1"/>
      <c r="Q2271" s="1"/>
      <c r="R2271" s="1"/>
      <c r="S2271" s="1"/>
      <c r="T2271" s="1"/>
      <c r="U2271" s="1"/>
      <c r="V2271" s="1"/>
      <c r="W2271" s="1"/>
      <c r="X2271" s="1"/>
      <c r="Y2271" s="1"/>
      <c r="Z2271" s="1"/>
      <c r="AA2271" s="1"/>
      <c r="AB2271" s="1"/>
      <c r="AC2271" s="1"/>
      <c r="AD2271" s="1"/>
      <c r="AE2271" s="1"/>
      <c r="AF2271" s="1"/>
    </row>
    <row r="2272" spans="7:32" x14ac:dyDescent="0.2">
      <c r="G2272" s="2"/>
      <c r="H2272" s="1"/>
      <c r="I2272" s="1"/>
      <c r="J2272" s="1"/>
      <c r="K2272" s="1"/>
      <c r="L2272" s="1"/>
      <c r="M2272" s="1"/>
      <c r="N2272" s="1"/>
      <c r="O2272" s="1"/>
      <c r="P2272" s="1"/>
      <c r="Q2272" s="1"/>
      <c r="R2272" s="1"/>
      <c r="S2272" s="1"/>
      <c r="T2272" s="1"/>
      <c r="U2272" s="1"/>
      <c r="V2272" s="1"/>
      <c r="W2272" s="1"/>
      <c r="X2272" s="1"/>
      <c r="Y2272" s="1"/>
      <c r="Z2272" s="1"/>
      <c r="AA2272" s="1"/>
      <c r="AB2272" s="1"/>
      <c r="AC2272" s="1"/>
      <c r="AD2272" s="1"/>
      <c r="AE2272" s="1"/>
      <c r="AF2272" s="1"/>
    </row>
    <row r="2273" spans="7:32" x14ac:dyDescent="0.2">
      <c r="G2273" s="2"/>
      <c r="H2273" s="1"/>
      <c r="I2273" s="1"/>
      <c r="J2273" s="1"/>
      <c r="K2273" s="1"/>
      <c r="L2273" s="1"/>
      <c r="M2273" s="1"/>
      <c r="N2273" s="1"/>
      <c r="O2273" s="1"/>
      <c r="P2273" s="1"/>
      <c r="Q2273" s="1"/>
      <c r="R2273" s="1"/>
      <c r="S2273" s="1"/>
      <c r="T2273" s="1"/>
      <c r="U2273" s="1"/>
      <c r="V2273" s="1"/>
      <c r="W2273" s="1"/>
      <c r="X2273" s="1"/>
      <c r="Y2273" s="1"/>
      <c r="Z2273" s="1"/>
      <c r="AA2273" s="1"/>
      <c r="AB2273" s="1"/>
      <c r="AC2273" s="1"/>
      <c r="AD2273" s="1"/>
      <c r="AE2273" s="1"/>
      <c r="AF2273" s="1"/>
    </row>
    <row r="2274" spans="7:32" x14ac:dyDescent="0.2">
      <c r="G2274" s="2"/>
      <c r="H2274" s="1"/>
      <c r="I2274" s="1"/>
      <c r="J2274" s="1"/>
      <c r="K2274" s="1"/>
      <c r="L2274" s="1"/>
      <c r="M2274" s="1"/>
      <c r="N2274" s="1"/>
      <c r="O2274" s="1"/>
      <c r="P2274" s="1"/>
      <c r="Q2274" s="1"/>
      <c r="R2274" s="1"/>
      <c r="S2274" s="1"/>
      <c r="T2274" s="1"/>
      <c r="U2274" s="1"/>
      <c r="V2274" s="1"/>
      <c r="W2274" s="1"/>
      <c r="X2274" s="1"/>
      <c r="Y2274" s="1"/>
      <c r="Z2274" s="1"/>
      <c r="AA2274" s="1"/>
      <c r="AB2274" s="1"/>
      <c r="AC2274" s="1"/>
      <c r="AD2274" s="1"/>
      <c r="AE2274" s="1"/>
      <c r="AF2274" s="1"/>
    </row>
    <row r="2275" spans="7:32" x14ac:dyDescent="0.2">
      <c r="G2275" s="2"/>
      <c r="H2275" s="1"/>
      <c r="I2275" s="1"/>
      <c r="J2275" s="1"/>
      <c r="K2275" s="1"/>
      <c r="L2275" s="1"/>
      <c r="M2275" s="1"/>
      <c r="N2275" s="1"/>
      <c r="O2275" s="1"/>
      <c r="P2275" s="1"/>
      <c r="Q2275" s="1"/>
      <c r="R2275" s="1"/>
      <c r="S2275" s="1"/>
      <c r="T2275" s="1"/>
      <c r="U2275" s="1"/>
      <c r="V2275" s="1"/>
      <c r="W2275" s="1"/>
      <c r="X2275" s="1"/>
      <c r="Y2275" s="1"/>
      <c r="Z2275" s="1"/>
      <c r="AA2275" s="1"/>
      <c r="AB2275" s="1"/>
      <c r="AC2275" s="1"/>
      <c r="AD2275" s="1"/>
      <c r="AE2275" s="1"/>
      <c r="AF2275" s="1"/>
    </row>
    <row r="2276" spans="7:32" x14ac:dyDescent="0.2">
      <c r="G2276" s="2"/>
      <c r="H2276" s="1"/>
      <c r="I2276" s="1"/>
      <c r="J2276" s="1"/>
      <c r="K2276" s="1"/>
      <c r="L2276" s="1"/>
      <c r="M2276" s="1"/>
      <c r="N2276" s="1"/>
      <c r="O2276" s="1"/>
      <c r="P2276" s="1"/>
      <c r="Q2276" s="1"/>
      <c r="R2276" s="1"/>
      <c r="S2276" s="1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</row>
    <row r="2277" spans="7:32" x14ac:dyDescent="0.2">
      <c r="G2277" s="2"/>
      <c r="H2277" s="1"/>
      <c r="I2277" s="1"/>
      <c r="J2277" s="1"/>
      <c r="K2277" s="1"/>
      <c r="L2277" s="1"/>
      <c r="M2277" s="1"/>
      <c r="N2277" s="1"/>
      <c r="O2277" s="1"/>
      <c r="P2277" s="1"/>
      <c r="Q2277" s="1"/>
      <c r="R2277" s="1"/>
      <c r="S2277" s="1"/>
      <c r="T2277" s="1"/>
      <c r="U2277" s="1"/>
      <c r="V2277" s="1"/>
      <c r="W2277" s="1"/>
      <c r="X2277" s="1"/>
      <c r="Y2277" s="1"/>
      <c r="Z2277" s="1"/>
      <c r="AA2277" s="1"/>
      <c r="AB2277" s="1"/>
      <c r="AC2277" s="1"/>
      <c r="AD2277" s="1"/>
      <c r="AE2277" s="1"/>
      <c r="AF2277" s="1"/>
    </row>
    <row r="2278" spans="7:32" x14ac:dyDescent="0.2">
      <c r="G2278" s="2"/>
      <c r="H2278" s="1"/>
      <c r="I2278" s="1"/>
      <c r="J2278" s="1"/>
      <c r="K2278" s="1"/>
      <c r="L2278" s="1"/>
      <c r="M2278" s="1"/>
      <c r="N2278" s="1"/>
      <c r="O2278" s="1"/>
      <c r="P2278" s="1"/>
      <c r="Q2278" s="1"/>
      <c r="R2278" s="1"/>
      <c r="S2278" s="1"/>
      <c r="T2278" s="1"/>
      <c r="U2278" s="1"/>
      <c r="V2278" s="1"/>
      <c r="W2278" s="1"/>
      <c r="X2278" s="1"/>
      <c r="Y2278" s="1"/>
      <c r="Z2278" s="1"/>
      <c r="AA2278" s="1"/>
      <c r="AB2278" s="1"/>
      <c r="AC2278" s="1"/>
      <c r="AD2278" s="1"/>
      <c r="AE2278" s="1"/>
      <c r="AF2278" s="1"/>
    </row>
    <row r="2279" spans="7:32" x14ac:dyDescent="0.2">
      <c r="G2279" s="2"/>
      <c r="H2279" s="1"/>
      <c r="I2279" s="1"/>
      <c r="J2279" s="1"/>
      <c r="K2279" s="1"/>
      <c r="L2279" s="1"/>
      <c r="M2279" s="1"/>
      <c r="N2279" s="1"/>
      <c r="O2279" s="1"/>
      <c r="P2279" s="1"/>
      <c r="Q2279" s="1"/>
      <c r="R2279" s="1"/>
      <c r="S2279" s="1"/>
      <c r="T2279" s="1"/>
      <c r="U2279" s="1"/>
      <c r="V2279" s="1"/>
      <c r="W2279" s="1"/>
      <c r="X2279" s="1"/>
      <c r="Y2279" s="1"/>
      <c r="Z2279" s="1"/>
      <c r="AA2279" s="1"/>
      <c r="AB2279" s="1"/>
      <c r="AC2279" s="1"/>
      <c r="AD2279" s="1"/>
      <c r="AE2279" s="1"/>
      <c r="AF2279" s="1"/>
    </row>
    <row r="2280" spans="7:32" x14ac:dyDescent="0.2">
      <c r="G2280" s="2"/>
      <c r="H2280" s="1"/>
      <c r="I2280" s="1"/>
      <c r="J2280" s="1"/>
      <c r="K2280" s="1"/>
      <c r="L2280" s="1"/>
      <c r="M2280" s="1"/>
      <c r="N2280" s="1"/>
      <c r="O2280" s="1"/>
      <c r="P2280" s="1"/>
      <c r="Q2280" s="1"/>
      <c r="R2280" s="1"/>
      <c r="S2280" s="1"/>
      <c r="T2280" s="1"/>
      <c r="U2280" s="1"/>
      <c r="V2280" s="1"/>
      <c r="W2280" s="1"/>
      <c r="X2280" s="1"/>
      <c r="Y2280" s="1"/>
      <c r="Z2280" s="1"/>
      <c r="AA2280" s="1"/>
      <c r="AB2280" s="1"/>
      <c r="AC2280" s="1"/>
      <c r="AD2280" s="1"/>
      <c r="AE2280" s="1"/>
      <c r="AF2280" s="1"/>
    </row>
    <row r="2281" spans="7:32" x14ac:dyDescent="0.2">
      <c r="G2281" s="2"/>
      <c r="H2281" s="1"/>
      <c r="I2281" s="1"/>
      <c r="J2281" s="1"/>
      <c r="K2281" s="1"/>
      <c r="L2281" s="1"/>
      <c r="M2281" s="1"/>
      <c r="N2281" s="1"/>
      <c r="O2281" s="1"/>
      <c r="P2281" s="1"/>
      <c r="Q2281" s="1"/>
      <c r="R2281" s="1"/>
      <c r="S2281" s="1"/>
      <c r="T2281" s="1"/>
      <c r="U2281" s="1"/>
      <c r="V2281" s="1"/>
      <c r="W2281" s="1"/>
      <c r="X2281" s="1"/>
      <c r="Y2281" s="1"/>
      <c r="Z2281" s="1"/>
      <c r="AA2281" s="1"/>
      <c r="AB2281" s="1"/>
      <c r="AC2281" s="1"/>
      <c r="AD2281" s="1"/>
      <c r="AE2281" s="1"/>
      <c r="AF2281" s="1"/>
    </row>
    <row r="2282" spans="7:32" x14ac:dyDescent="0.2">
      <c r="G2282" s="2"/>
      <c r="H2282" s="1"/>
      <c r="I2282" s="1"/>
      <c r="J2282" s="1"/>
      <c r="K2282" s="1"/>
      <c r="L2282" s="1"/>
      <c r="M2282" s="1"/>
      <c r="N2282" s="1"/>
      <c r="O2282" s="1"/>
      <c r="P2282" s="1"/>
      <c r="Q2282" s="1"/>
      <c r="R2282" s="1"/>
      <c r="S2282" s="1"/>
      <c r="T2282" s="1"/>
      <c r="U2282" s="1"/>
      <c r="V2282" s="1"/>
      <c r="W2282" s="1"/>
      <c r="X2282" s="1"/>
      <c r="Y2282" s="1"/>
      <c r="Z2282" s="1"/>
      <c r="AA2282" s="1"/>
      <c r="AB2282" s="1"/>
      <c r="AC2282" s="1"/>
      <c r="AD2282" s="1"/>
      <c r="AE2282" s="1"/>
      <c r="AF2282" s="1"/>
    </row>
    <row r="2283" spans="7:32" x14ac:dyDescent="0.2">
      <c r="G2283" s="2"/>
      <c r="H2283" s="1"/>
      <c r="I2283" s="1"/>
      <c r="J2283" s="1"/>
      <c r="K2283" s="1"/>
      <c r="L2283" s="1"/>
      <c r="M2283" s="1"/>
      <c r="N2283" s="1"/>
      <c r="O2283" s="1"/>
      <c r="P2283" s="1"/>
      <c r="Q2283" s="1"/>
      <c r="R2283" s="1"/>
      <c r="S2283" s="1"/>
      <c r="T2283" s="1"/>
      <c r="U2283" s="1"/>
      <c r="V2283" s="1"/>
      <c r="W2283" s="1"/>
      <c r="X2283" s="1"/>
      <c r="Y2283" s="1"/>
      <c r="Z2283" s="1"/>
      <c r="AA2283" s="1"/>
      <c r="AB2283" s="1"/>
      <c r="AC2283" s="1"/>
      <c r="AD2283" s="1"/>
      <c r="AE2283" s="1"/>
      <c r="AF2283" s="1"/>
    </row>
    <row r="2284" spans="7:32" x14ac:dyDescent="0.2">
      <c r="G2284" s="2"/>
      <c r="H2284" s="1"/>
      <c r="I2284" s="1"/>
      <c r="J2284" s="1"/>
      <c r="K2284" s="1"/>
      <c r="L2284" s="1"/>
      <c r="M2284" s="1"/>
      <c r="N2284" s="1"/>
      <c r="O2284" s="1"/>
      <c r="P2284" s="1"/>
      <c r="Q2284" s="1"/>
      <c r="R2284" s="1"/>
      <c r="S2284" s="1"/>
      <c r="T2284" s="1"/>
      <c r="U2284" s="1"/>
      <c r="V2284" s="1"/>
      <c r="W2284" s="1"/>
      <c r="X2284" s="1"/>
      <c r="Y2284" s="1"/>
      <c r="Z2284" s="1"/>
      <c r="AA2284" s="1"/>
      <c r="AB2284" s="1"/>
      <c r="AC2284" s="1"/>
      <c r="AD2284" s="1"/>
      <c r="AE2284" s="1"/>
      <c r="AF2284" s="1"/>
    </row>
    <row r="2285" spans="7:32" x14ac:dyDescent="0.2">
      <c r="G2285" s="2"/>
      <c r="H2285" s="1"/>
      <c r="I2285" s="1"/>
      <c r="J2285" s="1"/>
      <c r="K2285" s="1"/>
      <c r="L2285" s="1"/>
      <c r="M2285" s="1"/>
      <c r="N2285" s="1"/>
      <c r="O2285" s="1"/>
      <c r="P2285" s="1"/>
      <c r="Q2285" s="1"/>
      <c r="R2285" s="1"/>
      <c r="S2285" s="1"/>
      <c r="T2285" s="1"/>
      <c r="U2285" s="1"/>
      <c r="V2285" s="1"/>
      <c r="W2285" s="1"/>
      <c r="X2285" s="1"/>
      <c r="Y2285" s="1"/>
      <c r="Z2285" s="1"/>
      <c r="AA2285" s="1"/>
      <c r="AB2285" s="1"/>
      <c r="AC2285" s="1"/>
      <c r="AD2285" s="1"/>
      <c r="AE2285" s="1"/>
      <c r="AF2285" s="1"/>
    </row>
    <row r="2286" spans="7:32" x14ac:dyDescent="0.2">
      <c r="G2286" s="2"/>
      <c r="H2286" s="1"/>
      <c r="I2286" s="1"/>
      <c r="J2286" s="1"/>
      <c r="K2286" s="1"/>
      <c r="L2286" s="1"/>
      <c r="M2286" s="1"/>
      <c r="N2286" s="1"/>
      <c r="O2286" s="1"/>
      <c r="P2286" s="1"/>
      <c r="Q2286" s="1"/>
      <c r="R2286" s="1"/>
      <c r="S2286" s="1"/>
      <c r="T2286" s="1"/>
      <c r="U2286" s="1"/>
      <c r="V2286" s="1"/>
      <c r="W2286" s="1"/>
      <c r="X2286" s="1"/>
      <c r="Y2286" s="1"/>
      <c r="Z2286" s="1"/>
      <c r="AA2286" s="1"/>
      <c r="AB2286" s="1"/>
      <c r="AC2286" s="1"/>
      <c r="AD2286" s="1"/>
      <c r="AE2286" s="1"/>
      <c r="AF2286" s="1"/>
    </row>
    <row r="2287" spans="7:32" x14ac:dyDescent="0.2">
      <c r="G2287" s="2"/>
      <c r="H2287" s="1"/>
      <c r="I2287" s="1"/>
      <c r="J2287" s="1"/>
      <c r="K2287" s="1"/>
      <c r="L2287" s="1"/>
      <c r="M2287" s="1"/>
      <c r="N2287" s="1"/>
      <c r="O2287" s="1"/>
      <c r="P2287" s="1"/>
      <c r="Q2287" s="1"/>
      <c r="R2287" s="1"/>
      <c r="S2287" s="1"/>
      <c r="T2287" s="1"/>
      <c r="U2287" s="1"/>
      <c r="V2287" s="1"/>
      <c r="W2287" s="1"/>
      <c r="X2287" s="1"/>
      <c r="Y2287" s="1"/>
      <c r="Z2287" s="1"/>
      <c r="AA2287" s="1"/>
      <c r="AB2287" s="1"/>
      <c r="AC2287" s="1"/>
      <c r="AD2287" s="1"/>
      <c r="AE2287" s="1"/>
      <c r="AF2287" s="1"/>
    </row>
    <row r="2288" spans="7:32" x14ac:dyDescent="0.2">
      <c r="G2288" s="2"/>
      <c r="H2288" s="1"/>
      <c r="I2288" s="1"/>
      <c r="J2288" s="1"/>
      <c r="K2288" s="1"/>
      <c r="L2288" s="1"/>
      <c r="M2288" s="1"/>
      <c r="N2288" s="1"/>
      <c r="O2288" s="1"/>
      <c r="P2288" s="1"/>
      <c r="Q2288" s="1"/>
      <c r="R2288" s="1"/>
      <c r="S2288" s="1"/>
      <c r="T2288" s="1"/>
      <c r="U2288" s="1"/>
      <c r="V2288" s="1"/>
      <c r="W2288" s="1"/>
      <c r="X2288" s="1"/>
      <c r="Y2288" s="1"/>
      <c r="Z2288" s="1"/>
      <c r="AA2288" s="1"/>
      <c r="AB2288" s="1"/>
      <c r="AC2288" s="1"/>
      <c r="AD2288" s="1"/>
      <c r="AE2288" s="1"/>
      <c r="AF2288" s="1"/>
    </row>
    <row r="2289" spans="7:32" x14ac:dyDescent="0.2">
      <c r="G2289" s="2"/>
      <c r="H2289" s="1"/>
      <c r="I2289" s="1"/>
      <c r="J2289" s="1"/>
      <c r="K2289" s="1"/>
      <c r="L2289" s="1"/>
      <c r="M2289" s="1"/>
      <c r="N2289" s="1"/>
      <c r="O2289" s="1"/>
      <c r="P2289" s="1"/>
      <c r="Q2289" s="1"/>
      <c r="R2289" s="1"/>
      <c r="S2289" s="1"/>
      <c r="T2289" s="1"/>
      <c r="U2289" s="1"/>
      <c r="V2289" s="1"/>
      <c r="W2289" s="1"/>
      <c r="X2289" s="1"/>
      <c r="Y2289" s="1"/>
      <c r="Z2289" s="1"/>
      <c r="AA2289" s="1"/>
      <c r="AB2289" s="1"/>
      <c r="AC2289" s="1"/>
      <c r="AD2289" s="1"/>
      <c r="AE2289" s="1"/>
      <c r="AF2289" s="1"/>
    </row>
    <row r="2290" spans="7:32" x14ac:dyDescent="0.2">
      <c r="G2290" s="2"/>
      <c r="H2290" s="1"/>
      <c r="I2290" s="1"/>
      <c r="J2290" s="1"/>
      <c r="K2290" s="1"/>
      <c r="L2290" s="1"/>
      <c r="M2290" s="1"/>
      <c r="N2290" s="1"/>
      <c r="O2290" s="1"/>
      <c r="P2290" s="1"/>
      <c r="Q2290" s="1"/>
      <c r="R2290" s="1"/>
      <c r="S2290" s="1"/>
      <c r="T2290" s="1"/>
      <c r="U2290" s="1"/>
      <c r="V2290" s="1"/>
      <c r="W2290" s="1"/>
      <c r="X2290" s="1"/>
      <c r="Y2290" s="1"/>
      <c r="Z2290" s="1"/>
      <c r="AA2290" s="1"/>
      <c r="AB2290" s="1"/>
      <c r="AC2290" s="1"/>
      <c r="AD2290" s="1"/>
      <c r="AE2290" s="1"/>
      <c r="AF2290" s="1"/>
    </row>
    <row r="2291" spans="7:32" x14ac:dyDescent="0.2">
      <c r="G2291" s="2"/>
      <c r="H2291" s="1"/>
      <c r="I2291" s="1"/>
      <c r="J2291" s="1"/>
      <c r="K2291" s="1"/>
      <c r="L2291" s="1"/>
      <c r="M2291" s="1"/>
      <c r="N2291" s="1"/>
      <c r="O2291" s="1"/>
      <c r="P2291" s="1"/>
      <c r="Q2291" s="1"/>
      <c r="R2291" s="1"/>
      <c r="S2291" s="1"/>
      <c r="T2291" s="1"/>
      <c r="U2291" s="1"/>
      <c r="V2291" s="1"/>
      <c r="W2291" s="1"/>
      <c r="X2291" s="1"/>
      <c r="Y2291" s="1"/>
      <c r="Z2291" s="1"/>
      <c r="AA2291" s="1"/>
      <c r="AB2291" s="1"/>
      <c r="AC2291" s="1"/>
      <c r="AD2291" s="1"/>
      <c r="AE2291" s="1"/>
      <c r="AF2291" s="1"/>
    </row>
    <row r="2292" spans="7:32" x14ac:dyDescent="0.2">
      <c r="G2292" s="2"/>
      <c r="H2292" s="1"/>
      <c r="I2292" s="1"/>
      <c r="J2292" s="1"/>
      <c r="K2292" s="1"/>
      <c r="L2292" s="1"/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  <c r="X2292" s="1"/>
      <c r="Y2292" s="1"/>
      <c r="Z2292" s="1"/>
      <c r="AA2292" s="1"/>
      <c r="AB2292" s="1"/>
      <c r="AC2292" s="1"/>
      <c r="AD2292" s="1"/>
      <c r="AE2292" s="1"/>
      <c r="AF2292" s="1"/>
    </row>
    <row r="2293" spans="7:32" x14ac:dyDescent="0.2">
      <c r="G2293" s="2"/>
      <c r="H2293" s="1"/>
      <c r="I2293" s="1"/>
      <c r="J2293" s="1"/>
      <c r="K2293" s="1"/>
      <c r="L2293" s="1"/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  <c r="X2293" s="1"/>
      <c r="Y2293" s="1"/>
      <c r="Z2293" s="1"/>
      <c r="AA2293" s="1"/>
      <c r="AB2293" s="1"/>
      <c r="AC2293" s="1"/>
      <c r="AD2293" s="1"/>
      <c r="AE2293" s="1"/>
      <c r="AF2293" s="1"/>
    </row>
    <row r="2294" spans="7:32" x14ac:dyDescent="0.2">
      <c r="G2294" s="2"/>
      <c r="H2294" s="1"/>
      <c r="I2294" s="1"/>
      <c r="J2294" s="1"/>
      <c r="K2294" s="1"/>
      <c r="L2294" s="1"/>
      <c r="M2294" s="1"/>
      <c r="N2294" s="1"/>
      <c r="O2294" s="1"/>
      <c r="P2294" s="1"/>
      <c r="Q2294" s="1"/>
      <c r="R2294" s="1"/>
      <c r="S2294" s="1"/>
      <c r="T2294" s="1"/>
      <c r="U2294" s="1"/>
      <c r="V2294" s="1"/>
      <c r="W2294" s="1"/>
      <c r="X2294" s="1"/>
      <c r="Y2294" s="1"/>
      <c r="Z2294" s="1"/>
      <c r="AA2294" s="1"/>
      <c r="AB2294" s="1"/>
      <c r="AC2294" s="1"/>
      <c r="AD2294" s="1"/>
      <c r="AE2294" s="1"/>
      <c r="AF2294" s="1"/>
    </row>
    <row r="2295" spans="7:32" x14ac:dyDescent="0.2">
      <c r="G2295" s="2"/>
      <c r="H2295" s="1"/>
      <c r="I2295" s="1"/>
      <c r="J2295" s="1"/>
      <c r="K2295" s="1"/>
      <c r="L2295" s="1"/>
      <c r="M2295" s="1"/>
      <c r="N2295" s="1"/>
      <c r="O2295" s="1"/>
      <c r="P2295" s="1"/>
      <c r="Q2295" s="1"/>
      <c r="R2295" s="1"/>
      <c r="S2295" s="1"/>
      <c r="T2295" s="1"/>
      <c r="U2295" s="1"/>
      <c r="V2295" s="1"/>
      <c r="W2295" s="1"/>
      <c r="X2295" s="1"/>
      <c r="Y2295" s="1"/>
      <c r="Z2295" s="1"/>
      <c r="AA2295" s="1"/>
      <c r="AB2295" s="1"/>
      <c r="AC2295" s="1"/>
      <c r="AD2295" s="1"/>
      <c r="AE2295" s="1"/>
      <c r="AF2295" s="1"/>
    </row>
    <row r="2296" spans="7:32" x14ac:dyDescent="0.2">
      <c r="G2296" s="2"/>
      <c r="H2296" s="1"/>
      <c r="I2296" s="1"/>
      <c r="J2296" s="1"/>
      <c r="K2296" s="1"/>
      <c r="L2296" s="1"/>
      <c r="M2296" s="1"/>
      <c r="N2296" s="1"/>
      <c r="O2296" s="1"/>
      <c r="P2296" s="1"/>
      <c r="Q2296" s="1"/>
      <c r="R2296" s="1"/>
      <c r="S2296" s="1"/>
      <c r="T2296" s="1"/>
      <c r="U2296" s="1"/>
      <c r="V2296" s="1"/>
      <c r="W2296" s="1"/>
      <c r="X2296" s="1"/>
      <c r="Y2296" s="1"/>
      <c r="Z2296" s="1"/>
      <c r="AA2296" s="1"/>
      <c r="AB2296" s="1"/>
      <c r="AC2296" s="1"/>
      <c r="AD2296" s="1"/>
      <c r="AE2296" s="1"/>
      <c r="AF2296" s="1"/>
    </row>
    <row r="2297" spans="7:32" x14ac:dyDescent="0.2">
      <c r="G2297" s="2"/>
      <c r="H2297" s="1"/>
      <c r="I2297" s="1"/>
      <c r="J2297" s="1"/>
      <c r="K2297" s="1"/>
      <c r="L2297" s="1"/>
      <c r="M2297" s="1"/>
      <c r="N2297" s="1"/>
      <c r="O2297" s="1"/>
      <c r="P2297" s="1"/>
      <c r="Q2297" s="1"/>
      <c r="R2297" s="1"/>
      <c r="S2297" s="1"/>
      <c r="T2297" s="1"/>
      <c r="U2297" s="1"/>
      <c r="V2297" s="1"/>
      <c r="W2297" s="1"/>
      <c r="X2297" s="1"/>
      <c r="Y2297" s="1"/>
      <c r="Z2297" s="1"/>
      <c r="AA2297" s="1"/>
      <c r="AB2297" s="1"/>
      <c r="AC2297" s="1"/>
      <c r="AD2297" s="1"/>
      <c r="AE2297" s="1"/>
      <c r="AF2297" s="1"/>
    </row>
    <row r="2298" spans="7:32" x14ac:dyDescent="0.2">
      <c r="G2298" s="2"/>
      <c r="H2298" s="1"/>
      <c r="I2298" s="1"/>
      <c r="J2298" s="1"/>
      <c r="K2298" s="1"/>
      <c r="L2298" s="1"/>
      <c r="M2298" s="1"/>
      <c r="N2298" s="1"/>
      <c r="O2298" s="1"/>
      <c r="P2298" s="1"/>
      <c r="Q2298" s="1"/>
      <c r="R2298" s="1"/>
      <c r="S2298" s="1"/>
      <c r="T2298" s="1"/>
      <c r="U2298" s="1"/>
      <c r="V2298" s="1"/>
      <c r="W2298" s="1"/>
      <c r="X2298" s="1"/>
      <c r="Y2298" s="1"/>
      <c r="Z2298" s="1"/>
      <c r="AA2298" s="1"/>
      <c r="AB2298" s="1"/>
      <c r="AC2298" s="1"/>
      <c r="AD2298" s="1"/>
      <c r="AE2298" s="1"/>
      <c r="AF2298" s="1"/>
    </row>
    <row r="2299" spans="7:32" x14ac:dyDescent="0.2">
      <c r="G2299" s="2"/>
      <c r="H2299" s="1"/>
      <c r="I2299" s="1"/>
      <c r="J2299" s="1"/>
      <c r="K2299" s="1"/>
      <c r="L2299" s="1"/>
      <c r="M2299" s="1"/>
      <c r="N2299" s="1"/>
      <c r="O2299" s="1"/>
      <c r="P2299" s="1"/>
      <c r="Q2299" s="1"/>
      <c r="R2299" s="1"/>
      <c r="S2299" s="1"/>
      <c r="T2299" s="1"/>
      <c r="U2299" s="1"/>
      <c r="V2299" s="1"/>
      <c r="W2299" s="1"/>
      <c r="X2299" s="1"/>
      <c r="Y2299" s="1"/>
      <c r="Z2299" s="1"/>
      <c r="AA2299" s="1"/>
      <c r="AB2299" s="1"/>
      <c r="AC2299" s="1"/>
      <c r="AD2299" s="1"/>
      <c r="AE2299" s="1"/>
      <c r="AF2299" s="1"/>
    </row>
    <row r="2300" spans="7:32" x14ac:dyDescent="0.2">
      <c r="G2300" s="2"/>
      <c r="H2300" s="1"/>
      <c r="I2300" s="1"/>
      <c r="J2300" s="1"/>
      <c r="K2300" s="1"/>
      <c r="L2300" s="1"/>
      <c r="M2300" s="1"/>
      <c r="N2300" s="1"/>
      <c r="O2300" s="1"/>
      <c r="P2300" s="1"/>
      <c r="Q2300" s="1"/>
      <c r="R2300" s="1"/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</row>
    <row r="2301" spans="7:32" x14ac:dyDescent="0.2">
      <c r="G2301" s="2"/>
      <c r="H2301" s="1"/>
      <c r="I2301" s="1"/>
      <c r="J2301" s="1"/>
      <c r="K2301" s="1"/>
      <c r="L2301" s="1"/>
      <c r="M2301" s="1"/>
      <c r="N2301" s="1"/>
      <c r="O2301" s="1"/>
      <c r="P2301" s="1"/>
      <c r="Q2301" s="1"/>
      <c r="R2301" s="1"/>
      <c r="S2301" s="1"/>
      <c r="T2301" s="1"/>
      <c r="U2301" s="1"/>
      <c r="V2301" s="1"/>
      <c r="W2301" s="1"/>
      <c r="X2301" s="1"/>
      <c r="Y2301" s="1"/>
      <c r="Z2301" s="1"/>
      <c r="AA2301" s="1"/>
      <c r="AB2301" s="1"/>
      <c r="AC2301" s="1"/>
      <c r="AD2301" s="1"/>
      <c r="AE2301" s="1"/>
      <c r="AF2301" s="1"/>
    </row>
    <row r="2302" spans="7:32" x14ac:dyDescent="0.2">
      <c r="G2302" s="2"/>
      <c r="H2302" s="1"/>
      <c r="I2302" s="1"/>
      <c r="J2302" s="1"/>
      <c r="K2302" s="1"/>
      <c r="L2302" s="1"/>
      <c r="M2302" s="1"/>
      <c r="N2302" s="1"/>
      <c r="O2302" s="1"/>
      <c r="P2302" s="1"/>
      <c r="Q2302" s="1"/>
      <c r="R2302" s="1"/>
      <c r="S2302" s="1"/>
      <c r="T2302" s="1"/>
      <c r="U2302" s="1"/>
      <c r="V2302" s="1"/>
      <c r="W2302" s="1"/>
      <c r="X2302" s="1"/>
      <c r="Y2302" s="1"/>
      <c r="Z2302" s="1"/>
      <c r="AA2302" s="1"/>
      <c r="AB2302" s="1"/>
      <c r="AC2302" s="1"/>
      <c r="AD2302" s="1"/>
      <c r="AE2302" s="1"/>
      <c r="AF2302" s="1"/>
    </row>
    <row r="2303" spans="7:32" x14ac:dyDescent="0.2">
      <c r="G2303" s="2"/>
      <c r="H2303" s="1"/>
      <c r="I2303" s="1"/>
      <c r="J2303" s="1"/>
      <c r="K2303" s="1"/>
      <c r="L2303" s="1"/>
      <c r="M2303" s="1"/>
      <c r="N2303" s="1"/>
      <c r="O2303" s="1"/>
      <c r="P2303" s="1"/>
      <c r="Q2303" s="1"/>
      <c r="R2303" s="1"/>
      <c r="S2303" s="1"/>
      <c r="T2303" s="1"/>
      <c r="U2303" s="1"/>
      <c r="V2303" s="1"/>
      <c r="W2303" s="1"/>
      <c r="X2303" s="1"/>
      <c r="Y2303" s="1"/>
      <c r="Z2303" s="1"/>
      <c r="AA2303" s="1"/>
      <c r="AB2303" s="1"/>
      <c r="AC2303" s="1"/>
      <c r="AD2303" s="1"/>
      <c r="AE2303" s="1"/>
      <c r="AF2303" s="1"/>
    </row>
    <row r="2304" spans="7:32" x14ac:dyDescent="0.2">
      <c r="G2304" s="2"/>
      <c r="H2304" s="1"/>
      <c r="I2304" s="1"/>
      <c r="J2304" s="1"/>
      <c r="K2304" s="1"/>
      <c r="L2304" s="1"/>
      <c r="M2304" s="1"/>
      <c r="N2304" s="1"/>
      <c r="O2304" s="1"/>
      <c r="P2304" s="1"/>
      <c r="Q2304" s="1"/>
      <c r="R2304" s="1"/>
      <c r="S2304" s="1"/>
      <c r="T2304" s="1"/>
      <c r="U2304" s="1"/>
      <c r="V2304" s="1"/>
      <c r="W2304" s="1"/>
      <c r="X2304" s="1"/>
      <c r="Y2304" s="1"/>
      <c r="Z2304" s="1"/>
      <c r="AA2304" s="1"/>
      <c r="AB2304" s="1"/>
      <c r="AC2304" s="1"/>
      <c r="AD2304" s="1"/>
      <c r="AE2304" s="1"/>
      <c r="AF2304" s="1"/>
    </row>
    <row r="2305" spans="7:32" x14ac:dyDescent="0.2">
      <c r="G2305" s="2"/>
      <c r="H2305" s="1"/>
      <c r="I2305" s="1"/>
      <c r="J2305" s="1"/>
      <c r="K2305" s="1"/>
      <c r="L2305" s="1"/>
      <c r="M2305" s="1"/>
      <c r="N2305" s="1"/>
      <c r="O2305" s="1"/>
      <c r="P2305" s="1"/>
      <c r="Q2305" s="1"/>
      <c r="R2305" s="1"/>
      <c r="S2305" s="1"/>
      <c r="T2305" s="1"/>
      <c r="U2305" s="1"/>
      <c r="V2305" s="1"/>
      <c r="W2305" s="1"/>
      <c r="X2305" s="1"/>
      <c r="Y2305" s="1"/>
      <c r="Z2305" s="1"/>
      <c r="AA2305" s="1"/>
      <c r="AB2305" s="1"/>
      <c r="AC2305" s="1"/>
      <c r="AD2305" s="1"/>
      <c r="AE2305" s="1"/>
      <c r="AF2305" s="1"/>
    </row>
    <row r="2306" spans="7:32" x14ac:dyDescent="0.2">
      <c r="G2306" s="2"/>
      <c r="H2306" s="1"/>
      <c r="I2306" s="1"/>
      <c r="J2306" s="1"/>
      <c r="K2306" s="1"/>
      <c r="L2306" s="1"/>
      <c r="M2306" s="1"/>
      <c r="N2306" s="1"/>
      <c r="O2306" s="1"/>
      <c r="P2306" s="1"/>
      <c r="Q2306" s="1"/>
      <c r="R2306" s="1"/>
      <c r="S2306" s="1"/>
      <c r="T2306" s="1"/>
      <c r="U2306" s="1"/>
      <c r="V2306" s="1"/>
      <c r="W2306" s="1"/>
      <c r="X2306" s="1"/>
      <c r="Y2306" s="1"/>
      <c r="Z2306" s="1"/>
      <c r="AA2306" s="1"/>
      <c r="AB2306" s="1"/>
      <c r="AC2306" s="1"/>
      <c r="AD2306" s="1"/>
      <c r="AE2306" s="1"/>
      <c r="AF2306" s="1"/>
    </row>
    <row r="2307" spans="7:32" x14ac:dyDescent="0.2">
      <c r="G2307" s="2"/>
      <c r="H2307" s="1"/>
      <c r="I2307" s="1"/>
      <c r="J2307" s="1"/>
      <c r="K2307" s="1"/>
      <c r="L2307" s="1"/>
      <c r="M2307" s="1"/>
      <c r="N2307" s="1"/>
      <c r="O2307" s="1"/>
      <c r="P2307" s="1"/>
      <c r="Q2307" s="1"/>
      <c r="R2307" s="1"/>
      <c r="S2307" s="1"/>
      <c r="T2307" s="1"/>
      <c r="U2307" s="1"/>
      <c r="V2307" s="1"/>
      <c r="W2307" s="1"/>
      <c r="X2307" s="1"/>
      <c r="Y2307" s="1"/>
      <c r="Z2307" s="1"/>
      <c r="AA2307" s="1"/>
      <c r="AB2307" s="1"/>
      <c r="AC2307" s="1"/>
      <c r="AD2307" s="1"/>
      <c r="AE2307" s="1"/>
      <c r="AF2307" s="1"/>
    </row>
    <row r="2308" spans="7:32" x14ac:dyDescent="0.2">
      <c r="G2308" s="2"/>
      <c r="H2308" s="1"/>
      <c r="I2308" s="1"/>
      <c r="J2308" s="1"/>
      <c r="K2308" s="1"/>
      <c r="L2308" s="1"/>
      <c r="M2308" s="1"/>
      <c r="N2308" s="1"/>
      <c r="O2308" s="1"/>
      <c r="P2308" s="1"/>
      <c r="Q2308" s="1"/>
      <c r="R2308" s="1"/>
      <c r="S2308" s="1"/>
      <c r="T2308" s="1"/>
      <c r="U2308" s="1"/>
      <c r="V2308" s="1"/>
      <c r="W2308" s="1"/>
      <c r="X2308" s="1"/>
      <c r="Y2308" s="1"/>
      <c r="Z2308" s="1"/>
      <c r="AA2308" s="1"/>
      <c r="AB2308" s="1"/>
      <c r="AC2308" s="1"/>
      <c r="AD2308" s="1"/>
      <c r="AE2308" s="1"/>
      <c r="AF2308" s="1"/>
    </row>
    <row r="2309" spans="7:32" x14ac:dyDescent="0.2">
      <c r="G2309" s="2"/>
      <c r="H2309" s="1"/>
      <c r="I2309" s="1"/>
      <c r="J2309" s="1"/>
      <c r="K2309" s="1"/>
      <c r="L2309" s="1"/>
      <c r="M2309" s="1"/>
      <c r="N2309" s="1"/>
      <c r="O2309" s="1"/>
      <c r="P2309" s="1"/>
      <c r="Q2309" s="1"/>
      <c r="R2309" s="1"/>
      <c r="S2309" s="1"/>
      <c r="T2309" s="1"/>
      <c r="U2309" s="1"/>
      <c r="V2309" s="1"/>
      <c r="W2309" s="1"/>
      <c r="X2309" s="1"/>
      <c r="Y2309" s="1"/>
      <c r="Z2309" s="1"/>
      <c r="AA2309" s="1"/>
      <c r="AB2309" s="1"/>
      <c r="AC2309" s="1"/>
      <c r="AD2309" s="1"/>
      <c r="AE2309" s="1"/>
      <c r="AF2309" s="1"/>
    </row>
    <row r="2310" spans="7:32" x14ac:dyDescent="0.2">
      <c r="G2310" s="2"/>
      <c r="H2310" s="1"/>
      <c r="I2310" s="1"/>
      <c r="J2310" s="1"/>
      <c r="K2310" s="1"/>
      <c r="L2310" s="1"/>
      <c r="M2310" s="1"/>
      <c r="N2310" s="1"/>
      <c r="O2310" s="1"/>
      <c r="P2310" s="1"/>
      <c r="Q2310" s="1"/>
      <c r="R2310" s="1"/>
      <c r="S2310" s="1"/>
      <c r="T2310" s="1"/>
      <c r="U2310" s="1"/>
      <c r="V2310" s="1"/>
      <c r="W2310" s="1"/>
      <c r="X2310" s="1"/>
      <c r="Y2310" s="1"/>
      <c r="Z2310" s="1"/>
      <c r="AA2310" s="1"/>
      <c r="AB2310" s="1"/>
      <c r="AC2310" s="1"/>
      <c r="AD2310" s="1"/>
      <c r="AE2310" s="1"/>
      <c r="AF2310" s="1"/>
    </row>
    <row r="2311" spans="7:32" x14ac:dyDescent="0.2">
      <c r="G2311" s="2"/>
      <c r="H2311" s="1"/>
      <c r="I2311" s="1"/>
      <c r="J2311" s="1"/>
      <c r="K2311" s="1"/>
      <c r="L2311" s="1"/>
      <c r="M2311" s="1"/>
      <c r="N2311" s="1"/>
      <c r="O2311" s="1"/>
      <c r="P2311" s="1"/>
      <c r="Q2311" s="1"/>
      <c r="R2311" s="1"/>
      <c r="S2311" s="1"/>
      <c r="T2311" s="1"/>
      <c r="U2311" s="1"/>
      <c r="V2311" s="1"/>
      <c r="W2311" s="1"/>
      <c r="X2311" s="1"/>
      <c r="Y2311" s="1"/>
      <c r="Z2311" s="1"/>
      <c r="AA2311" s="1"/>
      <c r="AB2311" s="1"/>
      <c r="AC2311" s="1"/>
      <c r="AD2311" s="1"/>
      <c r="AE2311" s="1"/>
      <c r="AF2311" s="1"/>
    </row>
    <row r="2312" spans="7:32" x14ac:dyDescent="0.2">
      <c r="G2312" s="2"/>
      <c r="H2312" s="1"/>
      <c r="I2312" s="1"/>
      <c r="J2312" s="1"/>
      <c r="K2312" s="1"/>
      <c r="L2312" s="1"/>
      <c r="M2312" s="1"/>
      <c r="N2312" s="1"/>
      <c r="O2312" s="1"/>
      <c r="P2312" s="1"/>
      <c r="Q2312" s="1"/>
      <c r="R2312" s="1"/>
      <c r="S2312" s="1"/>
      <c r="T2312" s="1"/>
      <c r="U2312" s="1"/>
      <c r="V2312" s="1"/>
      <c r="W2312" s="1"/>
      <c r="X2312" s="1"/>
      <c r="Y2312" s="1"/>
      <c r="Z2312" s="1"/>
      <c r="AA2312" s="1"/>
      <c r="AB2312" s="1"/>
      <c r="AC2312" s="1"/>
      <c r="AD2312" s="1"/>
      <c r="AE2312" s="1"/>
      <c r="AF2312" s="1"/>
    </row>
    <row r="2313" spans="7:32" x14ac:dyDescent="0.2">
      <c r="G2313" s="2"/>
      <c r="H2313" s="1"/>
      <c r="I2313" s="1"/>
      <c r="J2313" s="1"/>
      <c r="K2313" s="1"/>
      <c r="L2313" s="1"/>
      <c r="M2313" s="1"/>
      <c r="N2313" s="1"/>
      <c r="O2313" s="1"/>
      <c r="P2313" s="1"/>
      <c r="Q2313" s="1"/>
      <c r="R2313" s="1"/>
      <c r="S2313" s="1"/>
      <c r="T2313" s="1"/>
      <c r="U2313" s="1"/>
      <c r="V2313" s="1"/>
      <c r="W2313" s="1"/>
      <c r="X2313" s="1"/>
      <c r="Y2313" s="1"/>
      <c r="Z2313" s="1"/>
      <c r="AA2313" s="1"/>
      <c r="AB2313" s="1"/>
      <c r="AC2313" s="1"/>
      <c r="AD2313" s="1"/>
      <c r="AE2313" s="1"/>
      <c r="AF2313" s="1"/>
    </row>
    <row r="2314" spans="7:32" x14ac:dyDescent="0.2">
      <c r="G2314" s="2"/>
      <c r="H2314" s="1"/>
      <c r="I2314" s="1"/>
      <c r="J2314" s="1"/>
      <c r="K2314" s="1"/>
      <c r="L2314" s="1"/>
      <c r="M2314" s="1"/>
      <c r="N2314" s="1"/>
      <c r="O2314" s="1"/>
      <c r="P2314" s="1"/>
      <c r="Q2314" s="1"/>
      <c r="R2314" s="1"/>
      <c r="S2314" s="1"/>
      <c r="T2314" s="1"/>
      <c r="U2314" s="1"/>
      <c r="V2314" s="1"/>
      <c r="W2314" s="1"/>
      <c r="X2314" s="1"/>
      <c r="Y2314" s="1"/>
      <c r="Z2314" s="1"/>
      <c r="AA2314" s="1"/>
      <c r="AB2314" s="1"/>
      <c r="AC2314" s="1"/>
      <c r="AD2314" s="1"/>
      <c r="AE2314" s="1"/>
      <c r="AF2314" s="1"/>
    </row>
    <row r="2315" spans="7:32" x14ac:dyDescent="0.2">
      <c r="G2315" s="2"/>
      <c r="H2315" s="1"/>
      <c r="I2315" s="1"/>
      <c r="J2315" s="1"/>
      <c r="K2315" s="1"/>
      <c r="L2315" s="1"/>
      <c r="M2315" s="1"/>
      <c r="N2315" s="1"/>
      <c r="O2315" s="1"/>
      <c r="P2315" s="1"/>
      <c r="Q2315" s="1"/>
      <c r="R2315" s="1"/>
      <c r="S2315" s="1"/>
      <c r="T2315" s="1"/>
      <c r="U2315" s="1"/>
      <c r="V2315" s="1"/>
      <c r="W2315" s="1"/>
      <c r="X2315" s="1"/>
      <c r="Y2315" s="1"/>
      <c r="Z2315" s="1"/>
      <c r="AA2315" s="1"/>
      <c r="AB2315" s="1"/>
      <c r="AC2315" s="1"/>
      <c r="AD2315" s="1"/>
      <c r="AE2315" s="1"/>
      <c r="AF2315" s="1"/>
    </row>
    <row r="2316" spans="7:32" x14ac:dyDescent="0.2">
      <c r="G2316" s="2"/>
      <c r="H2316" s="1"/>
      <c r="I2316" s="1"/>
      <c r="J2316" s="1"/>
      <c r="K2316" s="1"/>
      <c r="L2316" s="1"/>
      <c r="M2316" s="1"/>
      <c r="N2316" s="1"/>
      <c r="O2316" s="1"/>
      <c r="P2316" s="1"/>
      <c r="Q2316" s="1"/>
      <c r="R2316" s="1"/>
      <c r="S2316" s="1"/>
      <c r="T2316" s="1"/>
      <c r="U2316" s="1"/>
      <c r="V2316" s="1"/>
      <c r="W2316" s="1"/>
      <c r="X2316" s="1"/>
      <c r="Y2316" s="1"/>
      <c r="Z2316" s="1"/>
      <c r="AA2316" s="1"/>
      <c r="AB2316" s="1"/>
      <c r="AC2316" s="1"/>
      <c r="AD2316" s="1"/>
      <c r="AE2316" s="1"/>
      <c r="AF2316" s="1"/>
    </row>
    <row r="2317" spans="7:32" x14ac:dyDescent="0.2">
      <c r="G2317" s="2"/>
      <c r="H2317" s="1"/>
      <c r="I2317" s="1"/>
      <c r="J2317" s="1"/>
      <c r="K2317" s="1"/>
      <c r="L2317" s="1"/>
      <c r="M2317" s="1"/>
      <c r="N2317" s="1"/>
      <c r="O2317" s="1"/>
      <c r="P2317" s="1"/>
      <c r="Q2317" s="1"/>
      <c r="R2317" s="1"/>
      <c r="S2317" s="1"/>
      <c r="T2317" s="1"/>
      <c r="U2317" s="1"/>
      <c r="V2317" s="1"/>
      <c r="W2317" s="1"/>
      <c r="X2317" s="1"/>
      <c r="Y2317" s="1"/>
      <c r="Z2317" s="1"/>
      <c r="AA2317" s="1"/>
      <c r="AB2317" s="1"/>
      <c r="AC2317" s="1"/>
      <c r="AD2317" s="1"/>
      <c r="AE2317" s="1"/>
      <c r="AF2317" s="1"/>
    </row>
    <row r="2318" spans="7:32" x14ac:dyDescent="0.2">
      <c r="G2318" s="2"/>
      <c r="H2318" s="1"/>
      <c r="I2318" s="1"/>
      <c r="J2318" s="1"/>
      <c r="K2318" s="1"/>
      <c r="L2318" s="1"/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/>
      <c r="X2318" s="1"/>
      <c r="Y2318" s="1"/>
      <c r="Z2318" s="1"/>
      <c r="AA2318" s="1"/>
      <c r="AB2318" s="1"/>
      <c r="AC2318" s="1"/>
      <c r="AD2318" s="1"/>
      <c r="AE2318" s="1"/>
      <c r="AF2318" s="1"/>
    </row>
    <row r="2319" spans="7:32" x14ac:dyDescent="0.2">
      <c r="G2319" s="2"/>
      <c r="H2319" s="1"/>
      <c r="I2319" s="1"/>
      <c r="J2319" s="1"/>
      <c r="K2319" s="1"/>
      <c r="L2319" s="1"/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/>
      <c r="X2319" s="1"/>
      <c r="Y2319" s="1"/>
      <c r="Z2319" s="1"/>
      <c r="AA2319" s="1"/>
      <c r="AB2319" s="1"/>
      <c r="AC2319" s="1"/>
      <c r="AD2319" s="1"/>
      <c r="AE2319" s="1"/>
      <c r="AF2319" s="1"/>
    </row>
    <row r="2320" spans="7:32" x14ac:dyDescent="0.2">
      <c r="G2320" s="2"/>
      <c r="H2320" s="1"/>
      <c r="I2320" s="1"/>
      <c r="J2320" s="1"/>
      <c r="K2320" s="1"/>
      <c r="L2320" s="1"/>
      <c r="M2320" s="1"/>
      <c r="N2320" s="1"/>
      <c r="O2320" s="1"/>
      <c r="P2320" s="1"/>
      <c r="Q2320" s="1"/>
      <c r="R2320" s="1"/>
      <c r="S2320" s="1"/>
      <c r="T2320" s="1"/>
      <c r="U2320" s="1"/>
      <c r="V2320" s="1"/>
      <c r="W2320" s="1"/>
      <c r="X2320" s="1"/>
      <c r="Y2320" s="1"/>
      <c r="Z2320" s="1"/>
      <c r="AA2320" s="1"/>
      <c r="AB2320" s="1"/>
      <c r="AC2320" s="1"/>
      <c r="AD2320" s="1"/>
      <c r="AE2320" s="1"/>
      <c r="AF2320" s="1"/>
    </row>
    <row r="2321" spans="7:32" x14ac:dyDescent="0.2">
      <c r="G2321" s="2"/>
      <c r="H2321" s="1"/>
      <c r="I2321" s="1"/>
      <c r="J2321" s="1"/>
      <c r="K2321" s="1"/>
      <c r="L2321" s="1"/>
      <c r="M2321" s="1"/>
      <c r="N2321" s="1"/>
      <c r="O2321" s="1"/>
      <c r="P2321" s="1"/>
      <c r="Q2321" s="1"/>
      <c r="R2321" s="1"/>
      <c r="S2321" s="1"/>
      <c r="T2321" s="1"/>
      <c r="U2321" s="1"/>
      <c r="V2321" s="1"/>
      <c r="W2321" s="1"/>
      <c r="X2321" s="1"/>
      <c r="Y2321" s="1"/>
      <c r="Z2321" s="1"/>
      <c r="AA2321" s="1"/>
      <c r="AB2321" s="1"/>
      <c r="AC2321" s="1"/>
      <c r="AD2321" s="1"/>
      <c r="AE2321" s="1"/>
      <c r="AF2321" s="1"/>
    </row>
    <row r="2322" spans="7:32" x14ac:dyDescent="0.2">
      <c r="G2322" s="2"/>
      <c r="H2322" s="1"/>
      <c r="I2322" s="1"/>
      <c r="J2322" s="1"/>
      <c r="K2322" s="1"/>
      <c r="L2322" s="1"/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  <c r="X2322" s="1"/>
      <c r="Y2322" s="1"/>
      <c r="Z2322" s="1"/>
      <c r="AA2322" s="1"/>
      <c r="AB2322" s="1"/>
      <c r="AC2322" s="1"/>
      <c r="AD2322" s="1"/>
      <c r="AE2322" s="1"/>
      <c r="AF2322" s="1"/>
    </row>
    <row r="2323" spans="7:32" x14ac:dyDescent="0.2">
      <c r="G2323" s="2"/>
      <c r="H2323" s="1"/>
      <c r="I2323" s="1"/>
      <c r="J2323" s="1"/>
      <c r="K2323" s="1"/>
      <c r="L2323" s="1"/>
      <c r="M2323" s="1"/>
      <c r="N2323" s="1"/>
      <c r="O2323" s="1"/>
      <c r="P2323" s="1"/>
      <c r="Q2323" s="1"/>
      <c r="R2323" s="1"/>
      <c r="S2323" s="1"/>
      <c r="T2323" s="1"/>
      <c r="U2323" s="1"/>
      <c r="V2323" s="1"/>
      <c r="W2323" s="1"/>
      <c r="X2323" s="1"/>
      <c r="Y2323" s="1"/>
      <c r="Z2323" s="1"/>
      <c r="AA2323" s="1"/>
      <c r="AB2323" s="1"/>
      <c r="AC2323" s="1"/>
      <c r="AD2323" s="1"/>
      <c r="AE2323" s="1"/>
      <c r="AF2323" s="1"/>
    </row>
    <row r="2324" spans="7:32" x14ac:dyDescent="0.2">
      <c r="G2324" s="2"/>
      <c r="H2324" s="1"/>
      <c r="I2324" s="1"/>
      <c r="J2324" s="1"/>
      <c r="K2324" s="1"/>
      <c r="L2324" s="1"/>
      <c r="M2324" s="1"/>
      <c r="N2324" s="1"/>
      <c r="O2324" s="1"/>
      <c r="P2324" s="1"/>
      <c r="Q2324" s="1"/>
      <c r="R2324" s="1"/>
      <c r="S2324" s="1"/>
      <c r="T2324" s="1"/>
      <c r="U2324" s="1"/>
      <c r="V2324" s="1"/>
      <c r="W2324" s="1"/>
      <c r="X2324" s="1"/>
      <c r="Y2324" s="1"/>
      <c r="Z2324" s="1"/>
      <c r="AA2324" s="1"/>
      <c r="AB2324" s="1"/>
      <c r="AC2324" s="1"/>
      <c r="AD2324" s="1"/>
      <c r="AE2324" s="1"/>
      <c r="AF2324" s="1"/>
    </row>
    <row r="2325" spans="7:32" x14ac:dyDescent="0.2">
      <c r="G2325" s="2"/>
      <c r="H2325" s="1"/>
      <c r="I2325" s="1"/>
      <c r="J2325" s="1"/>
      <c r="K2325" s="1"/>
      <c r="L2325" s="1"/>
      <c r="M2325" s="1"/>
      <c r="N2325" s="1"/>
      <c r="O2325" s="1"/>
      <c r="P2325" s="1"/>
      <c r="Q2325" s="1"/>
      <c r="R2325" s="1"/>
      <c r="S2325" s="1"/>
      <c r="T2325" s="1"/>
      <c r="U2325" s="1"/>
      <c r="V2325" s="1"/>
      <c r="W2325" s="1"/>
      <c r="X2325" s="1"/>
      <c r="Y2325" s="1"/>
      <c r="Z2325" s="1"/>
      <c r="AA2325" s="1"/>
      <c r="AB2325" s="1"/>
      <c r="AC2325" s="1"/>
      <c r="AD2325" s="1"/>
      <c r="AE2325" s="1"/>
      <c r="AF2325" s="1"/>
    </row>
    <row r="2326" spans="7:32" x14ac:dyDescent="0.2">
      <c r="G2326" s="2"/>
      <c r="H2326" s="1"/>
      <c r="I2326" s="1"/>
      <c r="J2326" s="1"/>
      <c r="K2326" s="1"/>
      <c r="L2326" s="1"/>
      <c r="M2326" s="1"/>
      <c r="N2326" s="1"/>
      <c r="O2326" s="1"/>
      <c r="P2326" s="1"/>
      <c r="Q2326" s="1"/>
      <c r="R2326" s="1"/>
      <c r="S2326" s="1"/>
      <c r="T2326" s="1"/>
      <c r="U2326" s="1"/>
      <c r="V2326" s="1"/>
      <c r="W2326" s="1"/>
      <c r="X2326" s="1"/>
      <c r="Y2326" s="1"/>
      <c r="Z2326" s="1"/>
      <c r="AA2326" s="1"/>
      <c r="AB2326" s="1"/>
      <c r="AC2326" s="1"/>
      <c r="AD2326" s="1"/>
      <c r="AE2326" s="1"/>
      <c r="AF2326" s="1"/>
    </row>
    <row r="2327" spans="7:32" x14ac:dyDescent="0.2">
      <c r="G2327" s="2"/>
      <c r="H2327" s="1"/>
      <c r="I2327" s="1"/>
      <c r="J2327" s="1"/>
      <c r="K2327" s="1"/>
      <c r="L2327" s="1"/>
      <c r="M2327" s="1"/>
      <c r="N2327" s="1"/>
      <c r="O2327" s="1"/>
      <c r="P2327" s="1"/>
      <c r="Q2327" s="1"/>
      <c r="R2327" s="1"/>
      <c r="S2327" s="1"/>
      <c r="T2327" s="1"/>
      <c r="U2327" s="1"/>
      <c r="V2327" s="1"/>
      <c r="W2327" s="1"/>
      <c r="X2327" s="1"/>
      <c r="Y2327" s="1"/>
      <c r="Z2327" s="1"/>
      <c r="AA2327" s="1"/>
      <c r="AB2327" s="1"/>
      <c r="AC2327" s="1"/>
      <c r="AD2327" s="1"/>
      <c r="AE2327" s="1"/>
      <c r="AF2327" s="1"/>
    </row>
    <row r="2328" spans="7:32" x14ac:dyDescent="0.2">
      <c r="G2328" s="2"/>
      <c r="H2328" s="1"/>
      <c r="I2328" s="1"/>
      <c r="J2328" s="1"/>
      <c r="K2328" s="1"/>
      <c r="L2328" s="1"/>
      <c r="M2328" s="1"/>
      <c r="N2328" s="1"/>
      <c r="O2328" s="1"/>
      <c r="P2328" s="1"/>
      <c r="Q2328" s="1"/>
      <c r="R2328" s="1"/>
      <c r="S2328" s="1"/>
      <c r="T2328" s="1"/>
      <c r="U2328" s="1"/>
      <c r="V2328" s="1"/>
      <c r="W2328" s="1"/>
      <c r="X2328" s="1"/>
      <c r="Y2328" s="1"/>
      <c r="Z2328" s="1"/>
      <c r="AA2328" s="1"/>
      <c r="AB2328" s="1"/>
      <c r="AC2328" s="1"/>
      <c r="AD2328" s="1"/>
      <c r="AE2328" s="1"/>
      <c r="AF2328" s="1"/>
    </row>
    <row r="2329" spans="7:32" x14ac:dyDescent="0.2">
      <c r="G2329" s="2"/>
      <c r="H2329" s="1"/>
      <c r="I2329" s="1"/>
      <c r="J2329" s="1"/>
      <c r="K2329" s="1"/>
      <c r="L2329" s="1"/>
      <c r="M2329" s="1"/>
      <c r="N2329" s="1"/>
      <c r="O2329" s="1"/>
      <c r="P2329" s="1"/>
      <c r="Q2329" s="1"/>
      <c r="R2329" s="1"/>
      <c r="S2329" s="1"/>
      <c r="T2329" s="1"/>
      <c r="U2329" s="1"/>
      <c r="V2329" s="1"/>
      <c r="W2329" s="1"/>
      <c r="X2329" s="1"/>
      <c r="Y2329" s="1"/>
      <c r="Z2329" s="1"/>
      <c r="AA2329" s="1"/>
      <c r="AB2329" s="1"/>
      <c r="AC2329" s="1"/>
      <c r="AD2329" s="1"/>
      <c r="AE2329" s="1"/>
      <c r="AF2329" s="1"/>
    </row>
    <row r="2330" spans="7:32" x14ac:dyDescent="0.2">
      <c r="G2330" s="2"/>
      <c r="H2330" s="1"/>
      <c r="I2330" s="1"/>
      <c r="J2330" s="1"/>
      <c r="K2330" s="1"/>
      <c r="L2330" s="1"/>
      <c r="M2330" s="1"/>
      <c r="N2330" s="1"/>
      <c r="O2330" s="1"/>
      <c r="P2330" s="1"/>
      <c r="Q2330" s="1"/>
      <c r="R2330" s="1"/>
      <c r="S2330" s="1"/>
      <c r="T2330" s="1"/>
      <c r="U2330" s="1"/>
      <c r="V2330" s="1"/>
      <c r="W2330" s="1"/>
      <c r="X2330" s="1"/>
      <c r="Y2330" s="1"/>
      <c r="Z2330" s="1"/>
      <c r="AA2330" s="1"/>
      <c r="AB2330" s="1"/>
      <c r="AC2330" s="1"/>
      <c r="AD2330" s="1"/>
      <c r="AE2330" s="1"/>
      <c r="AF2330" s="1"/>
    </row>
    <row r="2331" spans="7:32" x14ac:dyDescent="0.2">
      <c r="G2331" s="2"/>
      <c r="H2331" s="1"/>
      <c r="I2331" s="1"/>
      <c r="J2331" s="1"/>
      <c r="K2331" s="1"/>
      <c r="L2331" s="1"/>
      <c r="M2331" s="1"/>
      <c r="N2331" s="1"/>
      <c r="O2331" s="1"/>
      <c r="P2331" s="1"/>
      <c r="Q2331" s="1"/>
      <c r="R2331" s="1"/>
      <c r="S2331" s="1"/>
      <c r="T2331" s="1"/>
      <c r="U2331" s="1"/>
      <c r="V2331" s="1"/>
      <c r="W2331" s="1"/>
      <c r="X2331" s="1"/>
      <c r="Y2331" s="1"/>
      <c r="Z2331" s="1"/>
      <c r="AA2331" s="1"/>
      <c r="AB2331" s="1"/>
      <c r="AC2331" s="1"/>
      <c r="AD2331" s="1"/>
      <c r="AE2331" s="1"/>
      <c r="AF2331" s="1"/>
    </row>
    <row r="2332" spans="7:32" x14ac:dyDescent="0.2">
      <c r="G2332" s="2"/>
      <c r="H2332" s="1"/>
      <c r="I2332" s="1"/>
      <c r="J2332" s="1"/>
      <c r="K2332" s="1"/>
      <c r="L2332" s="1"/>
      <c r="M2332" s="1"/>
      <c r="N2332" s="1"/>
      <c r="O2332" s="1"/>
      <c r="P2332" s="1"/>
      <c r="Q2332" s="1"/>
      <c r="R2332" s="1"/>
      <c r="S2332" s="1"/>
      <c r="T2332" s="1"/>
      <c r="U2332" s="1"/>
      <c r="V2332" s="1"/>
      <c r="W2332" s="1"/>
      <c r="X2332" s="1"/>
      <c r="Y2332" s="1"/>
      <c r="Z2332" s="1"/>
      <c r="AA2332" s="1"/>
      <c r="AB2332" s="1"/>
      <c r="AC2332" s="1"/>
      <c r="AD2332" s="1"/>
      <c r="AE2332" s="1"/>
      <c r="AF2332" s="1"/>
    </row>
    <row r="2333" spans="7:32" x14ac:dyDescent="0.2">
      <c r="G2333" s="2"/>
      <c r="H2333" s="1"/>
      <c r="I2333" s="1"/>
      <c r="J2333" s="1"/>
      <c r="K2333" s="1"/>
      <c r="L2333" s="1"/>
      <c r="M2333" s="1"/>
      <c r="N2333" s="1"/>
      <c r="O2333" s="1"/>
      <c r="P2333" s="1"/>
      <c r="Q2333" s="1"/>
      <c r="R2333" s="1"/>
      <c r="S2333" s="1"/>
      <c r="T2333" s="1"/>
      <c r="U2333" s="1"/>
      <c r="V2333" s="1"/>
      <c r="W2333" s="1"/>
      <c r="X2333" s="1"/>
      <c r="Y2333" s="1"/>
      <c r="Z2333" s="1"/>
      <c r="AA2333" s="1"/>
      <c r="AB2333" s="1"/>
      <c r="AC2333" s="1"/>
      <c r="AD2333" s="1"/>
      <c r="AE2333" s="1"/>
      <c r="AF2333" s="1"/>
    </row>
    <row r="2334" spans="7:32" x14ac:dyDescent="0.2">
      <c r="G2334" s="2"/>
      <c r="H2334" s="1"/>
      <c r="I2334" s="1"/>
      <c r="J2334" s="1"/>
      <c r="K2334" s="1"/>
      <c r="L2334" s="1"/>
      <c r="M2334" s="1"/>
      <c r="N2334" s="1"/>
      <c r="O2334" s="1"/>
      <c r="P2334" s="1"/>
      <c r="Q2334" s="1"/>
      <c r="R2334" s="1"/>
      <c r="S2334" s="1"/>
      <c r="T2334" s="1"/>
      <c r="U2334" s="1"/>
      <c r="V2334" s="1"/>
      <c r="W2334" s="1"/>
      <c r="X2334" s="1"/>
      <c r="Y2334" s="1"/>
      <c r="Z2334" s="1"/>
      <c r="AA2334" s="1"/>
      <c r="AB2334" s="1"/>
      <c r="AC2334" s="1"/>
      <c r="AD2334" s="1"/>
      <c r="AE2334" s="1"/>
      <c r="AF2334" s="1"/>
    </row>
    <row r="2335" spans="7:32" x14ac:dyDescent="0.2">
      <c r="G2335" s="2"/>
      <c r="H2335" s="1"/>
      <c r="I2335" s="1"/>
      <c r="J2335" s="1"/>
      <c r="K2335" s="1"/>
      <c r="L2335" s="1"/>
      <c r="M2335" s="1"/>
      <c r="N2335" s="1"/>
      <c r="O2335" s="1"/>
      <c r="P2335" s="1"/>
      <c r="Q2335" s="1"/>
      <c r="R2335" s="1"/>
      <c r="S2335" s="1"/>
      <c r="T2335" s="1"/>
      <c r="U2335" s="1"/>
      <c r="V2335" s="1"/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</row>
    <row r="2336" spans="7:32" x14ac:dyDescent="0.2">
      <c r="G2336" s="2"/>
      <c r="H2336" s="1"/>
      <c r="I2336" s="1"/>
      <c r="J2336" s="1"/>
      <c r="K2336" s="1"/>
      <c r="L2336" s="1"/>
      <c r="M2336" s="1"/>
      <c r="N2336" s="1"/>
      <c r="O2336" s="1"/>
      <c r="P2336" s="1"/>
      <c r="Q2336" s="1"/>
      <c r="R2336" s="1"/>
      <c r="S2336" s="1"/>
      <c r="T2336" s="1"/>
      <c r="U2336" s="1"/>
      <c r="V2336" s="1"/>
      <c r="W2336" s="1"/>
      <c r="X2336" s="1"/>
      <c r="Y2336" s="1"/>
      <c r="Z2336" s="1"/>
      <c r="AA2336" s="1"/>
      <c r="AB2336" s="1"/>
      <c r="AC2336" s="1"/>
      <c r="AD2336" s="1"/>
      <c r="AE2336" s="1"/>
      <c r="AF2336" s="1"/>
    </row>
    <row r="2337" spans="7:32" x14ac:dyDescent="0.2">
      <c r="G2337" s="2"/>
      <c r="H2337" s="1"/>
      <c r="I2337" s="1"/>
      <c r="J2337" s="1"/>
      <c r="K2337" s="1"/>
      <c r="L2337" s="1"/>
      <c r="M2337" s="1"/>
      <c r="N2337" s="1"/>
      <c r="O2337" s="1"/>
      <c r="P2337" s="1"/>
      <c r="Q2337" s="1"/>
      <c r="R2337" s="1"/>
      <c r="S2337" s="1"/>
      <c r="T2337" s="1"/>
      <c r="U2337" s="1"/>
      <c r="V2337" s="1"/>
      <c r="W2337" s="1"/>
      <c r="X2337" s="1"/>
      <c r="Y2337" s="1"/>
      <c r="Z2337" s="1"/>
      <c r="AA2337" s="1"/>
      <c r="AB2337" s="1"/>
      <c r="AC2337" s="1"/>
      <c r="AD2337" s="1"/>
      <c r="AE2337" s="1"/>
      <c r="AF2337" s="1"/>
    </row>
    <row r="2338" spans="7:32" x14ac:dyDescent="0.2">
      <c r="G2338" s="2"/>
      <c r="H2338" s="1"/>
      <c r="I2338" s="1"/>
      <c r="J2338" s="1"/>
      <c r="K2338" s="1"/>
      <c r="L2338" s="1"/>
      <c r="M2338" s="1"/>
      <c r="N2338" s="1"/>
      <c r="O2338" s="1"/>
      <c r="P2338" s="1"/>
      <c r="Q2338" s="1"/>
      <c r="R2338" s="1"/>
      <c r="S2338" s="1"/>
      <c r="T2338" s="1"/>
      <c r="U2338" s="1"/>
      <c r="V2338" s="1"/>
      <c r="W2338" s="1"/>
      <c r="X2338" s="1"/>
      <c r="Y2338" s="1"/>
      <c r="Z2338" s="1"/>
      <c r="AA2338" s="1"/>
      <c r="AB2338" s="1"/>
      <c r="AC2338" s="1"/>
      <c r="AD2338" s="1"/>
      <c r="AE2338" s="1"/>
      <c r="AF2338" s="1"/>
    </row>
    <row r="2339" spans="7:32" x14ac:dyDescent="0.2">
      <c r="G2339" s="2"/>
      <c r="H2339" s="1"/>
      <c r="I2339" s="1"/>
      <c r="J2339" s="1"/>
      <c r="K2339" s="1"/>
      <c r="L2339" s="1"/>
      <c r="M2339" s="1"/>
      <c r="N2339" s="1"/>
      <c r="O2339" s="1"/>
      <c r="P2339" s="1"/>
      <c r="Q2339" s="1"/>
      <c r="R2339" s="1"/>
      <c r="S2339" s="1"/>
      <c r="T2339" s="1"/>
      <c r="U2339" s="1"/>
      <c r="V2339" s="1"/>
      <c r="W2339" s="1"/>
      <c r="X2339" s="1"/>
      <c r="Y2339" s="1"/>
      <c r="Z2339" s="1"/>
      <c r="AA2339" s="1"/>
      <c r="AB2339" s="1"/>
      <c r="AC2339" s="1"/>
      <c r="AD2339" s="1"/>
      <c r="AE2339" s="1"/>
      <c r="AF2339" s="1"/>
    </row>
    <row r="2340" spans="7:32" x14ac:dyDescent="0.2">
      <c r="G2340" s="2"/>
      <c r="H2340" s="1"/>
      <c r="I2340" s="1"/>
      <c r="J2340" s="1"/>
      <c r="K2340" s="1"/>
      <c r="L2340" s="1"/>
      <c r="M2340" s="1"/>
      <c r="N2340" s="1"/>
      <c r="O2340" s="1"/>
      <c r="P2340" s="1"/>
      <c r="Q2340" s="1"/>
      <c r="R2340" s="1"/>
      <c r="S2340" s="1"/>
      <c r="T2340" s="1"/>
      <c r="U2340" s="1"/>
      <c r="V2340" s="1"/>
      <c r="W2340" s="1"/>
      <c r="X2340" s="1"/>
      <c r="Y2340" s="1"/>
      <c r="Z2340" s="1"/>
      <c r="AA2340" s="1"/>
      <c r="AB2340" s="1"/>
      <c r="AC2340" s="1"/>
      <c r="AD2340" s="1"/>
      <c r="AE2340" s="1"/>
      <c r="AF2340" s="1"/>
    </row>
    <row r="2341" spans="7:32" x14ac:dyDescent="0.2">
      <c r="G2341" s="2"/>
      <c r="H2341" s="1"/>
      <c r="I2341" s="1"/>
      <c r="J2341" s="1"/>
      <c r="K2341" s="1"/>
      <c r="L2341" s="1"/>
      <c r="M2341" s="1"/>
      <c r="N2341" s="1"/>
      <c r="O2341" s="1"/>
      <c r="P2341" s="1"/>
      <c r="Q2341" s="1"/>
      <c r="R2341" s="1"/>
      <c r="S2341" s="1"/>
      <c r="T2341" s="1"/>
      <c r="U2341" s="1"/>
      <c r="V2341" s="1"/>
      <c r="W2341" s="1"/>
      <c r="X2341" s="1"/>
      <c r="Y2341" s="1"/>
      <c r="Z2341" s="1"/>
      <c r="AA2341" s="1"/>
      <c r="AB2341" s="1"/>
      <c r="AC2341" s="1"/>
      <c r="AD2341" s="1"/>
      <c r="AE2341" s="1"/>
      <c r="AF2341" s="1"/>
    </row>
    <row r="2342" spans="7:32" x14ac:dyDescent="0.2">
      <c r="G2342" s="2"/>
      <c r="H2342" s="1"/>
      <c r="I2342" s="1"/>
      <c r="J2342" s="1"/>
      <c r="K2342" s="1"/>
      <c r="L2342" s="1"/>
      <c r="M2342" s="1"/>
      <c r="N2342" s="1"/>
      <c r="O2342" s="1"/>
      <c r="P2342" s="1"/>
      <c r="Q2342" s="1"/>
      <c r="R2342" s="1"/>
      <c r="S2342" s="1"/>
      <c r="T2342" s="1"/>
      <c r="U2342" s="1"/>
      <c r="V2342" s="1"/>
      <c r="W2342" s="1"/>
      <c r="X2342" s="1"/>
      <c r="Y2342" s="1"/>
      <c r="Z2342" s="1"/>
      <c r="AA2342" s="1"/>
      <c r="AB2342" s="1"/>
      <c r="AC2342" s="1"/>
      <c r="AD2342" s="1"/>
      <c r="AE2342" s="1"/>
      <c r="AF2342" s="1"/>
    </row>
    <row r="2343" spans="7:32" x14ac:dyDescent="0.2">
      <c r="G2343" s="2"/>
      <c r="H2343" s="1"/>
      <c r="I2343" s="1"/>
      <c r="J2343" s="1"/>
      <c r="K2343" s="1"/>
      <c r="L2343" s="1"/>
      <c r="M2343" s="1"/>
      <c r="N2343" s="1"/>
      <c r="O2343" s="1"/>
      <c r="P2343" s="1"/>
      <c r="Q2343" s="1"/>
      <c r="R2343" s="1"/>
      <c r="S2343" s="1"/>
      <c r="T2343" s="1"/>
      <c r="U2343" s="1"/>
      <c r="V2343" s="1"/>
      <c r="W2343" s="1"/>
      <c r="X2343" s="1"/>
      <c r="Y2343" s="1"/>
      <c r="Z2343" s="1"/>
      <c r="AA2343" s="1"/>
      <c r="AB2343" s="1"/>
      <c r="AC2343" s="1"/>
      <c r="AD2343" s="1"/>
      <c r="AE2343" s="1"/>
      <c r="AF2343" s="1"/>
    </row>
    <row r="2344" spans="7:32" x14ac:dyDescent="0.2">
      <c r="G2344" s="2"/>
      <c r="H2344" s="1"/>
      <c r="I2344" s="1"/>
      <c r="J2344" s="1"/>
      <c r="K2344" s="1"/>
      <c r="L2344" s="1"/>
      <c r="M2344" s="1"/>
      <c r="N2344" s="1"/>
      <c r="O2344" s="1"/>
      <c r="P2344" s="1"/>
      <c r="Q2344" s="1"/>
      <c r="R2344" s="1"/>
      <c r="S2344" s="1"/>
      <c r="T2344" s="1"/>
      <c r="U2344" s="1"/>
      <c r="V2344" s="1"/>
      <c r="W2344" s="1"/>
      <c r="X2344" s="1"/>
      <c r="Y2344" s="1"/>
      <c r="Z2344" s="1"/>
      <c r="AA2344" s="1"/>
      <c r="AB2344" s="1"/>
      <c r="AC2344" s="1"/>
      <c r="AD2344" s="1"/>
      <c r="AE2344" s="1"/>
      <c r="AF2344" s="1"/>
    </row>
    <row r="2345" spans="7:32" x14ac:dyDescent="0.2">
      <c r="G2345" s="2"/>
      <c r="H2345" s="1"/>
      <c r="I2345" s="1"/>
      <c r="J2345" s="1"/>
      <c r="K2345" s="1"/>
      <c r="L2345" s="1"/>
      <c r="M2345" s="1"/>
      <c r="N2345" s="1"/>
      <c r="O2345" s="1"/>
      <c r="P2345" s="1"/>
      <c r="Q2345" s="1"/>
      <c r="R2345" s="1"/>
      <c r="S2345" s="1"/>
      <c r="T2345" s="1"/>
      <c r="U2345" s="1"/>
      <c r="V2345" s="1"/>
      <c r="W2345" s="1"/>
      <c r="X2345" s="1"/>
      <c r="Y2345" s="1"/>
      <c r="Z2345" s="1"/>
      <c r="AA2345" s="1"/>
      <c r="AB2345" s="1"/>
      <c r="AC2345" s="1"/>
      <c r="AD2345" s="1"/>
      <c r="AE2345" s="1"/>
      <c r="AF2345" s="1"/>
    </row>
    <row r="2346" spans="7:32" x14ac:dyDescent="0.2">
      <c r="G2346" s="2"/>
      <c r="H2346" s="1"/>
      <c r="I2346" s="1"/>
      <c r="J2346" s="1"/>
      <c r="K2346" s="1"/>
      <c r="L2346" s="1"/>
      <c r="M2346" s="1"/>
      <c r="N2346" s="1"/>
      <c r="O2346" s="1"/>
      <c r="P2346" s="1"/>
      <c r="Q2346" s="1"/>
      <c r="R2346" s="1"/>
      <c r="S2346" s="1"/>
      <c r="T2346" s="1"/>
      <c r="U2346" s="1"/>
      <c r="V2346" s="1"/>
      <c r="W2346" s="1"/>
      <c r="X2346" s="1"/>
      <c r="Y2346" s="1"/>
      <c r="Z2346" s="1"/>
      <c r="AA2346" s="1"/>
      <c r="AB2346" s="1"/>
      <c r="AC2346" s="1"/>
      <c r="AD2346" s="1"/>
      <c r="AE2346" s="1"/>
      <c r="AF2346" s="1"/>
    </row>
    <row r="2347" spans="7:32" x14ac:dyDescent="0.2">
      <c r="G2347" s="2"/>
      <c r="H2347" s="1"/>
      <c r="I2347" s="1"/>
      <c r="J2347" s="1"/>
      <c r="K2347" s="1"/>
      <c r="L2347" s="1"/>
      <c r="M2347" s="1"/>
      <c r="N2347" s="1"/>
      <c r="O2347" s="1"/>
      <c r="P2347" s="1"/>
      <c r="Q2347" s="1"/>
      <c r="R2347" s="1"/>
      <c r="S2347" s="1"/>
      <c r="T2347" s="1"/>
      <c r="U2347" s="1"/>
      <c r="V2347" s="1"/>
      <c r="W2347" s="1"/>
      <c r="X2347" s="1"/>
      <c r="Y2347" s="1"/>
      <c r="Z2347" s="1"/>
      <c r="AA2347" s="1"/>
      <c r="AB2347" s="1"/>
      <c r="AC2347" s="1"/>
      <c r="AD2347" s="1"/>
      <c r="AE2347" s="1"/>
      <c r="AF2347" s="1"/>
    </row>
    <row r="2348" spans="7:32" x14ac:dyDescent="0.2">
      <c r="G2348" s="2"/>
      <c r="H2348" s="1"/>
      <c r="I2348" s="1"/>
      <c r="J2348" s="1"/>
      <c r="K2348" s="1"/>
      <c r="L2348" s="1"/>
      <c r="M2348" s="1"/>
      <c r="N2348" s="1"/>
      <c r="O2348" s="1"/>
      <c r="P2348" s="1"/>
      <c r="Q2348" s="1"/>
      <c r="R2348" s="1"/>
      <c r="S2348" s="1"/>
      <c r="T2348" s="1"/>
      <c r="U2348" s="1"/>
      <c r="V2348" s="1"/>
      <c r="W2348" s="1"/>
      <c r="X2348" s="1"/>
      <c r="Y2348" s="1"/>
      <c r="Z2348" s="1"/>
      <c r="AA2348" s="1"/>
      <c r="AB2348" s="1"/>
      <c r="AC2348" s="1"/>
      <c r="AD2348" s="1"/>
      <c r="AE2348" s="1"/>
      <c r="AF2348" s="1"/>
    </row>
    <row r="2349" spans="7:32" x14ac:dyDescent="0.2">
      <c r="G2349" s="2"/>
      <c r="H2349" s="1"/>
      <c r="I2349" s="1"/>
      <c r="J2349" s="1"/>
      <c r="K2349" s="1"/>
      <c r="L2349" s="1"/>
      <c r="M2349" s="1"/>
      <c r="N2349" s="1"/>
      <c r="O2349" s="1"/>
      <c r="P2349" s="1"/>
      <c r="Q2349" s="1"/>
      <c r="R2349" s="1"/>
      <c r="S2349" s="1"/>
      <c r="T2349" s="1"/>
      <c r="U2349" s="1"/>
      <c r="V2349" s="1"/>
      <c r="W2349" s="1"/>
      <c r="X2349" s="1"/>
      <c r="Y2349" s="1"/>
      <c r="Z2349" s="1"/>
      <c r="AA2349" s="1"/>
      <c r="AB2349" s="1"/>
      <c r="AC2349" s="1"/>
      <c r="AD2349" s="1"/>
      <c r="AE2349" s="1"/>
      <c r="AF2349" s="1"/>
    </row>
    <row r="2350" spans="7:32" x14ac:dyDescent="0.2">
      <c r="G2350" s="2"/>
      <c r="H2350" s="1"/>
      <c r="I2350" s="1"/>
      <c r="J2350" s="1"/>
      <c r="K2350" s="1"/>
      <c r="L2350" s="1"/>
      <c r="M2350" s="1"/>
      <c r="N2350" s="1"/>
      <c r="O2350" s="1"/>
      <c r="P2350" s="1"/>
      <c r="Q2350" s="1"/>
      <c r="R2350" s="1"/>
      <c r="S2350" s="1"/>
      <c r="T2350" s="1"/>
      <c r="U2350" s="1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</row>
    <row r="2351" spans="7:32" x14ac:dyDescent="0.2">
      <c r="G2351" s="2"/>
      <c r="H2351" s="1"/>
      <c r="I2351" s="1"/>
      <c r="J2351" s="1"/>
      <c r="K2351" s="1"/>
      <c r="L2351" s="1"/>
      <c r="M2351" s="1"/>
      <c r="N2351" s="1"/>
      <c r="O2351" s="1"/>
      <c r="P2351" s="1"/>
      <c r="Q2351" s="1"/>
      <c r="R2351" s="1"/>
      <c r="S2351" s="1"/>
      <c r="T2351" s="1"/>
      <c r="U2351" s="1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</row>
    <row r="2352" spans="7:32" x14ac:dyDescent="0.2">
      <c r="G2352" s="2"/>
      <c r="H2352" s="1"/>
      <c r="I2352" s="1"/>
      <c r="J2352" s="1"/>
      <c r="K2352" s="1"/>
      <c r="L2352" s="1"/>
      <c r="M2352" s="1"/>
      <c r="N2352" s="1"/>
      <c r="O2352" s="1"/>
      <c r="P2352" s="1"/>
      <c r="Q2352" s="1"/>
      <c r="R2352" s="1"/>
      <c r="S2352" s="1"/>
      <c r="T2352" s="1"/>
      <c r="U2352" s="1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</row>
    <row r="2353" spans="7:32" x14ac:dyDescent="0.2">
      <c r="G2353" s="2"/>
      <c r="H2353" s="1"/>
      <c r="I2353" s="1"/>
      <c r="J2353" s="1"/>
      <c r="K2353" s="1"/>
      <c r="L2353" s="1"/>
      <c r="M2353" s="1"/>
      <c r="N2353" s="1"/>
      <c r="O2353" s="1"/>
      <c r="P2353" s="1"/>
      <c r="Q2353" s="1"/>
      <c r="R2353" s="1"/>
      <c r="S2353" s="1"/>
      <c r="T2353" s="1"/>
      <c r="U2353" s="1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</row>
    <row r="2354" spans="7:32" x14ac:dyDescent="0.2">
      <c r="G2354" s="2"/>
      <c r="H2354" s="1"/>
      <c r="I2354" s="1"/>
      <c r="J2354" s="1"/>
      <c r="K2354" s="1"/>
      <c r="L2354" s="1"/>
      <c r="M2354" s="1"/>
      <c r="N2354" s="1"/>
      <c r="O2354" s="1"/>
      <c r="P2354" s="1"/>
      <c r="Q2354" s="1"/>
      <c r="R2354" s="1"/>
      <c r="S2354" s="1"/>
      <c r="T2354" s="1"/>
      <c r="U2354" s="1"/>
      <c r="V2354" s="1"/>
      <c r="W2354" s="1"/>
      <c r="X2354" s="1"/>
      <c r="Y2354" s="1"/>
      <c r="Z2354" s="1"/>
      <c r="AA2354" s="1"/>
      <c r="AB2354" s="1"/>
      <c r="AC2354" s="1"/>
      <c r="AD2354" s="1"/>
      <c r="AE2354" s="1"/>
      <c r="AF2354" s="1"/>
    </row>
    <row r="2355" spans="7:32" x14ac:dyDescent="0.2">
      <c r="G2355" s="2"/>
      <c r="H2355" s="1"/>
      <c r="I2355" s="1"/>
      <c r="J2355" s="1"/>
      <c r="K2355" s="1"/>
      <c r="L2355" s="1"/>
      <c r="M2355" s="1"/>
      <c r="N2355" s="1"/>
      <c r="O2355" s="1"/>
      <c r="P2355" s="1"/>
      <c r="Q2355" s="1"/>
      <c r="R2355" s="1"/>
      <c r="S2355" s="1"/>
      <c r="T2355" s="1"/>
      <c r="U2355" s="1"/>
      <c r="V2355" s="1"/>
      <c r="W2355" s="1"/>
      <c r="X2355" s="1"/>
      <c r="Y2355" s="1"/>
      <c r="Z2355" s="1"/>
      <c r="AA2355" s="1"/>
      <c r="AB2355" s="1"/>
      <c r="AC2355" s="1"/>
      <c r="AD2355" s="1"/>
      <c r="AE2355" s="1"/>
      <c r="AF2355" s="1"/>
    </row>
    <row r="2356" spans="7:32" x14ac:dyDescent="0.2">
      <c r="G2356" s="2"/>
      <c r="H2356" s="1"/>
      <c r="I2356" s="1"/>
      <c r="J2356" s="1"/>
      <c r="K2356" s="1"/>
      <c r="L2356" s="1"/>
      <c r="M2356" s="1"/>
      <c r="N2356" s="1"/>
      <c r="O2356" s="1"/>
      <c r="P2356" s="1"/>
      <c r="Q2356" s="1"/>
      <c r="R2356" s="1"/>
      <c r="S2356" s="1"/>
      <c r="T2356" s="1"/>
      <c r="U2356" s="1"/>
      <c r="V2356" s="1"/>
      <c r="W2356" s="1"/>
      <c r="X2356" s="1"/>
      <c r="Y2356" s="1"/>
      <c r="Z2356" s="1"/>
      <c r="AA2356" s="1"/>
      <c r="AB2356" s="1"/>
      <c r="AC2356" s="1"/>
      <c r="AD2356" s="1"/>
      <c r="AE2356" s="1"/>
      <c r="AF2356" s="1"/>
    </row>
    <row r="2357" spans="7:32" x14ac:dyDescent="0.2">
      <c r="G2357" s="2"/>
      <c r="H2357" s="1"/>
      <c r="I2357" s="1"/>
      <c r="J2357" s="1"/>
      <c r="K2357" s="1"/>
      <c r="L2357" s="1"/>
      <c r="M2357" s="1"/>
      <c r="N2357" s="1"/>
      <c r="O2357" s="1"/>
      <c r="P2357" s="1"/>
      <c r="Q2357" s="1"/>
      <c r="R2357" s="1"/>
      <c r="S2357" s="1"/>
      <c r="T2357" s="1"/>
      <c r="U2357" s="1"/>
      <c r="V2357" s="1"/>
      <c r="W2357" s="1"/>
      <c r="X2357" s="1"/>
      <c r="Y2357" s="1"/>
      <c r="Z2357" s="1"/>
      <c r="AA2357" s="1"/>
      <c r="AB2357" s="1"/>
      <c r="AC2357" s="1"/>
      <c r="AD2357" s="1"/>
      <c r="AE2357" s="1"/>
      <c r="AF2357" s="1"/>
    </row>
    <row r="2358" spans="7:32" x14ac:dyDescent="0.2">
      <c r="G2358" s="2"/>
      <c r="H2358" s="1"/>
      <c r="I2358" s="1"/>
      <c r="J2358" s="1"/>
      <c r="K2358" s="1"/>
      <c r="L2358" s="1"/>
      <c r="M2358" s="1"/>
      <c r="N2358" s="1"/>
      <c r="O2358" s="1"/>
      <c r="P2358" s="1"/>
      <c r="Q2358" s="1"/>
      <c r="R2358" s="1"/>
      <c r="S2358" s="1"/>
      <c r="T2358" s="1"/>
      <c r="U2358" s="1"/>
      <c r="V2358" s="1"/>
      <c r="W2358" s="1"/>
      <c r="X2358" s="1"/>
      <c r="Y2358" s="1"/>
      <c r="Z2358" s="1"/>
      <c r="AA2358" s="1"/>
      <c r="AB2358" s="1"/>
      <c r="AC2358" s="1"/>
      <c r="AD2358" s="1"/>
      <c r="AE2358" s="1"/>
      <c r="AF2358" s="1"/>
    </row>
    <row r="2359" spans="7:32" x14ac:dyDescent="0.2">
      <c r="G2359" s="2"/>
      <c r="H2359" s="1"/>
      <c r="I2359" s="1"/>
      <c r="J2359" s="1"/>
      <c r="K2359" s="1"/>
      <c r="L2359" s="1"/>
      <c r="M2359" s="1"/>
      <c r="N2359" s="1"/>
      <c r="O2359" s="1"/>
      <c r="P2359" s="1"/>
      <c r="Q2359" s="1"/>
      <c r="R2359" s="1"/>
      <c r="S2359" s="1"/>
      <c r="T2359" s="1"/>
      <c r="U2359" s="1"/>
      <c r="V2359" s="1"/>
      <c r="W2359" s="1"/>
      <c r="X2359" s="1"/>
      <c r="Y2359" s="1"/>
      <c r="Z2359" s="1"/>
      <c r="AA2359" s="1"/>
      <c r="AB2359" s="1"/>
      <c r="AC2359" s="1"/>
      <c r="AD2359" s="1"/>
      <c r="AE2359" s="1"/>
      <c r="AF2359" s="1"/>
    </row>
    <row r="2360" spans="7:32" x14ac:dyDescent="0.2">
      <c r="G2360" s="2"/>
      <c r="H2360" s="1"/>
      <c r="I2360" s="1"/>
      <c r="J2360" s="1"/>
      <c r="K2360" s="1"/>
      <c r="L2360" s="1"/>
      <c r="M2360" s="1"/>
      <c r="N2360" s="1"/>
      <c r="O2360" s="1"/>
      <c r="P2360" s="1"/>
      <c r="Q2360" s="1"/>
      <c r="R2360" s="1"/>
      <c r="S2360" s="1"/>
      <c r="T2360" s="1"/>
      <c r="U2360" s="1"/>
      <c r="V2360" s="1"/>
      <c r="W2360" s="1"/>
      <c r="X2360" s="1"/>
      <c r="Y2360" s="1"/>
      <c r="Z2360" s="1"/>
      <c r="AA2360" s="1"/>
      <c r="AB2360" s="1"/>
      <c r="AC2360" s="1"/>
      <c r="AD2360" s="1"/>
      <c r="AE2360" s="1"/>
      <c r="AF2360" s="1"/>
    </row>
    <row r="2361" spans="7:32" x14ac:dyDescent="0.2">
      <c r="G2361" s="2"/>
      <c r="H2361" s="1"/>
      <c r="I2361" s="1"/>
      <c r="J2361" s="1"/>
      <c r="K2361" s="1"/>
      <c r="L2361" s="1"/>
      <c r="M2361" s="1"/>
      <c r="N2361" s="1"/>
      <c r="O2361" s="1"/>
      <c r="P2361" s="1"/>
      <c r="Q2361" s="1"/>
      <c r="R2361" s="1"/>
      <c r="S2361" s="1"/>
      <c r="T2361" s="1"/>
      <c r="U2361" s="1"/>
      <c r="V2361" s="1"/>
      <c r="W2361" s="1"/>
      <c r="X2361" s="1"/>
      <c r="Y2361" s="1"/>
      <c r="Z2361" s="1"/>
      <c r="AA2361" s="1"/>
      <c r="AB2361" s="1"/>
      <c r="AC2361" s="1"/>
      <c r="AD2361" s="1"/>
      <c r="AE2361" s="1"/>
      <c r="AF2361" s="1"/>
    </row>
    <row r="2362" spans="7:32" x14ac:dyDescent="0.2">
      <c r="G2362" s="2"/>
      <c r="H2362" s="1"/>
      <c r="I2362" s="1"/>
      <c r="J2362" s="1"/>
      <c r="K2362" s="1"/>
      <c r="L2362" s="1"/>
      <c r="M2362" s="1"/>
      <c r="N2362" s="1"/>
      <c r="O2362" s="1"/>
      <c r="P2362" s="1"/>
      <c r="Q2362" s="1"/>
      <c r="R2362" s="1"/>
      <c r="S2362" s="1"/>
      <c r="T2362" s="1"/>
      <c r="U2362" s="1"/>
      <c r="V2362" s="1"/>
      <c r="W2362" s="1"/>
      <c r="X2362" s="1"/>
      <c r="Y2362" s="1"/>
      <c r="Z2362" s="1"/>
      <c r="AA2362" s="1"/>
      <c r="AB2362" s="1"/>
      <c r="AC2362" s="1"/>
      <c r="AD2362" s="1"/>
      <c r="AE2362" s="1"/>
      <c r="AF2362" s="1"/>
    </row>
    <row r="2363" spans="7:32" x14ac:dyDescent="0.2">
      <c r="G2363" s="2"/>
      <c r="H2363" s="1"/>
      <c r="I2363" s="1"/>
      <c r="J2363" s="1"/>
      <c r="K2363" s="1"/>
      <c r="L2363" s="1"/>
      <c r="M2363" s="1"/>
      <c r="N2363" s="1"/>
      <c r="O2363" s="1"/>
      <c r="P2363" s="1"/>
      <c r="Q2363" s="1"/>
      <c r="R2363" s="1"/>
      <c r="S2363" s="1"/>
      <c r="T2363" s="1"/>
      <c r="U2363" s="1"/>
      <c r="V2363" s="1"/>
      <c r="W2363" s="1"/>
      <c r="X2363" s="1"/>
      <c r="Y2363" s="1"/>
      <c r="Z2363" s="1"/>
      <c r="AA2363" s="1"/>
      <c r="AB2363" s="1"/>
      <c r="AC2363" s="1"/>
      <c r="AD2363" s="1"/>
      <c r="AE2363" s="1"/>
      <c r="AF2363" s="1"/>
    </row>
    <row r="2364" spans="7:32" x14ac:dyDescent="0.2">
      <c r="G2364" s="2"/>
      <c r="H2364" s="1"/>
      <c r="I2364" s="1"/>
      <c r="J2364" s="1"/>
      <c r="K2364" s="1"/>
      <c r="L2364" s="1"/>
      <c r="M2364" s="1"/>
      <c r="N2364" s="1"/>
      <c r="O2364" s="1"/>
      <c r="P2364" s="1"/>
      <c r="Q2364" s="1"/>
      <c r="R2364" s="1"/>
      <c r="S2364" s="1"/>
      <c r="T2364" s="1"/>
      <c r="U2364" s="1"/>
      <c r="V2364" s="1"/>
      <c r="W2364" s="1"/>
      <c r="X2364" s="1"/>
      <c r="Y2364" s="1"/>
      <c r="Z2364" s="1"/>
      <c r="AA2364" s="1"/>
      <c r="AB2364" s="1"/>
      <c r="AC2364" s="1"/>
      <c r="AD2364" s="1"/>
      <c r="AE2364" s="1"/>
      <c r="AF2364" s="1"/>
    </row>
    <row r="2365" spans="7:32" x14ac:dyDescent="0.2">
      <c r="G2365" s="2"/>
      <c r="H2365" s="1"/>
      <c r="I2365" s="1"/>
      <c r="J2365" s="1"/>
      <c r="K2365" s="1"/>
      <c r="L2365" s="1"/>
      <c r="M2365" s="1"/>
      <c r="N2365" s="1"/>
      <c r="O2365" s="1"/>
      <c r="P2365" s="1"/>
      <c r="Q2365" s="1"/>
      <c r="R2365" s="1"/>
      <c r="S2365" s="1"/>
      <c r="T2365" s="1"/>
      <c r="U2365" s="1"/>
      <c r="V2365" s="1"/>
      <c r="W2365" s="1"/>
      <c r="X2365" s="1"/>
      <c r="Y2365" s="1"/>
      <c r="Z2365" s="1"/>
      <c r="AA2365" s="1"/>
      <c r="AB2365" s="1"/>
      <c r="AC2365" s="1"/>
      <c r="AD2365" s="1"/>
      <c r="AE2365" s="1"/>
      <c r="AF2365" s="1"/>
    </row>
    <row r="2366" spans="7:32" x14ac:dyDescent="0.2">
      <c r="G2366" s="2"/>
      <c r="H2366" s="1"/>
      <c r="I2366" s="1"/>
      <c r="J2366" s="1"/>
      <c r="K2366" s="1"/>
      <c r="L2366" s="1"/>
      <c r="M2366" s="1"/>
      <c r="N2366" s="1"/>
      <c r="O2366" s="1"/>
      <c r="P2366" s="1"/>
      <c r="Q2366" s="1"/>
      <c r="R2366" s="1"/>
      <c r="S2366" s="1"/>
      <c r="T2366" s="1"/>
      <c r="U2366" s="1"/>
      <c r="V2366" s="1"/>
      <c r="W2366" s="1"/>
      <c r="X2366" s="1"/>
      <c r="Y2366" s="1"/>
      <c r="Z2366" s="1"/>
      <c r="AA2366" s="1"/>
      <c r="AB2366" s="1"/>
      <c r="AC2366" s="1"/>
      <c r="AD2366" s="1"/>
      <c r="AE2366" s="1"/>
      <c r="AF2366" s="1"/>
    </row>
    <row r="2367" spans="7:32" x14ac:dyDescent="0.2">
      <c r="G2367" s="2"/>
      <c r="H2367" s="1"/>
      <c r="I2367" s="1"/>
      <c r="J2367" s="1"/>
      <c r="K2367" s="1"/>
      <c r="L2367" s="1"/>
      <c r="M2367" s="1"/>
      <c r="N2367" s="1"/>
      <c r="O2367" s="1"/>
      <c r="P2367" s="1"/>
      <c r="Q2367" s="1"/>
      <c r="R2367" s="1"/>
      <c r="S2367" s="1"/>
      <c r="T2367" s="1"/>
      <c r="U2367" s="1"/>
      <c r="V2367" s="1"/>
      <c r="W2367" s="1"/>
      <c r="X2367" s="1"/>
      <c r="Y2367" s="1"/>
      <c r="Z2367" s="1"/>
      <c r="AA2367" s="1"/>
      <c r="AB2367" s="1"/>
      <c r="AC2367" s="1"/>
      <c r="AD2367" s="1"/>
      <c r="AE2367" s="1"/>
      <c r="AF2367" s="1"/>
    </row>
    <row r="2368" spans="7:32" x14ac:dyDescent="0.2">
      <c r="G2368" s="2"/>
      <c r="H2368" s="1"/>
      <c r="I2368" s="1"/>
      <c r="J2368" s="1"/>
      <c r="K2368" s="1"/>
      <c r="L2368" s="1"/>
      <c r="M2368" s="1"/>
      <c r="N2368" s="1"/>
      <c r="O2368" s="1"/>
      <c r="P2368" s="1"/>
      <c r="Q2368" s="1"/>
      <c r="R2368" s="1"/>
      <c r="S2368" s="1"/>
      <c r="T2368" s="1"/>
      <c r="U2368" s="1"/>
      <c r="V2368" s="1"/>
      <c r="W2368" s="1"/>
      <c r="X2368" s="1"/>
      <c r="Y2368" s="1"/>
      <c r="Z2368" s="1"/>
      <c r="AA2368" s="1"/>
      <c r="AB2368" s="1"/>
      <c r="AC2368" s="1"/>
      <c r="AD2368" s="1"/>
      <c r="AE2368" s="1"/>
      <c r="AF2368" s="1"/>
    </row>
    <row r="2369" spans="7:32" x14ac:dyDescent="0.2">
      <c r="G2369" s="2"/>
      <c r="H2369" s="1"/>
      <c r="I2369" s="1"/>
      <c r="J2369" s="1"/>
      <c r="K2369" s="1"/>
      <c r="L2369" s="1"/>
      <c r="M2369" s="1"/>
      <c r="N2369" s="1"/>
      <c r="O2369" s="1"/>
      <c r="P2369" s="1"/>
      <c r="Q2369" s="1"/>
      <c r="R2369" s="1"/>
      <c r="S2369" s="1"/>
      <c r="T2369" s="1"/>
      <c r="U2369" s="1"/>
      <c r="V2369" s="1"/>
      <c r="W2369" s="1"/>
      <c r="X2369" s="1"/>
      <c r="Y2369" s="1"/>
      <c r="Z2369" s="1"/>
      <c r="AA2369" s="1"/>
      <c r="AB2369" s="1"/>
      <c r="AC2369" s="1"/>
      <c r="AD2369" s="1"/>
      <c r="AE2369" s="1"/>
      <c r="AF2369" s="1"/>
    </row>
    <row r="2370" spans="7:32" x14ac:dyDescent="0.2">
      <c r="G2370" s="2"/>
      <c r="H2370" s="1"/>
      <c r="I2370" s="1"/>
      <c r="J2370" s="1"/>
      <c r="K2370" s="1"/>
      <c r="L2370" s="1"/>
      <c r="M2370" s="1"/>
      <c r="N2370" s="1"/>
      <c r="O2370" s="1"/>
      <c r="P2370" s="1"/>
      <c r="Q2370" s="1"/>
      <c r="R2370" s="1"/>
      <c r="S2370" s="1"/>
      <c r="T2370" s="1"/>
      <c r="U2370" s="1"/>
      <c r="V2370" s="1"/>
      <c r="W2370" s="1"/>
      <c r="X2370" s="1"/>
      <c r="Y2370" s="1"/>
      <c r="Z2370" s="1"/>
      <c r="AA2370" s="1"/>
      <c r="AB2370" s="1"/>
      <c r="AC2370" s="1"/>
      <c r="AD2370" s="1"/>
      <c r="AE2370" s="1"/>
      <c r="AF2370" s="1"/>
    </row>
    <row r="2371" spans="7:32" x14ac:dyDescent="0.2">
      <c r="G2371" s="2"/>
      <c r="H2371" s="1"/>
      <c r="I2371" s="1"/>
      <c r="J2371" s="1"/>
      <c r="K2371" s="1"/>
      <c r="L2371" s="1"/>
      <c r="M2371" s="1"/>
      <c r="N2371" s="1"/>
      <c r="O2371" s="1"/>
      <c r="P2371" s="1"/>
      <c r="Q2371" s="1"/>
      <c r="R2371" s="1"/>
      <c r="S2371" s="1"/>
      <c r="T2371" s="1"/>
      <c r="U2371" s="1"/>
      <c r="V2371" s="1"/>
      <c r="W2371" s="1"/>
      <c r="X2371" s="1"/>
      <c r="Y2371" s="1"/>
      <c r="Z2371" s="1"/>
      <c r="AA2371" s="1"/>
      <c r="AB2371" s="1"/>
      <c r="AC2371" s="1"/>
      <c r="AD2371" s="1"/>
      <c r="AE2371" s="1"/>
      <c r="AF2371" s="1"/>
    </row>
    <row r="2372" spans="7:32" x14ac:dyDescent="0.2">
      <c r="G2372" s="2"/>
      <c r="H2372" s="1"/>
      <c r="I2372" s="1"/>
      <c r="J2372" s="1"/>
      <c r="K2372" s="1"/>
      <c r="L2372" s="1"/>
      <c r="M2372" s="1"/>
      <c r="N2372" s="1"/>
      <c r="O2372" s="1"/>
      <c r="P2372" s="1"/>
      <c r="Q2372" s="1"/>
      <c r="R2372" s="1"/>
      <c r="S2372" s="1"/>
      <c r="T2372" s="1"/>
      <c r="U2372" s="1"/>
      <c r="V2372" s="1"/>
      <c r="W2372" s="1"/>
      <c r="X2372" s="1"/>
      <c r="Y2372" s="1"/>
      <c r="Z2372" s="1"/>
      <c r="AA2372" s="1"/>
      <c r="AB2372" s="1"/>
      <c r="AC2372" s="1"/>
      <c r="AD2372" s="1"/>
      <c r="AE2372" s="1"/>
      <c r="AF2372" s="1"/>
    </row>
    <row r="2373" spans="7:32" x14ac:dyDescent="0.2">
      <c r="G2373" s="2"/>
      <c r="H2373" s="1"/>
      <c r="I2373" s="1"/>
      <c r="J2373" s="1"/>
      <c r="K2373" s="1"/>
      <c r="L2373" s="1"/>
      <c r="M2373" s="1"/>
      <c r="N2373" s="1"/>
      <c r="O2373" s="1"/>
      <c r="P2373" s="1"/>
      <c r="Q2373" s="1"/>
      <c r="R2373" s="1"/>
      <c r="S2373" s="1"/>
      <c r="T2373" s="1"/>
      <c r="U2373" s="1"/>
      <c r="V2373" s="1"/>
      <c r="W2373" s="1"/>
      <c r="X2373" s="1"/>
      <c r="Y2373" s="1"/>
      <c r="Z2373" s="1"/>
      <c r="AA2373" s="1"/>
      <c r="AB2373" s="1"/>
      <c r="AC2373" s="1"/>
      <c r="AD2373" s="1"/>
      <c r="AE2373" s="1"/>
      <c r="AF2373" s="1"/>
    </row>
    <row r="2374" spans="7:32" x14ac:dyDescent="0.2">
      <c r="G2374" s="2"/>
      <c r="H2374" s="1"/>
      <c r="I2374" s="1"/>
      <c r="J2374" s="1"/>
      <c r="K2374" s="1"/>
      <c r="L2374" s="1"/>
      <c r="M2374" s="1"/>
      <c r="N2374" s="1"/>
      <c r="O2374" s="1"/>
      <c r="P2374" s="1"/>
      <c r="Q2374" s="1"/>
      <c r="R2374" s="1"/>
      <c r="S2374" s="1"/>
      <c r="T2374" s="1"/>
      <c r="U2374" s="1"/>
      <c r="V2374" s="1"/>
      <c r="W2374" s="1"/>
      <c r="X2374" s="1"/>
      <c r="Y2374" s="1"/>
      <c r="Z2374" s="1"/>
      <c r="AA2374" s="1"/>
      <c r="AB2374" s="1"/>
      <c r="AC2374" s="1"/>
      <c r="AD2374" s="1"/>
      <c r="AE2374" s="1"/>
      <c r="AF2374" s="1"/>
    </row>
    <row r="2375" spans="7:32" x14ac:dyDescent="0.2">
      <c r="G2375" s="2"/>
      <c r="H2375" s="1"/>
      <c r="I2375" s="1"/>
      <c r="J2375" s="1"/>
      <c r="K2375" s="1"/>
      <c r="L2375" s="1"/>
      <c r="M2375" s="1"/>
      <c r="N2375" s="1"/>
      <c r="O2375" s="1"/>
      <c r="P2375" s="1"/>
      <c r="Q2375" s="1"/>
      <c r="R2375" s="1"/>
      <c r="S2375" s="1"/>
      <c r="T2375" s="1"/>
      <c r="U2375" s="1"/>
      <c r="V2375" s="1"/>
      <c r="W2375" s="1"/>
      <c r="X2375" s="1"/>
      <c r="Y2375" s="1"/>
      <c r="Z2375" s="1"/>
      <c r="AA2375" s="1"/>
      <c r="AB2375" s="1"/>
      <c r="AC2375" s="1"/>
      <c r="AD2375" s="1"/>
      <c r="AE2375" s="1"/>
      <c r="AF2375" s="1"/>
    </row>
    <row r="2376" spans="7:32" x14ac:dyDescent="0.2">
      <c r="G2376" s="2"/>
      <c r="H2376" s="1"/>
      <c r="I2376" s="1"/>
      <c r="J2376" s="1"/>
      <c r="K2376" s="1"/>
      <c r="L2376" s="1"/>
      <c r="M2376" s="1"/>
      <c r="N2376" s="1"/>
      <c r="O2376" s="1"/>
      <c r="P2376" s="1"/>
      <c r="Q2376" s="1"/>
      <c r="R2376" s="1"/>
      <c r="S2376" s="1"/>
      <c r="T2376" s="1"/>
      <c r="U2376" s="1"/>
      <c r="V2376" s="1"/>
      <c r="W2376" s="1"/>
      <c r="X2376" s="1"/>
      <c r="Y2376" s="1"/>
      <c r="Z2376" s="1"/>
      <c r="AA2376" s="1"/>
      <c r="AB2376" s="1"/>
      <c r="AC2376" s="1"/>
      <c r="AD2376" s="1"/>
      <c r="AE2376" s="1"/>
      <c r="AF2376" s="1"/>
    </row>
    <row r="2377" spans="7:32" x14ac:dyDescent="0.2">
      <c r="G2377" s="2"/>
      <c r="H2377" s="1"/>
      <c r="I2377" s="1"/>
      <c r="J2377" s="1"/>
      <c r="K2377" s="1"/>
      <c r="L2377" s="1"/>
      <c r="M2377" s="1"/>
      <c r="N2377" s="1"/>
      <c r="O2377" s="1"/>
      <c r="P2377" s="1"/>
      <c r="Q2377" s="1"/>
      <c r="R2377" s="1"/>
      <c r="S2377" s="1"/>
      <c r="T2377" s="1"/>
      <c r="U2377" s="1"/>
      <c r="V2377" s="1"/>
      <c r="W2377" s="1"/>
      <c r="X2377" s="1"/>
      <c r="Y2377" s="1"/>
      <c r="Z2377" s="1"/>
      <c r="AA2377" s="1"/>
      <c r="AB2377" s="1"/>
      <c r="AC2377" s="1"/>
      <c r="AD2377" s="1"/>
      <c r="AE2377" s="1"/>
      <c r="AF2377" s="1"/>
    </row>
    <row r="2378" spans="7:32" x14ac:dyDescent="0.2">
      <c r="G2378" s="2"/>
      <c r="H2378" s="1"/>
      <c r="I2378" s="1"/>
      <c r="J2378" s="1"/>
      <c r="K2378" s="1"/>
      <c r="L2378" s="1"/>
      <c r="M2378" s="1"/>
      <c r="N2378" s="1"/>
      <c r="O2378" s="1"/>
      <c r="P2378" s="1"/>
      <c r="Q2378" s="1"/>
      <c r="R2378" s="1"/>
      <c r="S2378" s="1"/>
      <c r="T2378" s="1"/>
      <c r="U2378" s="1"/>
      <c r="V2378" s="1"/>
      <c r="W2378" s="1"/>
      <c r="X2378" s="1"/>
      <c r="Y2378" s="1"/>
      <c r="Z2378" s="1"/>
      <c r="AA2378" s="1"/>
      <c r="AB2378" s="1"/>
      <c r="AC2378" s="1"/>
      <c r="AD2378" s="1"/>
      <c r="AE2378" s="1"/>
      <c r="AF2378" s="1"/>
    </row>
    <row r="2379" spans="7:32" x14ac:dyDescent="0.2">
      <c r="G2379" s="2"/>
      <c r="H2379" s="1"/>
      <c r="I2379" s="1"/>
      <c r="J2379" s="1"/>
      <c r="K2379" s="1"/>
      <c r="L2379" s="1"/>
      <c r="M2379" s="1"/>
      <c r="N2379" s="1"/>
      <c r="O2379" s="1"/>
      <c r="P2379" s="1"/>
      <c r="Q2379" s="1"/>
      <c r="R2379" s="1"/>
      <c r="S2379" s="1"/>
      <c r="T2379" s="1"/>
      <c r="U2379" s="1"/>
      <c r="V2379" s="1"/>
      <c r="W2379" s="1"/>
      <c r="X2379" s="1"/>
      <c r="Y2379" s="1"/>
      <c r="Z2379" s="1"/>
      <c r="AA2379" s="1"/>
      <c r="AB2379" s="1"/>
      <c r="AC2379" s="1"/>
      <c r="AD2379" s="1"/>
      <c r="AE2379" s="1"/>
      <c r="AF2379" s="1"/>
    </row>
    <row r="2380" spans="7:32" x14ac:dyDescent="0.2">
      <c r="G2380" s="2"/>
      <c r="H2380" s="1"/>
      <c r="I2380" s="1"/>
      <c r="J2380" s="1"/>
      <c r="K2380" s="1"/>
      <c r="L2380" s="1"/>
      <c r="M2380" s="1"/>
      <c r="N2380" s="1"/>
      <c r="O2380" s="1"/>
      <c r="P2380" s="1"/>
      <c r="Q2380" s="1"/>
      <c r="R2380" s="1"/>
      <c r="S2380" s="1"/>
      <c r="T2380" s="1"/>
      <c r="U2380" s="1"/>
      <c r="V2380" s="1"/>
      <c r="W2380" s="1"/>
      <c r="X2380" s="1"/>
      <c r="Y2380" s="1"/>
      <c r="Z2380" s="1"/>
      <c r="AA2380" s="1"/>
      <c r="AB2380" s="1"/>
      <c r="AC2380" s="1"/>
      <c r="AD2380" s="1"/>
      <c r="AE2380" s="1"/>
      <c r="AF2380" s="1"/>
    </row>
    <row r="2381" spans="7:32" x14ac:dyDescent="0.2">
      <c r="G2381" s="2"/>
      <c r="H2381" s="1"/>
      <c r="I2381" s="1"/>
      <c r="J2381" s="1"/>
      <c r="K2381" s="1"/>
      <c r="L2381" s="1"/>
      <c r="M2381" s="1"/>
      <c r="N2381" s="1"/>
      <c r="O2381" s="1"/>
      <c r="P2381" s="1"/>
      <c r="Q2381" s="1"/>
      <c r="R2381" s="1"/>
      <c r="S2381" s="1"/>
      <c r="T2381" s="1"/>
      <c r="U2381" s="1"/>
      <c r="V2381" s="1"/>
      <c r="W2381" s="1"/>
      <c r="X2381" s="1"/>
      <c r="Y2381" s="1"/>
      <c r="Z2381" s="1"/>
      <c r="AA2381" s="1"/>
      <c r="AB2381" s="1"/>
      <c r="AC2381" s="1"/>
      <c r="AD2381" s="1"/>
      <c r="AE2381" s="1"/>
      <c r="AF2381" s="1"/>
    </row>
    <row r="2382" spans="7:32" x14ac:dyDescent="0.2">
      <c r="G2382" s="2"/>
      <c r="H2382" s="1"/>
      <c r="I2382" s="1"/>
      <c r="J2382" s="1"/>
      <c r="K2382" s="1"/>
      <c r="L2382" s="1"/>
      <c r="M2382" s="1"/>
      <c r="N2382" s="1"/>
      <c r="O2382" s="1"/>
      <c r="P2382" s="1"/>
      <c r="Q2382" s="1"/>
      <c r="R2382" s="1"/>
      <c r="S2382" s="1"/>
      <c r="T2382" s="1"/>
      <c r="U2382" s="1"/>
      <c r="V2382" s="1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</row>
    <row r="2383" spans="7:32" x14ac:dyDescent="0.2">
      <c r="G2383" s="2"/>
      <c r="H2383" s="1"/>
      <c r="I2383" s="1"/>
      <c r="J2383" s="1"/>
      <c r="K2383" s="1"/>
      <c r="L2383" s="1"/>
      <c r="M2383" s="1"/>
      <c r="N2383" s="1"/>
      <c r="O2383" s="1"/>
      <c r="P2383" s="1"/>
      <c r="Q2383" s="1"/>
      <c r="R2383" s="1"/>
      <c r="S2383" s="1"/>
      <c r="T2383" s="1"/>
      <c r="U2383" s="1"/>
      <c r="V2383" s="1"/>
      <c r="W2383" s="1"/>
      <c r="X2383" s="1"/>
      <c r="Y2383" s="1"/>
      <c r="Z2383" s="1"/>
      <c r="AA2383" s="1"/>
      <c r="AB2383" s="1"/>
      <c r="AC2383" s="1"/>
      <c r="AD2383" s="1"/>
      <c r="AE2383" s="1"/>
      <c r="AF2383" s="1"/>
    </row>
    <row r="2384" spans="7:32" x14ac:dyDescent="0.2">
      <c r="G2384" s="2"/>
      <c r="H2384" s="1"/>
      <c r="I2384" s="1"/>
      <c r="J2384" s="1"/>
      <c r="K2384" s="1"/>
      <c r="L2384" s="1"/>
      <c r="M2384" s="1"/>
      <c r="N2384" s="1"/>
      <c r="O2384" s="1"/>
      <c r="P2384" s="1"/>
      <c r="Q2384" s="1"/>
      <c r="R2384" s="1"/>
      <c r="S2384" s="1"/>
      <c r="T2384" s="1"/>
      <c r="U2384" s="1"/>
      <c r="V2384" s="1"/>
      <c r="W2384" s="1"/>
      <c r="X2384" s="1"/>
      <c r="Y2384" s="1"/>
      <c r="Z2384" s="1"/>
      <c r="AA2384" s="1"/>
      <c r="AB2384" s="1"/>
      <c r="AC2384" s="1"/>
      <c r="AD2384" s="1"/>
      <c r="AE2384" s="1"/>
      <c r="AF2384" s="1"/>
    </row>
    <row r="2385" spans="7:32" x14ac:dyDescent="0.2">
      <c r="G2385" s="2"/>
      <c r="H2385" s="1"/>
      <c r="I2385" s="1"/>
      <c r="J2385" s="1"/>
      <c r="K2385" s="1"/>
      <c r="L2385" s="1"/>
      <c r="M2385" s="1"/>
      <c r="N2385" s="1"/>
      <c r="O2385" s="1"/>
      <c r="P2385" s="1"/>
      <c r="Q2385" s="1"/>
      <c r="R2385" s="1"/>
      <c r="S2385" s="1"/>
      <c r="T2385" s="1"/>
      <c r="U2385" s="1"/>
      <c r="V2385" s="1"/>
      <c r="W2385" s="1"/>
      <c r="X2385" s="1"/>
      <c r="Y2385" s="1"/>
      <c r="Z2385" s="1"/>
      <c r="AA2385" s="1"/>
      <c r="AB2385" s="1"/>
      <c r="AC2385" s="1"/>
      <c r="AD2385" s="1"/>
      <c r="AE2385" s="1"/>
      <c r="AF2385" s="1"/>
    </row>
    <row r="2386" spans="7:32" x14ac:dyDescent="0.2">
      <c r="G2386" s="2"/>
      <c r="H2386" s="1"/>
      <c r="I2386" s="1"/>
      <c r="J2386" s="1"/>
      <c r="K2386" s="1"/>
      <c r="L2386" s="1"/>
      <c r="M2386" s="1"/>
      <c r="N2386" s="1"/>
      <c r="O2386" s="1"/>
      <c r="P2386" s="1"/>
      <c r="Q2386" s="1"/>
      <c r="R2386" s="1"/>
      <c r="S2386" s="1"/>
      <c r="T2386" s="1"/>
      <c r="U2386" s="1"/>
      <c r="V2386" s="1"/>
      <c r="W2386" s="1"/>
      <c r="X2386" s="1"/>
      <c r="Y2386" s="1"/>
      <c r="Z2386" s="1"/>
      <c r="AA2386" s="1"/>
      <c r="AB2386" s="1"/>
      <c r="AC2386" s="1"/>
      <c r="AD2386" s="1"/>
      <c r="AE2386" s="1"/>
      <c r="AF2386" s="1"/>
    </row>
    <row r="2387" spans="7:32" x14ac:dyDescent="0.2">
      <c r="G2387" s="2"/>
      <c r="H2387" s="1"/>
      <c r="I2387" s="1"/>
      <c r="J2387" s="1"/>
      <c r="K2387" s="1"/>
      <c r="L2387" s="1"/>
      <c r="M2387" s="1"/>
      <c r="N2387" s="1"/>
      <c r="O2387" s="1"/>
      <c r="P2387" s="1"/>
      <c r="Q2387" s="1"/>
      <c r="R2387" s="1"/>
      <c r="S2387" s="1"/>
      <c r="T2387" s="1"/>
      <c r="U2387" s="1"/>
      <c r="V2387" s="1"/>
      <c r="W2387" s="1"/>
      <c r="X2387" s="1"/>
      <c r="Y2387" s="1"/>
      <c r="Z2387" s="1"/>
      <c r="AA2387" s="1"/>
      <c r="AB2387" s="1"/>
      <c r="AC2387" s="1"/>
      <c r="AD2387" s="1"/>
      <c r="AE2387" s="1"/>
      <c r="AF2387" s="1"/>
    </row>
    <row r="2388" spans="7:32" x14ac:dyDescent="0.2">
      <c r="G2388" s="2"/>
      <c r="H2388" s="1"/>
      <c r="I2388" s="1"/>
      <c r="J2388" s="1"/>
      <c r="K2388" s="1"/>
      <c r="L2388" s="1"/>
      <c r="M2388" s="1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  <c r="AA2388" s="1"/>
      <c r="AB2388" s="1"/>
      <c r="AC2388" s="1"/>
      <c r="AD2388" s="1"/>
      <c r="AE2388" s="1"/>
      <c r="AF2388" s="1"/>
    </row>
    <row r="2389" spans="7:32" x14ac:dyDescent="0.2">
      <c r="G2389" s="2"/>
      <c r="H2389" s="1"/>
      <c r="I2389" s="1"/>
      <c r="J2389" s="1"/>
      <c r="K2389" s="1"/>
      <c r="L2389" s="1"/>
      <c r="M2389" s="1"/>
      <c r="N2389" s="1"/>
      <c r="O2389" s="1"/>
      <c r="P2389" s="1"/>
      <c r="Q2389" s="1"/>
      <c r="R2389" s="1"/>
      <c r="S2389" s="1"/>
      <c r="T2389" s="1"/>
      <c r="U2389" s="1"/>
      <c r="V2389" s="1"/>
      <c r="W2389" s="1"/>
      <c r="X2389" s="1"/>
      <c r="Y2389" s="1"/>
      <c r="Z2389" s="1"/>
      <c r="AA2389" s="1"/>
      <c r="AB2389" s="1"/>
      <c r="AC2389" s="1"/>
      <c r="AD2389" s="1"/>
      <c r="AE2389" s="1"/>
      <c r="AF2389" s="1"/>
    </row>
    <row r="2390" spans="7:32" x14ac:dyDescent="0.2">
      <c r="G2390" s="2"/>
      <c r="H2390" s="1"/>
      <c r="I2390" s="1"/>
      <c r="J2390" s="1"/>
      <c r="K2390" s="1"/>
      <c r="L2390" s="1"/>
      <c r="M2390" s="1"/>
      <c r="N2390" s="1"/>
      <c r="O2390" s="1"/>
      <c r="P2390" s="1"/>
      <c r="Q2390" s="1"/>
      <c r="R2390" s="1"/>
      <c r="S2390" s="1"/>
      <c r="T2390" s="1"/>
      <c r="U2390" s="1"/>
      <c r="V2390" s="1"/>
      <c r="W2390" s="1"/>
      <c r="X2390" s="1"/>
      <c r="Y2390" s="1"/>
      <c r="Z2390" s="1"/>
      <c r="AA2390" s="1"/>
      <c r="AB2390" s="1"/>
      <c r="AC2390" s="1"/>
      <c r="AD2390" s="1"/>
      <c r="AE2390" s="1"/>
      <c r="AF2390" s="1"/>
    </row>
    <row r="2391" spans="7:32" x14ac:dyDescent="0.2">
      <c r="G2391" s="2"/>
      <c r="H2391" s="1"/>
      <c r="I2391" s="1"/>
      <c r="J2391" s="1"/>
      <c r="K2391" s="1"/>
      <c r="L2391" s="1"/>
      <c r="M2391" s="1"/>
      <c r="N2391" s="1"/>
      <c r="O2391" s="1"/>
      <c r="P2391" s="1"/>
      <c r="Q2391" s="1"/>
      <c r="R2391" s="1"/>
      <c r="S2391" s="1"/>
      <c r="T2391" s="1"/>
      <c r="U2391" s="1"/>
      <c r="V2391" s="1"/>
      <c r="W2391" s="1"/>
      <c r="X2391" s="1"/>
      <c r="Y2391" s="1"/>
      <c r="Z2391" s="1"/>
      <c r="AA2391" s="1"/>
      <c r="AB2391" s="1"/>
      <c r="AC2391" s="1"/>
      <c r="AD2391" s="1"/>
      <c r="AE2391" s="1"/>
      <c r="AF2391" s="1"/>
    </row>
    <row r="2392" spans="7:32" x14ac:dyDescent="0.2">
      <c r="G2392" s="2"/>
      <c r="H2392" s="1"/>
      <c r="I2392" s="1"/>
      <c r="J2392" s="1"/>
      <c r="K2392" s="1"/>
      <c r="L2392" s="1"/>
      <c r="M2392" s="1"/>
      <c r="N2392" s="1"/>
      <c r="O2392" s="1"/>
      <c r="P2392" s="1"/>
      <c r="Q2392" s="1"/>
      <c r="R2392" s="1"/>
      <c r="S2392" s="1"/>
      <c r="T2392" s="1"/>
      <c r="U2392" s="1"/>
      <c r="V2392" s="1"/>
      <c r="W2392" s="1"/>
      <c r="X2392" s="1"/>
      <c r="Y2392" s="1"/>
      <c r="Z2392" s="1"/>
      <c r="AA2392" s="1"/>
      <c r="AB2392" s="1"/>
      <c r="AC2392" s="1"/>
      <c r="AD2392" s="1"/>
      <c r="AE2392" s="1"/>
      <c r="AF2392" s="1"/>
    </row>
    <row r="2393" spans="7:32" x14ac:dyDescent="0.2">
      <c r="G2393" s="2"/>
      <c r="H2393" s="1"/>
      <c r="I2393" s="1"/>
      <c r="J2393" s="1"/>
      <c r="K2393" s="1"/>
      <c r="L2393" s="1"/>
      <c r="M2393" s="1"/>
      <c r="N2393" s="1"/>
      <c r="O2393" s="1"/>
      <c r="P2393" s="1"/>
      <c r="Q2393" s="1"/>
      <c r="R2393" s="1"/>
      <c r="S2393" s="1"/>
      <c r="T2393" s="1"/>
      <c r="U2393" s="1"/>
      <c r="V2393" s="1"/>
      <c r="W2393" s="1"/>
      <c r="X2393" s="1"/>
      <c r="Y2393" s="1"/>
      <c r="Z2393" s="1"/>
      <c r="AA2393" s="1"/>
      <c r="AB2393" s="1"/>
      <c r="AC2393" s="1"/>
      <c r="AD2393" s="1"/>
      <c r="AE2393" s="1"/>
      <c r="AF2393" s="1"/>
    </row>
    <row r="2394" spans="7:32" x14ac:dyDescent="0.2">
      <c r="G2394" s="2"/>
      <c r="H2394" s="1"/>
      <c r="I2394" s="1"/>
      <c r="J2394" s="1"/>
      <c r="K2394" s="1"/>
      <c r="L2394" s="1"/>
      <c r="M2394" s="1"/>
      <c r="N2394" s="1"/>
      <c r="O2394" s="1"/>
      <c r="P2394" s="1"/>
      <c r="Q2394" s="1"/>
      <c r="R2394" s="1"/>
      <c r="S2394" s="1"/>
      <c r="T2394" s="1"/>
      <c r="U2394" s="1"/>
      <c r="V2394" s="1"/>
      <c r="W2394" s="1"/>
      <c r="X2394" s="1"/>
      <c r="Y2394" s="1"/>
      <c r="Z2394" s="1"/>
      <c r="AA2394" s="1"/>
      <c r="AB2394" s="1"/>
      <c r="AC2394" s="1"/>
      <c r="AD2394" s="1"/>
      <c r="AE2394" s="1"/>
      <c r="AF2394" s="1"/>
    </row>
    <row r="2395" spans="7:32" x14ac:dyDescent="0.2">
      <c r="G2395" s="2"/>
      <c r="H2395" s="1"/>
      <c r="I2395" s="1"/>
      <c r="J2395" s="1"/>
      <c r="K2395" s="1"/>
      <c r="L2395" s="1"/>
      <c r="M2395" s="1"/>
      <c r="N2395" s="1"/>
      <c r="O2395" s="1"/>
      <c r="P2395" s="1"/>
      <c r="Q2395" s="1"/>
      <c r="R2395" s="1"/>
      <c r="S2395" s="1"/>
      <c r="T2395" s="1"/>
      <c r="U2395" s="1"/>
      <c r="V2395" s="1"/>
      <c r="W2395" s="1"/>
      <c r="X2395" s="1"/>
      <c r="Y2395" s="1"/>
      <c r="Z2395" s="1"/>
      <c r="AA2395" s="1"/>
      <c r="AB2395" s="1"/>
      <c r="AC2395" s="1"/>
      <c r="AD2395" s="1"/>
      <c r="AE2395" s="1"/>
      <c r="AF2395" s="1"/>
    </row>
    <row r="2396" spans="7:32" x14ac:dyDescent="0.2">
      <c r="G2396" s="2"/>
      <c r="H2396" s="1"/>
      <c r="I2396" s="1"/>
      <c r="J2396" s="1"/>
      <c r="K2396" s="1"/>
      <c r="L2396" s="1"/>
      <c r="M2396" s="1"/>
      <c r="N2396" s="1"/>
      <c r="O2396" s="1"/>
      <c r="P2396" s="1"/>
      <c r="Q2396" s="1"/>
      <c r="R2396" s="1"/>
      <c r="S2396" s="1"/>
      <c r="T2396" s="1"/>
      <c r="U2396" s="1"/>
      <c r="V2396" s="1"/>
      <c r="W2396" s="1"/>
      <c r="X2396" s="1"/>
      <c r="Y2396" s="1"/>
      <c r="Z2396" s="1"/>
      <c r="AA2396" s="1"/>
      <c r="AB2396" s="1"/>
      <c r="AC2396" s="1"/>
      <c r="AD2396" s="1"/>
      <c r="AE2396" s="1"/>
      <c r="AF2396" s="1"/>
    </row>
    <row r="2397" spans="7:32" x14ac:dyDescent="0.2">
      <c r="G2397" s="2"/>
      <c r="H2397" s="1"/>
      <c r="I2397" s="1"/>
      <c r="J2397" s="1"/>
      <c r="K2397" s="1"/>
      <c r="L2397" s="1"/>
      <c r="M2397" s="1"/>
      <c r="N2397" s="1"/>
      <c r="O2397" s="1"/>
      <c r="P2397" s="1"/>
      <c r="Q2397" s="1"/>
      <c r="R2397" s="1"/>
      <c r="S2397" s="1"/>
      <c r="T2397" s="1"/>
      <c r="U2397" s="1"/>
      <c r="V2397" s="1"/>
      <c r="W2397" s="1"/>
      <c r="X2397" s="1"/>
      <c r="Y2397" s="1"/>
      <c r="Z2397" s="1"/>
      <c r="AA2397" s="1"/>
      <c r="AB2397" s="1"/>
      <c r="AC2397" s="1"/>
      <c r="AD2397" s="1"/>
      <c r="AE2397" s="1"/>
      <c r="AF2397" s="1"/>
    </row>
    <row r="2398" spans="7:32" x14ac:dyDescent="0.2">
      <c r="G2398" s="2"/>
      <c r="H2398" s="1"/>
      <c r="I2398" s="1"/>
      <c r="J2398" s="1"/>
      <c r="K2398" s="1"/>
      <c r="L2398" s="1"/>
      <c r="M2398" s="1"/>
      <c r="N2398" s="1"/>
      <c r="O2398" s="1"/>
      <c r="P2398" s="1"/>
      <c r="Q2398" s="1"/>
      <c r="R2398" s="1"/>
      <c r="S2398" s="1"/>
      <c r="T2398" s="1"/>
      <c r="U2398" s="1"/>
      <c r="V2398" s="1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</row>
    <row r="2399" spans="7:32" x14ac:dyDescent="0.2">
      <c r="G2399" s="2"/>
      <c r="H2399" s="1"/>
      <c r="I2399" s="1"/>
      <c r="J2399" s="1"/>
      <c r="K2399" s="1"/>
      <c r="L2399" s="1"/>
      <c r="M2399" s="1"/>
      <c r="N2399" s="1"/>
      <c r="O2399" s="1"/>
      <c r="P2399" s="1"/>
      <c r="Q2399" s="1"/>
      <c r="R2399" s="1"/>
      <c r="S2399" s="1"/>
      <c r="T2399" s="1"/>
      <c r="U2399" s="1"/>
      <c r="V2399" s="1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</row>
    <row r="2400" spans="7:32" x14ac:dyDescent="0.2">
      <c r="G2400" s="2"/>
      <c r="H2400" s="1"/>
      <c r="I2400" s="1"/>
      <c r="J2400" s="1"/>
      <c r="K2400" s="1"/>
      <c r="L2400" s="1"/>
      <c r="M2400" s="1"/>
      <c r="N2400" s="1"/>
      <c r="O2400" s="1"/>
      <c r="P2400" s="1"/>
      <c r="Q2400" s="1"/>
      <c r="R2400" s="1"/>
      <c r="S2400" s="1"/>
      <c r="T2400" s="1"/>
      <c r="U2400" s="1"/>
      <c r="V2400" s="1"/>
      <c r="W2400" s="1"/>
      <c r="X2400" s="1"/>
      <c r="Y2400" s="1"/>
      <c r="Z2400" s="1"/>
      <c r="AA2400" s="1"/>
      <c r="AB2400" s="1"/>
      <c r="AC2400" s="1"/>
      <c r="AD2400" s="1"/>
      <c r="AE2400" s="1"/>
      <c r="AF2400" s="1"/>
    </row>
    <row r="2401" spans="7:32" x14ac:dyDescent="0.2">
      <c r="G2401" s="2"/>
      <c r="H2401" s="1"/>
      <c r="I2401" s="1"/>
      <c r="J2401" s="1"/>
      <c r="K2401" s="1"/>
      <c r="L2401" s="1"/>
      <c r="M2401" s="1"/>
      <c r="N2401" s="1"/>
      <c r="O2401" s="1"/>
      <c r="P2401" s="1"/>
      <c r="Q2401" s="1"/>
      <c r="R2401" s="1"/>
      <c r="S2401" s="1"/>
      <c r="T2401" s="1"/>
      <c r="U2401" s="1"/>
      <c r="V2401" s="1"/>
      <c r="W2401" s="1"/>
      <c r="X2401" s="1"/>
      <c r="Y2401" s="1"/>
      <c r="Z2401" s="1"/>
      <c r="AA2401" s="1"/>
      <c r="AB2401" s="1"/>
      <c r="AC2401" s="1"/>
      <c r="AD2401" s="1"/>
      <c r="AE2401" s="1"/>
      <c r="AF2401" s="1"/>
    </row>
    <row r="2402" spans="7:32" x14ac:dyDescent="0.2">
      <c r="G2402" s="2"/>
      <c r="H2402" s="1"/>
      <c r="I2402" s="1"/>
      <c r="J2402" s="1"/>
      <c r="K2402" s="1"/>
      <c r="L2402" s="1"/>
      <c r="M2402" s="1"/>
      <c r="N2402" s="1"/>
      <c r="O2402" s="1"/>
      <c r="P2402" s="1"/>
      <c r="Q2402" s="1"/>
      <c r="R2402" s="1"/>
      <c r="S2402" s="1"/>
      <c r="T2402" s="1"/>
      <c r="U2402" s="1"/>
      <c r="V2402" s="1"/>
      <c r="W2402" s="1"/>
      <c r="X2402" s="1"/>
      <c r="Y2402" s="1"/>
      <c r="Z2402" s="1"/>
      <c r="AA2402" s="1"/>
      <c r="AB2402" s="1"/>
      <c r="AC2402" s="1"/>
      <c r="AD2402" s="1"/>
      <c r="AE2402" s="1"/>
      <c r="AF2402" s="1"/>
    </row>
    <row r="2403" spans="7:32" x14ac:dyDescent="0.2">
      <c r="G2403" s="2"/>
      <c r="H2403" s="1"/>
      <c r="I2403" s="1"/>
      <c r="J2403" s="1"/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  <c r="X2403" s="1"/>
      <c r="Y2403" s="1"/>
      <c r="Z2403" s="1"/>
      <c r="AA2403" s="1"/>
      <c r="AB2403" s="1"/>
      <c r="AC2403" s="1"/>
      <c r="AD2403" s="1"/>
      <c r="AE2403" s="1"/>
      <c r="AF2403" s="1"/>
    </row>
    <row r="2404" spans="7:32" x14ac:dyDescent="0.2">
      <c r="G2404" s="2"/>
      <c r="H2404" s="1"/>
      <c r="I2404" s="1"/>
      <c r="J2404" s="1"/>
      <c r="K2404" s="1"/>
      <c r="L2404" s="1"/>
      <c r="M2404" s="1"/>
      <c r="N2404" s="1"/>
      <c r="O2404" s="1"/>
      <c r="P2404" s="1"/>
      <c r="Q2404" s="1"/>
      <c r="R2404" s="1"/>
      <c r="S2404" s="1"/>
      <c r="T2404" s="1"/>
      <c r="U2404" s="1"/>
      <c r="V2404" s="1"/>
      <c r="W2404" s="1"/>
      <c r="X2404" s="1"/>
      <c r="Y2404" s="1"/>
      <c r="Z2404" s="1"/>
      <c r="AA2404" s="1"/>
      <c r="AB2404" s="1"/>
      <c r="AC2404" s="1"/>
      <c r="AD2404" s="1"/>
      <c r="AE2404" s="1"/>
      <c r="AF2404" s="1"/>
    </row>
    <row r="2405" spans="7:32" x14ac:dyDescent="0.2">
      <c r="G2405" s="2"/>
      <c r="H2405" s="1"/>
      <c r="I2405" s="1"/>
      <c r="J2405" s="1"/>
      <c r="K2405" s="1"/>
      <c r="L2405" s="1"/>
      <c r="M2405" s="1"/>
      <c r="N2405" s="1"/>
      <c r="O2405" s="1"/>
      <c r="P2405" s="1"/>
      <c r="Q2405" s="1"/>
      <c r="R2405" s="1"/>
      <c r="S2405" s="1"/>
      <c r="T2405" s="1"/>
      <c r="U2405" s="1"/>
      <c r="V2405" s="1"/>
      <c r="W2405" s="1"/>
      <c r="X2405" s="1"/>
      <c r="Y2405" s="1"/>
      <c r="Z2405" s="1"/>
      <c r="AA2405" s="1"/>
      <c r="AB2405" s="1"/>
      <c r="AC2405" s="1"/>
      <c r="AD2405" s="1"/>
      <c r="AE2405" s="1"/>
      <c r="AF2405" s="1"/>
    </row>
    <row r="2406" spans="7:32" x14ac:dyDescent="0.2">
      <c r="G2406" s="2"/>
      <c r="H2406" s="1"/>
      <c r="I2406" s="1"/>
      <c r="J2406" s="1"/>
      <c r="K2406" s="1"/>
      <c r="L2406" s="1"/>
      <c r="M2406" s="1"/>
      <c r="N2406" s="1"/>
      <c r="O2406" s="1"/>
      <c r="P2406" s="1"/>
      <c r="Q2406" s="1"/>
      <c r="R2406" s="1"/>
      <c r="S2406" s="1"/>
      <c r="T2406" s="1"/>
      <c r="U2406" s="1"/>
      <c r="V2406" s="1"/>
      <c r="W2406" s="1"/>
      <c r="X2406" s="1"/>
      <c r="Y2406" s="1"/>
      <c r="Z2406" s="1"/>
      <c r="AA2406" s="1"/>
      <c r="AB2406" s="1"/>
      <c r="AC2406" s="1"/>
      <c r="AD2406" s="1"/>
      <c r="AE2406" s="1"/>
      <c r="AF2406" s="1"/>
    </row>
    <row r="2407" spans="7:32" x14ac:dyDescent="0.2">
      <c r="G2407" s="2"/>
      <c r="H2407" s="1"/>
      <c r="I2407" s="1"/>
      <c r="J2407" s="1"/>
      <c r="K2407" s="1"/>
      <c r="L2407" s="1"/>
      <c r="M2407" s="1"/>
      <c r="N2407" s="1"/>
      <c r="O2407" s="1"/>
      <c r="P2407" s="1"/>
      <c r="Q2407" s="1"/>
      <c r="R2407" s="1"/>
      <c r="S2407" s="1"/>
      <c r="T2407" s="1"/>
      <c r="U2407" s="1"/>
      <c r="V2407" s="1"/>
      <c r="W2407" s="1"/>
      <c r="X2407" s="1"/>
      <c r="Y2407" s="1"/>
      <c r="Z2407" s="1"/>
      <c r="AA2407" s="1"/>
      <c r="AB2407" s="1"/>
      <c r="AC2407" s="1"/>
      <c r="AD2407" s="1"/>
      <c r="AE2407" s="1"/>
      <c r="AF2407" s="1"/>
    </row>
    <row r="2408" spans="7:32" x14ac:dyDescent="0.2">
      <c r="G2408" s="2"/>
      <c r="H2408" s="1"/>
      <c r="I2408" s="1"/>
      <c r="J2408" s="1"/>
      <c r="K2408" s="1"/>
      <c r="L2408" s="1"/>
      <c r="M2408" s="1"/>
      <c r="N2408" s="1"/>
      <c r="O2408" s="1"/>
      <c r="P2408" s="1"/>
      <c r="Q2408" s="1"/>
      <c r="R2408" s="1"/>
      <c r="S2408" s="1"/>
      <c r="T2408" s="1"/>
      <c r="U2408" s="1"/>
      <c r="V2408" s="1"/>
      <c r="W2408" s="1"/>
      <c r="X2408" s="1"/>
      <c r="Y2408" s="1"/>
      <c r="Z2408" s="1"/>
      <c r="AA2408" s="1"/>
      <c r="AB2408" s="1"/>
      <c r="AC2408" s="1"/>
      <c r="AD2408" s="1"/>
      <c r="AE2408" s="1"/>
      <c r="AF2408" s="1"/>
    </row>
    <row r="2409" spans="7:32" x14ac:dyDescent="0.2">
      <c r="G2409" s="2"/>
      <c r="H2409" s="1"/>
      <c r="I2409" s="1"/>
      <c r="J2409" s="1"/>
      <c r="K2409" s="1"/>
      <c r="L2409" s="1"/>
      <c r="M2409" s="1"/>
      <c r="N2409" s="1"/>
      <c r="O2409" s="1"/>
      <c r="P2409" s="1"/>
      <c r="Q2409" s="1"/>
      <c r="R2409" s="1"/>
      <c r="S2409" s="1"/>
      <c r="T2409" s="1"/>
      <c r="U2409" s="1"/>
      <c r="V2409" s="1"/>
      <c r="W2409" s="1"/>
      <c r="X2409" s="1"/>
      <c r="Y2409" s="1"/>
      <c r="Z2409" s="1"/>
      <c r="AA2409" s="1"/>
      <c r="AB2409" s="1"/>
      <c r="AC2409" s="1"/>
      <c r="AD2409" s="1"/>
      <c r="AE2409" s="1"/>
      <c r="AF2409" s="1"/>
    </row>
    <row r="2410" spans="7:32" x14ac:dyDescent="0.2">
      <c r="G2410" s="2"/>
      <c r="H2410" s="1"/>
      <c r="I2410" s="1"/>
      <c r="J2410" s="1"/>
      <c r="K2410" s="1"/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  <c r="X2410" s="1"/>
      <c r="Y2410" s="1"/>
      <c r="Z2410" s="1"/>
      <c r="AA2410" s="1"/>
      <c r="AB2410" s="1"/>
      <c r="AC2410" s="1"/>
      <c r="AD2410" s="1"/>
      <c r="AE2410" s="1"/>
      <c r="AF2410" s="1"/>
    </row>
    <row r="2411" spans="7:32" x14ac:dyDescent="0.2">
      <c r="G2411" s="2"/>
      <c r="H2411" s="1"/>
      <c r="I2411" s="1"/>
      <c r="J2411" s="1"/>
      <c r="K2411" s="1"/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  <c r="X2411" s="1"/>
      <c r="Y2411" s="1"/>
      <c r="Z2411" s="1"/>
      <c r="AA2411" s="1"/>
      <c r="AB2411" s="1"/>
      <c r="AC2411" s="1"/>
      <c r="AD2411" s="1"/>
      <c r="AE2411" s="1"/>
      <c r="AF2411" s="1"/>
    </row>
    <row r="2412" spans="7:32" x14ac:dyDescent="0.2">
      <c r="G2412" s="2"/>
      <c r="H2412" s="1"/>
      <c r="I2412" s="1"/>
      <c r="J2412" s="1"/>
      <c r="K2412" s="1"/>
      <c r="L2412" s="1"/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  <c r="X2412" s="1"/>
      <c r="Y2412" s="1"/>
      <c r="Z2412" s="1"/>
      <c r="AA2412" s="1"/>
      <c r="AB2412" s="1"/>
      <c r="AC2412" s="1"/>
      <c r="AD2412" s="1"/>
      <c r="AE2412" s="1"/>
      <c r="AF2412" s="1"/>
    </row>
    <row r="2413" spans="7:32" x14ac:dyDescent="0.2">
      <c r="G2413" s="2"/>
      <c r="H2413" s="1"/>
      <c r="I2413" s="1"/>
      <c r="J2413" s="1"/>
      <c r="K2413" s="1"/>
      <c r="L2413" s="1"/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  <c r="X2413" s="1"/>
      <c r="Y2413" s="1"/>
      <c r="Z2413" s="1"/>
      <c r="AA2413" s="1"/>
      <c r="AB2413" s="1"/>
      <c r="AC2413" s="1"/>
      <c r="AD2413" s="1"/>
      <c r="AE2413" s="1"/>
      <c r="AF2413" s="1"/>
    </row>
    <row r="2414" spans="7:32" x14ac:dyDescent="0.2">
      <c r="G2414" s="2"/>
      <c r="H2414" s="1"/>
      <c r="I2414" s="1"/>
      <c r="J2414" s="1"/>
      <c r="K2414" s="1"/>
      <c r="L2414" s="1"/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  <c r="X2414" s="1"/>
      <c r="Y2414" s="1"/>
      <c r="Z2414" s="1"/>
      <c r="AA2414" s="1"/>
      <c r="AB2414" s="1"/>
      <c r="AC2414" s="1"/>
      <c r="AD2414" s="1"/>
      <c r="AE2414" s="1"/>
      <c r="AF2414" s="1"/>
    </row>
    <row r="2415" spans="7:32" x14ac:dyDescent="0.2">
      <c r="G2415" s="2"/>
      <c r="H2415" s="1"/>
      <c r="I2415" s="1"/>
      <c r="J2415" s="1"/>
      <c r="K2415" s="1"/>
      <c r="L2415" s="1"/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  <c r="X2415" s="1"/>
      <c r="Y2415" s="1"/>
      <c r="Z2415" s="1"/>
      <c r="AA2415" s="1"/>
      <c r="AB2415" s="1"/>
      <c r="AC2415" s="1"/>
      <c r="AD2415" s="1"/>
      <c r="AE2415" s="1"/>
      <c r="AF2415" s="1"/>
    </row>
    <row r="2416" spans="7:32" x14ac:dyDescent="0.2">
      <c r="G2416" s="2"/>
      <c r="H2416" s="1"/>
      <c r="I2416" s="1"/>
      <c r="J2416" s="1"/>
      <c r="K2416" s="1"/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  <c r="X2416" s="1"/>
      <c r="Y2416" s="1"/>
      <c r="Z2416" s="1"/>
      <c r="AA2416" s="1"/>
      <c r="AB2416" s="1"/>
      <c r="AC2416" s="1"/>
      <c r="AD2416" s="1"/>
      <c r="AE2416" s="1"/>
      <c r="AF2416" s="1"/>
    </row>
    <row r="2417" spans="7:32" x14ac:dyDescent="0.2">
      <c r="G2417" s="2"/>
      <c r="H2417" s="1"/>
      <c r="I2417" s="1"/>
      <c r="J2417" s="1"/>
      <c r="K2417" s="1"/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  <c r="X2417" s="1"/>
      <c r="Y2417" s="1"/>
      <c r="Z2417" s="1"/>
      <c r="AA2417" s="1"/>
      <c r="AB2417" s="1"/>
      <c r="AC2417" s="1"/>
      <c r="AD2417" s="1"/>
      <c r="AE2417" s="1"/>
      <c r="AF2417" s="1"/>
    </row>
    <row r="2418" spans="7:32" x14ac:dyDescent="0.2">
      <c r="G2418" s="2"/>
      <c r="H2418" s="1"/>
      <c r="I2418" s="1"/>
      <c r="J2418" s="1"/>
      <c r="K2418" s="1"/>
      <c r="L2418" s="1"/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  <c r="X2418" s="1"/>
      <c r="Y2418" s="1"/>
      <c r="Z2418" s="1"/>
      <c r="AA2418" s="1"/>
      <c r="AB2418" s="1"/>
      <c r="AC2418" s="1"/>
      <c r="AD2418" s="1"/>
      <c r="AE2418" s="1"/>
      <c r="AF2418" s="1"/>
    </row>
    <row r="2419" spans="7:32" x14ac:dyDescent="0.2">
      <c r="G2419" s="2"/>
      <c r="H2419" s="1"/>
      <c r="I2419" s="1"/>
      <c r="J2419" s="1"/>
      <c r="K2419" s="1"/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  <c r="X2419" s="1"/>
      <c r="Y2419" s="1"/>
      <c r="Z2419" s="1"/>
      <c r="AA2419" s="1"/>
      <c r="AB2419" s="1"/>
      <c r="AC2419" s="1"/>
      <c r="AD2419" s="1"/>
      <c r="AE2419" s="1"/>
      <c r="AF2419" s="1"/>
    </row>
    <row r="2420" spans="7:32" x14ac:dyDescent="0.2">
      <c r="G2420" s="2"/>
      <c r="H2420" s="1"/>
      <c r="I2420" s="1"/>
      <c r="J2420" s="1"/>
      <c r="K2420" s="1"/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  <c r="X2420" s="1"/>
      <c r="Y2420" s="1"/>
      <c r="Z2420" s="1"/>
      <c r="AA2420" s="1"/>
      <c r="AB2420" s="1"/>
      <c r="AC2420" s="1"/>
      <c r="AD2420" s="1"/>
      <c r="AE2420" s="1"/>
      <c r="AF2420" s="1"/>
    </row>
    <row r="2421" spans="7:32" x14ac:dyDescent="0.2">
      <c r="G2421" s="2"/>
      <c r="H2421" s="1"/>
      <c r="I2421" s="1"/>
      <c r="J2421" s="1"/>
      <c r="K2421" s="1"/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  <c r="X2421" s="1"/>
      <c r="Y2421" s="1"/>
      <c r="Z2421" s="1"/>
      <c r="AA2421" s="1"/>
      <c r="AB2421" s="1"/>
      <c r="AC2421" s="1"/>
      <c r="AD2421" s="1"/>
      <c r="AE2421" s="1"/>
      <c r="AF2421" s="1"/>
    </row>
    <row r="2422" spans="7:32" x14ac:dyDescent="0.2">
      <c r="G2422" s="2"/>
      <c r="H2422" s="1"/>
      <c r="I2422" s="1"/>
      <c r="J2422" s="1"/>
      <c r="K2422" s="1"/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  <c r="X2422" s="1"/>
      <c r="Y2422" s="1"/>
      <c r="Z2422" s="1"/>
      <c r="AA2422" s="1"/>
      <c r="AB2422" s="1"/>
      <c r="AC2422" s="1"/>
      <c r="AD2422" s="1"/>
      <c r="AE2422" s="1"/>
      <c r="AF2422" s="1"/>
    </row>
    <row r="2423" spans="7:32" x14ac:dyDescent="0.2">
      <c r="G2423" s="2"/>
      <c r="H2423" s="1"/>
      <c r="I2423" s="1"/>
      <c r="J2423" s="1"/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  <c r="X2423" s="1"/>
      <c r="Y2423" s="1"/>
      <c r="Z2423" s="1"/>
      <c r="AA2423" s="1"/>
      <c r="AB2423" s="1"/>
      <c r="AC2423" s="1"/>
      <c r="AD2423" s="1"/>
      <c r="AE2423" s="1"/>
      <c r="AF2423" s="1"/>
    </row>
    <row r="2424" spans="7:32" x14ac:dyDescent="0.2">
      <c r="G2424" s="2"/>
      <c r="H2424" s="1"/>
      <c r="I2424" s="1"/>
      <c r="J2424" s="1"/>
      <c r="K2424" s="1"/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/>
      <c r="W2424" s="1"/>
      <c r="X2424" s="1"/>
      <c r="Y2424" s="1"/>
      <c r="Z2424" s="1"/>
      <c r="AA2424" s="1"/>
      <c r="AB2424" s="1"/>
      <c r="AC2424" s="1"/>
      <c r="AD2424" s="1"/>
      <c r="AE2424" s="1"/>
      <c r="AF2424" s="1"/>
    </row>
    <row r="2425" spans="7:32" x14ac:dyDescent="0.2">
      <c r="G2425" s="2"/>
      <c r="H2425" s="1"/>
      <c r="I2425" s="1"/>
      <c r="J2425" s="1"/>
      <c r="K2425" s="1"/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/>
      <c r="W2425" s="1"/>
      <c r="X2425" s="1"/>
      <c r="Y2425" s="1"/>
      <c r="Z2425" s="1"/>
      <c r="AA2425" s="1"/>
      <c r="AB2425" s="1"/>
      <c r="AC2425" s="1"/>
      <c r="AD2425" s="1"/>
      <c r="AE2425" s="1"/>
      <c r="AF2425" s="1"/>
    </row>
    <row r="2426" spans="7:32" x14ac:dyDescent="0.2">
      <c r="G2426" s="2"/>
      <c r="H2426" s="1"/>
      <c r="I2426" s="1"/>
      <c r="J2426" s="1"/>
      <c r="K2426" s="1"/>
      <c r="L2426" s="1"/>
      <c r="M2426" s="1"/>
      <c r="N2426" s="1"/>
      <c r="O2426" s="1"/>
      <c r="P2426" s="1"/>
      <c r="Q2426" s="1"/>
      <c r="R2426" s="1"/>
      <c r="S2426" s="1"/>
      <c r="T2426" s="1"/>
      <c r="U2426" s="1"/>
      <c r="V2426" s="1"/>
      <c r="W2426" s="1"/>
      <c r="X2426" s="1"/>
      <c r="Y2426" s="1"/>
      <c r="Z2426" s="1"/>
      <c r="AA2426" s="1"/>
      <c r="AB2426" s="1"/>
      <c r="AC2426" s="1"/>
      <c r="AD2426" s="1"/>
      <c r="AE2426" s="1"/>
      <c r="AF2426" s="1"/>
    </row>
    <row r="2427" spans="7:32" x14ac:dyDescent="0.2">
      <c r="G2427" s="2"/>
      <c r="H2427" s="1"/>
      <c r="I2427" s="1"/>
      <c r="J2427" s="1"/>
      <c r="K2427" s="1"/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/>
      <c r="X2427" s="1"/>
      <c r="Y2427" s="1"/>
      <c r="Z2427" s="1"/>
      <c r="AA2427" s="1"/>
      <c r="AB2427" s="1"/>
      <c r="AC2427" s="1"/>
      <c r="AD2427" s="1"/>
      <c r="AE2427" s="1"/>
      <c r="AF2427" s="1"/>
    </row>
    <row r="2428" spans="7:32" x14ac:dyDescent="0.2">
      <c r="G2428" s="2"/>
      <c r="H2428" s="1"/>
      <c r="I2428" s="1"/>
      <c r="J2428" s="1"/>
      <c r="K2428" s="1"/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/>
      <c r="X2428" s="1"/>
      <c r="Y2428" s="1"/>
      <c r="Z2428" s="1"/>
      <c r="AA2428" s="1"/>
      <c r="AB2428" s="1"/>
      <c r="AC2428" s="1"/>
      <c r="AD2428" s="1"/>
      <c r="AE2428" s="1"/>
      <c r="AF2428" s="1"/>
    </row>
    <row r="2429" spans="7:32" x14ac:dyDescent="0.2">
      <c r="G2429" s="2"/>
      <c r="H2429" s="1"/>
      <c r="I2429" s="1"/>
      <c r="J2429" s="1"/>
      <c r="K2429" s="1"/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/>
      <c r="W2429" s="1"/>
      <c r="X2429" s="1"/>
      <c r="Y2429" s="1"/>
      <c r="Z2429" s="1"/>
      <c r="AA2429" s="1"/>
      <c r="AB2429" s="1"/>
      <c r="AC2429" s="1"/>
      <c r="AD2429" s="1"/>
      <c r="AE2429" s="1"/>
      <c r="AF2429" s="1"/>
    </row>
    <row r="2430" spans="7:32" x14ac:dyDescent="0.2">
      <c r="G2430" s="2"/>
      <c r="H2430" s="1"/>
      <c r="I2430" s="1"/>
      <c r="J2430" s="1"/>
      <c r="K2430" s="1"/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/>
      <c r="W2430" s="1"/>
      <c r="X2430" s="1"/>
      <c r="Y2430" s="1"/>
      <c r="Z2430" s="1"/>
      <c r="AA2430" s="1"/>
      <c r="AB2430" s="1"/>
      <c r="AC2430" s="1"/>
      <c r="AD2430" s="1"/>
      <c r="AE2430" s="1"/>
      <c r="AF2430" s="1"/>
    </row>
    <row r="2431" spans="7:32" x14ac:dyDescent="0.2">
      <c r="G2431" s="2"/>
      <c r="H2431" s="1"/>
      <c r="I2431" s="1"/>
      <c r="J2431" s="1"/>
      <c r="K2431" s="1"/>
      <c r="L2431" s="1"/>
      <c r="M2431" s="1"/>
      <c r="N2431" s="1"/>
      <c r="O2431" s="1"/>
      <c r="P2431" s="1"/>
      <c r="Q2431" s="1"/>
      <c r="R2431" s="1"/>
      <c r="S2431" s="1"/>
      <c r="T2431" s="1"/>
      <c r="U2431" s="1"/>
      <c r="V2431" s="1"/>
      <c r="W2431" s="1"/>
      <c r="X2431" s="1"/>
      <c r="Y2431" s="1"/>
      <c r="Z2431" s="1"/>
      <c r="AA2431" s="1"/>
      <c r="AB2431" s="1"/>
      <c r="AC2431" s="1"/>
      <c r="AD2431" s="1"/>
      <c r="AE2431" s="1"/>
      <c r="AF2431" s="1"/>
    </row>
    <row r="2432" spans="7:32" x14ac:dyDescent="0.2">
      <c r="G2432" s="2"/>
      <c r="H2432" s="1"/>
      <c r="I2432" s="1"/>
      <c r="J2432" s="1"/>
      <c r="K2432" s="1"/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/>
      <c r="W2432" s="1"/>
      <c r="X2432" s="1"/>
      <c r="Y2432" s="1"/>
      <c r="Z2432" s="1"/>
      <c r="AA2432" s="1"/>
      <c r="AB2432" s="1"/>
      <c r="AC2432" s="1"/>
      <c r="AD2432" s="1"/>
      <c r="AE2432" s="1"/>
      <c r="AF2432" s="1"/>
    </row>
    <row r="2433" spans="7:32" x14ac:dyDescent="0.2">
      <c r="G2433" s="2"/>
      <c r="H2433" s="1"/>
      <c r="I2433" s="1"/>
      <c r="J2433" s="1"/>
      <c r="K2433" s="1"/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/>
      <c r="W2433" s="1"/>
      <c r="X2433" s="1"/>
      <c r="Y2433" s="1"/>
      <c r="Z2433" s="1"/>
      <c r="AA2433" s="1"/>
      <c r="AB2433" s="1"/>
      <c r="AC2433" s="1"/>
      <c r="AD2433" s="1"/>
      <c r="AE2433" s="1"/>
      <c r="AF2433" s="1"/>
    </row>
    <row r="2434" spans="7:32" x14ac:dyDescent="0.2">
      <c r="G2434" s="2"/>
      <c r="H2434" s="1"/>
      <c r="I2434" s="1"/>
      <c r="J2434" s="1"/>
      <c r="K2434" s="1"/>
      <c r="L2434" s="1"/>
      <c r="M2434" s="1"/>
      <c r="N2434" s="1"/>
      <c r="O2434" s="1"/>
      <c r="P2434" s="1"/>
      <c r="Q2434" s="1"/>
      <c r="R2434" s="1"/>
      <c r="S2434" s="1"/>
      <c r="T2434" s="1"/>
      <c r="U2434" s="1"/>
      <c r="V2434" s="1"/>
      <c r="W2434" s="1"/>
      <c r="X2434" s="1"/>
      <c r="Y2434" s="1"/>
      <c r="Z2434" s="1"/>
      <c r="AA2434" s="1"/>
      <c r="AB2434" s="1"/>
      <c r="AC2434" s="1"/>
      <c r="AD2434" s="1"/>
      <c r="AE2434" s="1"/>
      <c r="AF2434" s="1"/>
    </row>
    <row r="2435" spans="7:32" x14ac:dyDescent="0.2">
      <c r="G2435" s="2"/>
      <c r="H2435" s="1"/>
      <c r="I2435" s="1"/>
      <c r="J2435" s="1"/>
      <c r="K2435" s="1"/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/>
      <c r="W2435" s="1"/>
      <c r="X2435" s="1"/>
      <c r="Y2435" s="1"/>
      <c r="Z2435" s="1"/>
      <c r="AA2435" s="1"/>
      <c r="AB2435" s="1"/>
      <c r="AC2435" s="1"/>
      <c r="AD2435" s="1"/>
      <c r="AE2435" s="1"/>
      <c r="AF2435" s="1"/>
    </row>
    <row r="2436" spans="7:32" x14ac:dyDescent="0.2">
      <c r="G2436" s="2"/>
      <c r="H2436" s="1"/>
      <c r="I2436" s="1"/>
      <c r="J2436" s="1"/>
      <c r="K2436" s="1"/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  <c r="X2436" s="1"/>
      <c r="Y2436" s="1"/>
      <c r="Z2436" s="1"/>
      <c r="AA2436" s="1"/>
      <c r="AB2436" s="1"/>
      <c r="AC2436" s="1"/>
      <c r="AD2436" s="1"/>
      <c r="AE2436" s="1"/>
      <c r="AF2436" s="1"/>
    </row>
    <row r="2437" spans="7:32" x14ac:dyDescent="0.2">
      <c r="G2437" s="2"/>
      <c r="H2437" s="1"/>
      <c r="I2437" s="1"/>
      <c r="J2437" s="1"/>
      <c r="K2437" s="1"/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  <c r="X2437" s="1"/>
      <c r="Y2437" s="1"/>
      <c r="Z2437" s="1"/>
      <c r="AA2437" s="1"/>
      <c r="AB2437" s="1"/>
      <c r="AC2437" s="1"/>
      <c r="AD2437" s="1"/>
      <c r="AE2437" s="1"/>
      <c r="AF2437" s="1"/>
    </row>
    <row r="2438" spans="7:32" x14ac:dyDescent="0.2">
      <c r="G2438" s="2"/>
      <c r="H2438" s="1"/>
      <c r="I2438" s="1"/>
      <c r="J2438" s="1"/>
      <c r="K2438" s="1"/>
      <c r="L2438" s="1"/>
      <c r="M2438" s="1"/>
      <c r="N2438" s="1"/>
      <c r="O2438" s="1"/>
      <c r="P2438" s="1"/>
      <c r="Q2438" s="1"/>
      <c r="R2438" s="1"/>
      <c r="S2438" s="1"/>
      <c r="T2438" s="1"/>
      <c r="U2438" s="1"/>
      <c r="V2438" s="1"/>
      <c r="W2438" s="1"/>
      <c r="X2438" s="1"/>
      <c r="Y2438" s="1"/>
      <c r="Z2438" s="1"/>
      <c r="AA2438" s="1"/>
      <c r="AB2438" s="1"/>
      <c r="AC2438" s="1"/>
      <c r="AD2438" s="1"/>
      <c r="AE2438" s="1"/>
      <c r="AF2438" s="1"/>
    </row>
    <row r="2439" spans="7:32" x14ac:dyDescent="0.2">
      <c r="G2439" s="2"/>
      <c r="H2439" s="1"/>
      <c r="I2439" s="1"/>
      <c r="J2439" s="1"/>
      <c r="K2439" s="1"/>
      <c r="L2439" s="1"/>
      <c r="M2439" s="1"/>
      <c r="N2439" s="1"/>
      <c r="O2439" s="1"/>
      <c r="P2439" s="1"/>
      <c r="Q2439" s="1"/>
      <c r="R2439" s="1"/>
      <c r="S2439" s="1"/>
      <c r="T2439" s="1"/>
      <c r="U2439" s="1"/>
      <c r="V2439" s="1"/>
      <c r="W2439" s="1"/>
      <c r="X2439" s="1"/>
      <c r="Y2439" s="1"/>
      <c r="Z2439" s="1"/>
      <c r="AA2439" s="1"/>
      <c r="AB2439" s="1"/>
      <c r="AC2439" s="1"/>
      <c r="AD2439" s="1"/>
      <c r="AE2439" s="1"/>
      <c r="AF2439" s="1"/>
    </row>
    <row r="2440" spans="7:32" x14ac:dyDescent="0.2">
      <c r="G2440" s="2"/>
      <c r="H2440" s="1"/>
      <c r="I2440" s="1"/>
      <c r="J2440" s="1"/>
      <c r="K2440" s="1"/>
      <c r="L2440" s="1"/>
      <c r="M2440" s="1"/>
      <c r="N2440" s="1"/>
      <c r="O2440" s="1"/>
      <c r="P2440" s="1"/>
      <c r="Q2440" s="1"/>
      <c r="R2440" s="1"/>
      <c r="S2440" s="1"/>
      <c r="T2440" s="1"/>
      <c r="U2440" s="1"/>
      <c r="V2440" s="1"/>
      <c r="W2440" s="1"/>
      <c r="X2440" s="1"/>
      <c r="Y2440" s="1"/>
      <c r="Z2440" s="1"/>
      <c r="AA2440" s="1"/>
      <c r="AB2440" s="1"/>
      <c r="AC2440" s="1"/>
      <c r="AD2440" s="1"/>
      <c r="AE2440" s="1"/>
      <c r="AF2440" s="1"/>
    </row>
    <row r="2441" spans="7:32" x14ac:dyDescent="0.2">
      <c r="G2441" s="2"/>
      <c r="H2441" s="1"/>
      <c r="I2441" s="1"/>
      <c r="J2441" s="1"/>
      <c r="K2441" s="1"/>
      <c r="L2441" s="1"/>
      <c r="M2441" s="1"/>
      <c r="N2441" s="1"/>
      <c r="O2441" s="1"/>
      <c r="P2441" s="1"/>
      <c r="Q2441" s="1"/>
      <c r="R2441" s="1"/>
      <c r="S2441" s="1"/>
      <c r="T2441" s="1"/>
      <c r="U2441" s="1"/>
      <c r="V2441" s="1"/>
      <c r="W2441" s="1"/>
      <c r="X2441" s="1"/>
      <c r="Y2441" s="1"/>
      <c r="Z2441" s="1"/>
      <c r="AA2441" s="1"/>
      <c r="AB2441" s="1"/>
      <c r="AC2441" s="1"/>
      <c r="AD2441" s="1"/>
      <c r="AE2441" s="1"/>
      <c r="AF2441" s="1"/>
    </row>
    <row r="2442" spans="7:32" x14ac:dyDescent="0.2">
      <c r="G2442" s="2"/>
      <c r="H2442" s="1"/>
      <c r="I2442" s="1"/>
      <c r="J2442" s="1"/>
      <c r="K2442" s="1"/>
      <c r="L2442" s="1"/>
      <c r="M2442" s="1"/>
      <c r="N2442" s="1"/>
      <c r="O2442" s="1"/>
      <c r="P2442" s="1"/>
      <c r="Q2442" s="1"/>
      <c r="R2442" s="1"/>
      <c r="S2442" s="1"/>
      <c r="T2442" s="1"/>
      <c r="U2442" s="1"/>
      <c r="V2442" s="1"/>
      <c r="W2442" s="1"/>
      <c r="X2442" s="1"/>
      <c r="Y2442" s="1"/>
      <c r="Z2442" s="1"/>
      <c r="AA2442" s="1"/>
      <c r="AB2442" s="1"/>
      <c r="AC2442" s="1"/>
      <c r="AD2442" s="1"/>
      <c r="AE2442" s="1"/>
      <c r="AF2442" s="1"/>
    </row>
    <row r="2443" spans="7:32" x14ac:dyDescent="0.2">
      <c r="G2443" s="2"/>
      <c r="H2443" s="1"/>
      <c r="I2443" s="1"/>
      <c r="J2443" s="1"/>
      <c r="K2443" s="1"/>
      <c r="L2443" s="1"/>
      <c r="M2443" s="1"/>
      <c r="N2443" s="1"/>
      <c r="O2443" s="1"/>
      <c r="P2443" s="1"/>
      <c r="Q2443" s="1"/>
      <c r="R2443" s="1"/>
      <c r="S2443" s="1"/>
      <c r="T2443" s="1"/>
      <c r="U2443" s="1"/>
      <c r="V2443" s="1"/>
      <c r="W2443" s="1"/>
      <c r="X2443" s="1"/>
      <c r="Y2443" s="1"/>
      <c r="Z2443" s="1"/>
      <c r="AA2443" s="1"/>
      <c r="AB2443" s="1"/>
      <c r="AC2443" s="1"/>
      <c r="AD2443" s="1"/>
      <c r="AE2443" s="1"/>
      <c r="AF2443" s="1"/>
    </row>
    <row r="2444" spans="7:32" x14ac:dyDescent="0.2">
      <c r="G2444" s="2"/>
      <c r="H2444" s="1"/>
      <c r="I2444" s="1"/>
      <c r="J2444" s="1"/>
      <c r="K2444" s="1"/>
      <c r="L2444" s="1"/>
      <c r="M2444" s="1"/>
      <c r="N2444" s="1"/>
      <c r="O2444" s="1"/>
      <c r="P2444" s="1"/>
      <c r="Q2444" s="1"/>
      <c r="R2444" s="1"/>
      <c r="S2444" s="1"/>
      <c r="T2444" s="1"/>
      <c r="U2444" s="1"/>
      <c r="V2444" s="1"/>
      <c r="W2444" s="1"/>
      <c r="X2444" s="1"/>
      <c r="Y2444" s="1"/>
      <c r="Z2444" s="1"/>
      <c r="AA2444" s="1"/>
      <c r="AB2444" s="1"/>
      <c r="AC2444" s="1"/>
      <c r="AD2444" s="1"/>
      <c r="AE2444" s="1"/>
      <c r="AF2444" s="1"/>
    </row>
    <row r="2445" spans="7:32" x14ac:dyDescent="0.2">
      <c r="G2445" s="2"/>
      <c r="H2445" s="1"/>
      <c r="I2445" s="1"/>
      <c r="J2445" s="1"/>
      <c r="K2445" s="1"/>
      <c r="L2445" s="1"/>
      <c r="M2445" s="1"/>
      <c r="N2445" s="1"/>
      <c r="O2445" s="1"/>
      <c r="P2445" s="1"/>
      <c r="Q2445" s="1"/>
      <c r="R2445" s="1"/>
      <c r="S2445" s="1"/>
      <c r="T2445" s="1"/>
      <c r="U2445" s="1"/>
      <c r="V2445" s="1"/>
      <c r="W2445" s="1"/>
      <c r="X2445" s="1"/>
      <c r="Y2445" s="1"/>
      <c r="Z2445" s="1"/>
      <c r="AA2445" s="1"/>
      <c r="AB2445" s="1"/>
      <c r="AC2445" s="1"/>
      <c r="AD2445" s="1"/>
      <c r="AE2445" s="1"/>
      <c r="AF2445" s="1"/>
    </row>
    <row r="2446" spans="7:32" x14ac:dyDescent="0.2">
      <c r="G2446" s="2"/>
      <c r="H2446" s="1"/>
      <c r="I2446" s="1"/>
      <c r="J2446" s="1"/>
      <c r="K2446" s="1"/>
      <c r="L2446" s="1"/>
      <c r="M2446" s="1"/>
      <c r="N2446" s="1"/>
      <c r="O2446" s="1"/>
      <c r="P2446" s="1"/>
      <c r="Q2446" s="1"/>
      <c r="R2446" s="1"/>
      <c r="S2446" s="1"/>
      <c r="T2446" s="1"/>
      <c r="U2446" s="1"/>
      <c r="V2446" s="1"/>
      <c r="W2446" s="1"/>
      <c r="X2446" s="1"/>
      <c r="Y2446" s="1"/>
      <c r="Z2446" s="1"/>
      <c r="AA2446" s="1"/>
      <c r="AB2446" s="1"/>
      <c r="AC2446" s="1"/>
      <c r="AD2446" s="1"/>
      <c r="AE2446" s="1"/>
      <c r="AF2446" s="1"/>
    </row>
    <row r="2447" spans="7:32" x14ac:dyDescent="0.2">
      <c r="G2447" s="2"/>
      <c r="H2447" s="1"/>
      <c r="I2447" s="1"/>
      <c r="J2447" s="1"/>
      <c r="K2447" s="1"/>
      <c r="L2447" s="1"/>
      <c r="M2447" s="1"/>
      <c r="N2447" s="1"/>
      <c r="O2447" s="1"/>
      <c r="P2447" s="1"/>
      <c r="Q2447" s="1"/>
      <c r="R2447" s="1"/>
      <c r="S2447" s="1"/>
      <c r="T2447" s="1"/>
      <c r="U2447" s="1"/>
      <c r="V2447" s="1"/>
      <c r="W2447" s="1"/>
      <c r="X2447" s="1"/>
      <c r="Y2447" s="1"/>
      <c r="Z2447" s="1"/>
      <c r="AA2447" s="1"/>
      <c r="AB2447" s="1"/>
      <c r="AC2447" s="1"/>
      <c r="AD2447" s="1"/>
      <c r="AE2447" s="1"/>
      <c r="AF2447" s="1"/>
    </row>
    <row r="2448" spans="7:32" x14ac:dyDescent="0.2">
      <c r="G2448" s="2"/>
      <c r="H2448" s="1"/>
      <c r="I2448" s="1"/>
      <c r="J2448" s="1"/>
      <c r="K2448" s="1"/>
      <c r="L2448" s="1"/>
      <c r="M2448" s="1"/>
      <c r="N2448" s="1"/>
      <c r="O2448" s="1"/>
      <c r="P2448" s="1"/>
      <c r="Q2448" s="1"/>
      <c r="R2448" s="1"/>
      <c r="S2448" s="1"/>
      <c r="T2448" s="1"/>
      <c r="U2448" s="1"/>
      <c r="V2448" s="1"/>
      <c r="W2448" s="1"/>
      <c r="X2448" s="1"/>
      <c r="Y2448" s="1"/>
      <c r="Z2448" s="1"/>
      <c r="AA2448" s="1"/>
      <c r="AB2448" s="1"/>
      <c r="AC2448" s="1"/>
      <c r="AD2448" s="1"/>
      <c r="AE2448" s="1"/>
      <c r="AF2448" s="1"/>
    </row>
    <row r="2449" spans="7:32" x14ac:dyDescent="0.2">
      <c r="G2449" s="2"/>
      <c r="H2449" s="1"/>
      <c r="I2449" s="1"/>
      <c r="J2449" s="1"/>
      <c r="K2449" s="1"/>
      <c r="L2449" s="1"/>
      <c r="M2449" s="1"/>
      <c r="N2449" s="1"/>
      <c r="O2449" s="1"/>
      <c r="P2449" s="1"/>
      <c r="Q2449" s="1"/>
      <c r="R2449" s="1"/>
      <c r="S2449" s="1"/>
      <c r="T2449" s="1"/>
      <c r="U2449" s="1"/>
      <c r="V2449" s="1"/>
      <c r="W2449" s="1"/>
      <c r="X2449" s="1"/>
      <c r="Y2449" s="1"/>
      <c r="Z2449" s="1"/>
      <c r="AA2449" s="1"/>
      <c r="AB2449" s="1"/>
      <c r="AC2449" s="1"/>
      <c r="AD2449" s="1"/>
      <c r="AE2449" s="1"/>
      <c r="AF2449" s="1"/>
    </row>
    <row r="2450" spans="7:32" x14ac:dyDescent="0.2">
      <c r="G2450" s="2"/>
      <c r="H2450" s="1"/>
      <c r="I2450" s="1"/>
      <c r="J2450" s="1"/>
      <c r="K2450" s="1"/>
      <c r="L2450" s="1"/>
      <c r="M2450" s="1"/>
      <c r="N2450" s="1"/>
      <c r="O2450" s="1"/>
      <c r="P2450" s="1"/>
      <c r="Q2450" s="1"/>
      <c r="R2450" s="1"/>
      <c r="S2450" s="1"/>
      <c r="T2450" s="1"/>
      <c r="U2450" s="1"/>
      <c r="V2450" s="1"/>
      <c r="W2450" s="1"/>
      <c r="X2450" s="1"/>
      <c r="Y2450" s="1"/>
      <c r="Z2450" s="1"/>
      <c r="AA2450" s="1"/>
      <c r="AB2450" s="1"/>
      <c r="AC2450" s="1"/>
      <c r="AD2450" s="1"/>
      <c r="AE2450" s="1"/>
      <c r="AF2450" s="1"/>
    </row>
    <row r="2451" spans="7:32" x14ac:dyDescent="0.2">
      <c r="G2451" s="2"/>
      <c r="H2451" s="1"/>
      <c r="I2451" s="1"/>
      <c r="J2451" s="1"/>
      <c r="K2451" s="1"/>
      <c r="L2451" s="1"/>
      <c r="M2451" s="1"/>
      <c r="N2451" s="1"/>
      <c r="O2451" s="1"/>
      <c r="P2451" s="1"/>
      <c r="Q2451" s="1"/>
      <c r="R2451" s="1"/>
      <c r="S2451" s="1"/>
      <c r="T2451" s="1"/>
      <c r="U2451" s="1"/>
      <c r="V2451" s="1"/>
      <c r="W2451" s="1"/>
      <c r="X2451" s="1"/>
      <c r="Y2451" s="1"/>
      <c r="Z2451" s="1"/>
      <c r="AA2451" s="1"/>
      <c r="AB2451" s="1"/>
      <c r="AC2451" s="1"/>
      <c r="AD2451" s="1"/>
      <c r="AE2451" s="1"/>
      <c r="AF2451" s="1"/>
    </row>
    <row r="2452" spans="7:32" x14ac:dyDescent="0.2">
      <c r="G2452" s="2"/>
      <c r="H2452" s="1"/>
      <c r="I2452" s="1"/>
      <c r="J2452" s="1"/>
      <c r="K2452" s="1"/>
      <c r="L2452" s="1"/>
      <c r="M2452" s="1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  <c r="AA2452" s="1"/>
      <c r="AB2452" s="1"/>
      <c r="AC2452" s="1"/>
      <c r="AD2452" s="1"/>
      <c r="AE2452" s="1"/>
      <c r="AF2452" s="1"/>
    </row>
    <row r="2453" spans="7:32" x14ac:dyDescent="0.2">
      <c r="G2453" s="2"/>
      <c r="H2453" s="1"/>
      <c r="I2453" s="1"/>
      <c r="J2453" s="1"/>
      <c r="K2453" s="1"/>
      <c r="L2453" s="1"/>
      <c r="M2453" s="1"/>
      <c r="N2453" s="1"/>
      <c r="O2453" s="1"/>
      <c r="P2453" s="1"/>
      <c r="Q2453" s="1"/>
      <c r="R2453" s="1"/>
      <c r="S2453" s="1"/>
      <c r="T2453" s="1"/>
      <c r="U2453" s="1"/>
      <c r="V2453" s="1"/>
      <c r="W2453" s="1"/>
      <c r="X2453" s="1"/>
      <c r="Y2453" s="1"/>
      <c r="Z2453" s="1"/>
      <c r="AA2453" s="1"/>
      <c r="AB2453" s="1"/>
      <c r="AC2453" s="1"/>
      <c r="AD2453" s="1"/>
      <c r="AE2453" s="1"/>
      <c r="AF2453" s="1"/>
    </row>
    <row r="2454" spans="7:32" x14ac:dyDescent="0.2">
      <c r="G2454" s="2"/>
      <c r="H2454" s="1"/>
      <c r="I2454" s="1"/>
      <c r="J2454" s="1"/>
      <c r="K2454" s="1"/>
      <c r="L2454" s="1"/>
      <c r="M2454" s="1"/>
      <c r="N2454" s="1"/>
      <c r="O2454" s="1"/>
      <c r="P2454" s="1"/>
      <c r="Q2454" s="1"/>
      <c r="R2454" s="1"/>
      <c r="S2454" s="1"/>
      <c r="T2454" s="1"/>
      <c r="U2454" s="1"/>
      <c r="V2454" s="1"/>
      <c r="W2454" s="1"/>
      <c r="X2454" s="1"/>
      <c r="Y2454" s="1"/>
      <c r="Z2454" s="1"/>
      <c r="AA2454" s="1"/>
      <c r="AB2454" s="1"/>
      <c r="AC2454" s="1"/>
      <c r="AD2454" s="1"/>
      <c r="AE2454" s="1"/>
      <c r="AF2454" s="1"/>
    </row>
    <row r="2455" spans="7:32" x14ac:dyDescent="0.2">
      <c r="G2455" s="2"/>
      <c r="H2455" s="1"/>
      <c r="I2455" s="1"/>
      <c r="J2455" s="1"/>
      <c r="K2455" s="1"/>
      <c r="L2455" s="1"/>
      <c r="M2455" s="1"/>
      <c r="N2455" s="1"/>
      <c r="O2455" s="1"/>
      <c r="P2455" s="1"/>
      <c r="Q2455" s="1"/>
      <c r="R2455" s="1"/>
      <c r="S2455" s="1"/>
      <c r="T2455" s="1"/>
      <c r="U2455" s="1"/>
      <c r="V2455" s="1"/>
      <c r="W2455" s="1"/>
      <c r="X2455" s="1"/>
      <c r="Y2455" s="1"/>
      <c r="Z2455" s="1"/>
      <c r="AA2455" s="1"/>
      <c r="AB2455" s="1"/>
      <c r="AC2455" s="1"/>
      <c r="AD2455" s="1"/>
      <c r="AE2455" s="1"/>
      <c r="AF2455" s="1"/>
    </row>
    <row r="2456" spans="7:32" x14ac:dyDescent="0.2">
      <c r="G2456" s="2"/>
      <c r="H2456" s="1"/>
      <c r="I2456" s="1"/>
      <c r="J2456" s="1"/>
      <c r="K2456" s="1"/>
      <c r="L2456" s="1"/>
      <c r="M2456" s="1"/>
      <c r="N2456" s="1"/>
      <c r="O2456" s="1"/>
      <c r="P2456" s="1"/>
      <c r="Q2456" s="1"/>
      <c r="R2456" s="1"/>
      <c r="S2456" s="1"/>
      <c r="T2456" s="1"/>
      <c r="U2456" s="1"/>
      <c r="V2456" s="1"/>
      <c r="W2456" s="1"/>
      <c r="X2456" s="1"/>
      <c r="Y2456" s="1"/>
      <c r="Z2456" s="1"/>
      <c r="AA2456" s="1"/>
      <c r="AB2456" s="1"/>
      <c r="AC2456" s="1"/>
      <c r="AD2456" s="1"/>
      <c r="AE2456" s="1"/>
      <c r="AF2456" s="1"/>
    </row>
    <row r="2457" spans="7:32" x14ac:dyDescent="0.2">
      <c r="G2457" s="2"/>
      <c r="H2457" s="1"/>
      <c r="I2457" s="1"/>
      <c r="J2457" s="1"/>
      <c r="K2457" s="1"/>
      <c r="L2457" s="1"/>
      <c r="M2457" s="1"/>
      <c r="N2457" s="1"/>
      <c r="O2457" s="1"/>
      <c r="P2457" s="1"/>
      <c r="Q2457" s="1"/>
      <c r="R2457" s="1"/>
      <c r="S2457" s="1"/>
      <c r="T2457" s="1"/>
      <c r="U2457" s="1"/>
      <c r="V2457" s="1"/>
      <c r="W2457" s="1"/>
      <c r="X2457" s="1"/>
      <c r="Y2457" s="1"/>
      <c r="Z2457" s="1"/>
      <c r="AA2457" s="1"/>
      <c r="AB2457" s="1"/>
      <c r="AC2457" s="1"/>
      <c r="AD2457" s="1"/>
      <c r="AE2457" s="1"/>
      <c r="AF2457" s="1"/>
    </row>
    <row r="2458" spans="7:32" x14ac:dyDescent="0.2">
      <c r="G2458" s="2"/>
      <c r="H2458" s="1"/>
      <c r="I2458" s="1"/>
      <c r="J2458" s="1"/>
      <c r="K2458" s="1"/>
      <c r="L2458" s="1"/>
      <c r="M2458" s="1"/>
      <c r="N2458" s="1"/>
      <c r="O2458" s="1"/>
      <c r="P2458" s="1"/>
      <c r="Q2458" s="1"/>
      <c r="R2458" s="1"/>
      <c r="S2458" s="1"/>
      <c r="T2458" s="1"/>
      <c r="U2458" s="1"/>
      <c r="V2458" s="1"/>
      <c r="W2458" s="1"/>
      <c r="X2458" s="1"/>
      <c r="Y2458" s="1"/>
      <c r="Z2458" s="1"/>
      <c r="AA2458" s="1"/>
      <c r="AB2458" s="1"/>
      <c r="AC2458" s="1"/>
      <c r="AD2458" s="1"/>
      <c r="AE2458" s="1"/>
      <c r="AF2458" s="1"/>
    </row>
    <row r="2459" spans="7:32" x14ac:dyDescent="0.2">
      <c r="G2459" s="2"/>
      <c r="H2459" s="1"/>
      <c r="I2459" s="1"/>
      <c r="J2459" s="1"/>
      <c r="K2459" s="1"/>
      <c r="L2459" s="1"/>
      <c r="M2459" s="1"/>
      <c r="N2459" s="1"/>
      <c r="O2459" s="1"/>
      <c r="P2459" s="1"/>
      <c r="Q2459" s="1"/>
      <c r="R2459" s="1"/>
      <c r="S2459" s="1"/>
      <c r="T2459" s="1"/>
      <c r="U2459" s="1"/>
      <c r="V2459" s="1"/>
      <c r="W2459" s="1"/>
      <c r="X2459" s="1"/>
      <c r="Y2459" s="1"/>
      <c r="Z2459" s="1"/>
      <c r="AA2459" s="1"/>
      <c r="AB2459" s="1"/>
      <c r="AC2459" s="1"/>
      <c r="AD2459" s="1"/>
      <c r="AE2459" s="1"/>
      <c r="AF2459" s="1"/>
    </row>
    <row r="2460" spans="7:32" x14ac:dyDescent="0.2">
      <c r="G2460" s="2"/>
      <c r="H2460" s="1"/>
      <c r="I2460" s="1"/>
      <c r="J2460" s="1"/>
      <c r="K2460" s="1"/>
      <c r="L2460" s="1"/>
      <c r="M2460" s="1"/>
      <c r="N2460" s="1"/>
      <c r="O2460" s="1"/>
      <c r="P2460" s="1"/>
      <c r="Q2460" s="1"/>
      <c r="R2460" s="1"/>
      <c r="S2460" s="1"/>
      <c r="T2460" s="1"/>
      <c r="U2460" s="1"/>
      <c r="V2460" s="1"/>
      <c r="W2460" s="1"/>
      <c r="X2460" s="1"/>
      <c r="Y2460" s="1"/>
      <c r="Z2460" s="1"/>
      <c r="AA2460" s="1"/>
      <c r="AB2460" s="1"/>
      <c r="AC2460" s="1"/>
      <c r="AD2460" s="1"/>
      <c r="AE2460" s="1"/>
      <c r="AF2460" s="1"/>
    </row>
    <row r="2461" spans="7:32" x14ac:dyDescent="0.2">
      <c r="G2461" s="2"/>
      <c r="H2461" s="1"/>
      <c r="I2461" s="1"/>
      <c r="J2461" s="1"/>
      <c r="K2461" s="1"/>
      <c r="L2461" s="1"/>
      <c r="M2461" s="1"/>
      <c r="N2461" s="1"/>
      <c r="O2461" s="1"/>
      <c r="P2461" s="1"/>
      <c r="Q2461" s="1"/>
      <c r="R2461" s="1"/>
      <c r="S2461" s="1"/>
      <c r="T2461" s="1"/>
      <c r="U2461" s="1"/>
      <c r="V2461" s="1"/>
      <c r="W2461" s="1"/>
      <c r="X2461" s="1"/>
      <c r="Y2461" s="1"/>
      <c r="Z2461" s="1"/>
      <c r="AA2461" s="1"/>
      <c r="AB2461" s="1"/>
      <c r="AC2461" s="1"/>
      <c r="AD2461" s="1"/>
      <c r="AE2461" s="1"/>
      <c r="AF2461" s="1"/>
    </row>
    <row r="2462" spans="7:32" x14ac:dyDescent="0.2">
      <c r="G2462" s="2"/>
      <c r="H2462" s="1"/>
      <c r="I2462" s="1"/>
      <c r="J2462" s="1"/>
      <c r="K2462" s="1"/>
      <c r="L2462" s="1"/>
      <c r="M2462" s="1"/>
      <c r="N2462" s="1"/>
      <c r="O2462" s="1"/>
      <c r="P2462" s="1"/>
      <c r="Q2462" s="1"/>
      <c r="R2462" s="1"/>
      <c r="S2462" s="1"/>
      <c r="T2462" s="1"/>
      <c r="U2462" s="1"/>
      <c r="V2462" s="1"/>
      <c r="W2462" s="1"/>
      <c r="X2462" s="1"/>
      <c r="Y2462" s="1"/>
      <c r="Z2462" s="1"/>
      <c r="AA2462" s="1"/>
      <c r="AB2462" s="1"/>
      <c r="AC2462" s="1"/>
      <c r="AD2462" s="1"/>
      <c r="AE2462" s="1"/>
      <c r="AF2462" s="1"/>
    </row>
    <row r="2463" spans="7:32" x14ac:dyDescent="0.2">
      <c r="G2463" s="2"/>
      <c r="H2463" s="1"/>
      <c r="I2463" s="1"/>
      <c r="J2463" s="1"/>
      <c r="K2463" s="1"/>
      <c r="L2463" s="1"/>
      <c r="M2463" s="1"/>
      <c r="N2463" s="1"/>
      <c r="O2463" s="1"/>
      <c r="P2463" s="1"/>
      <c r="Q2463" s="1"/>
      <c r="R2463" s="1"/>
      <c r="S2463" s="1"/>
      <c r="T2463" s="1"/>
      <c r="U2463" s="1"/>
      <c r="V2463" s="1"/>
      <c r="W2463" s="1"/>
      <c r="X2463" s="1"/>
      <c r="Y2463" s="1"/>
      <c r="Z2463" s="1"/>
      <c r="AA2463" s="1"/>
      <c r="AB2463" s="1"/>
      <c r="AC2463" s="1"/>
      <c r="AD2463" s="1"/>
      <c r="AE2463" s="1"/>
      <c r="AF2463" s="1"/>
    </row>
    <row r="2464" spans="7:32" x14ac:dyDescent="0.2">
      <c r="G2464" s="2"/>
      <c r="H2464" s="1"/>
      <c r="I2464" s="1"/>
      <c r="J2464" s="1"/>
      <c r="K2464" s="1"/>
      <c r="L2464" s="1"/>
      <c r="M2464" s="1"/>
      <c r="N2464" s="1"/>
      <c r="O2464" s="1"/>
      <c r="P2464" s="1"/>
      <c r="Q2464" s="1"/>
      <c r="R2464" s="1"/>
      <c r="S2464" s="1"/>
      <c r="T2464" s="1"/>
      <c r="U2464" s="1"/>
      <c r="V2464" s="1"/>
      <c r="W2464" s="1"/>
      <c r="X2464" s="1"/>
      <c r="Y2464" s="1"/>
      <c r="Z2464" s="1"/>
      <c r="AA2464" s="1"/>
      <c r="AB2464" s="1"/>
      <c r="AC2464" s="1"/>
      <c r="AD2464" s="1"/>
      <c r="AE2464" s="1"/>
      <c r="AF2464" s="1"/>
    </row>
    <row r="2465" spans="7:32" x14ac:dyDescent="0.2">
      <c r="G2465" s="2"/>
      <c r="H2465" s="1"/>
      <c r="I2465" s="1"/>
      <c r="J2465" s="1"/>
      <c r="K2465" s="1"/>
      <c r="L2465" s="1"/>
      <c r="M2465" s="1"/>
      <c r="N2465" s="1"/>
      <c r="O2465" s="1"/>
      <c r="P2465" s="1"/>
      <c r="Q2465" s="1"/>
      <c r="R2465" s="1"/>
      <c r="S2465" s="1"/>
      <c r="T2465" s="1"/>
      <c r="U2465" s="1"/>
      <c r="V2465" s="1"/>
      <c r="W2465" s="1"/>
      <c r="X2465" s="1"/>
      <c r="Y2465" s="1"/>
      <c r="Z2465" s="1"/>
      <c r="AA2465" s="1"/>
      <c r="AB2465" s="1"/>
      <c r="AC2465" s="1"/>
      <c r="AD2465" s="1"/>
      <c r="AE2465" s="1"/>
      <c r="AF2465" s="1"/>
    </row>
    <row r="2466" spans="7:32" x14ac:dyDescent="0.2">
      <c r="G2466" s="2"/>
      <c r="H2466" s="1"/>
      <c r="I2466" s="1"/>
      <c r="J2466" s="1"/>
      <c r="K2466" s="1"/>
      <c r="L2466" s="1"/>
      <c r="M2466" s="1"/>
      <c r="N2466" s="1"/>
      <c r="O2466" s="1"/>
      <c r="P2466" s="1"/>
      <c r="Q2466" s="1"/>
      <c r="R2466" s="1"/>
      <c r="S2466" s="1"/>
      <c r="T2466" s="1"/>
      <c r="U2466" s="1"/>
      <c r="V2466" s="1"/>
      <c r="W2466" s="1"/>
      <c r="X2466" s="1"/>
      <c r="Y2466" s="1"/>
      <c r="Z2466" s="1"/>
      <c r="AA2466" s="1"/>
      <c r="AB2466" s="1"/>
      <c r="AC2466" s="1"/>
      <c r="AD2466" s="1"/>
      <c r="AE2466" s="1"/>
      <c r="AF2466" s="1"/>
    </row>
    <row r="2467" spans="7:32" x14ac:dyDescent="0.2">
      <c r="G2467" s="2"/>
      <c r="H2467" s="1"/>
      <c r="I2467" s="1"/>
      <c r="J2467" s="1"/>
      <c r="K2467" s="1"/>
      <c r="L2467" s="1"/>
      <c r="M2467" s="1"/>
      <c r="N2467" s="1"/>
      <c r="O2467" s="1"/>
      <c r="P2467" s="1"/>
      <c r="Q2467" s="1"/>
      <c r="R2467" s="1"/>
      <c r="S2467" s="1"/>
      <c r="T2467" s="1"/>
      <c r="U2467" s="1"/>
      <c r="V2467" s="1"/>
      <c r="W2467" s="1"/>
      <c r="X2467" s="1"/>
      <c r="Y2467" s="1"/>
      <c r="Z2467" s="1"/>
      <c r="AA2467" s="1"/>
      <c r="AB2467" s="1"/>
      <c r="AC2467" s="1"/>
      <c r="AD2467" s="1"/>
      <c r="AE2467" s="1"/>
      <c r="AF2467" s="1"/>
    </row>
    <row r="2468" spans="7:32" x14ac:dyDescent="0.2">
      <c r="G2468" s="2"/>
      <c r="H2468" s="1"/>
      <c r="I2468" s="1"/>
      <c r="J2468" s="1"/>
      <c r="K2468" s="1"/>
      <c r="L2468" s="1"/>
      <c r="M2468" s="1"/>
      <c r="N2468" s="1"/>
      <c r="O2468" s="1"/>
      <c r="P2468" s="1"/>
      <c r="Q2468" s="1"/>
      <c r="R2468" s="1"/>
      <c r="S2468" s="1"/>
      <c r="T2468" s="1"/>
      <c r="U2468" s="1"/>
      <c r="V2468" s="1"/>
      <c r="W2468" s="1"/>
      <c r="X2468" s="1"/>
      <c r="Y2468" s="1"/>
      <c r="Z2468" s="1"/>
      <c r="AA2468" s="1"/>
      <c r="AB2468" s="1"/>
      <c r="AC2468" s="1"/>
      <c r="AD2468" s="1"/>
      <c r="AE2468" s="1"/>
      <c r="AF2468" s="1"/>
    </row>
    <row r="2469" spans="7:32" x14ac:dyDescent="0.2">
      <c r="G2469" s="2"/>
      <c r="H2469" s="1"/>
      <c r="I2469" s="1"/>
      <c r="J2469" s="1"/>
      <c r="K2469" s="1"/>
      <c r="L2469" s="1"/>
      <c r="M2469" s="1"/>
      <c r="N2469" s="1"/>
      <c r="O2469" s="1"/>
      <c r="P2469" s="1"/>
      <c r="Q2469" s="1"/>
      <c r="R2469" s="1"/>
      <c r="S2469" s="1"/>
      <c r="T2469" s="1"/>
      <c r="U2469" s="1"/>
      <c r="V2469" s="1"/>
      <c r="W2469" s="1"/>
      <c r="X2469" s="1"/>
      <c r="Y2469" s="1"/>
      <c r="Z2469" s="1"/>
      <c r="AA2469" s="1"/>
      <c r="AB2469" s="1"/>
      <c r="AC2469" s="1"/>
      <c r="AD2469" s="1"/>
      <c r="AE2469" s="1"/>
      <c r="AF2469" s="1"/>
    </row>
    <row r="2470" spans="7:32" x14ac:dyDescent="0.2">
      <c r="G2470" s="2"/>
      <c r="H2470" s="1"/>
      <c r="I2470" s="1"/>
      <c r="J2470" s="1"/>
      <c r="K2470" s="1"/>
      <c r="L2470" s="1"/>
      <c r="M2470" s="1"/>
      <c r="N2470" s="1"/>
      <c r="O2470" s="1"/>
      <c r="P2470" s="1"/>
      <c r="Q2470" s="1"/>
      <c r="R2470" s="1"/>
      <c r="S2470" s="1"/>
      <c r="T2470" s="1"/>
      <c r="U2470" s="1"/>
      <c r="V2470" s="1"/>
      <c r="W2470" s="1"/>
      <c r="X2470" s="1"/>
      <c r="Y2470" s="1"/>
      <c r="Z2470" s="1"/>
      <c r="AA2470" s="1"/>
      <c r="AB2470" s="1"/>
      <c r="AC2470" s="1"/>
      <c r="AD2470" s="1"/>
      <c r="AE2470" s="1"/>
      <c r="AF2470" s="1"/>
    </row>
    <row r="2471" spans="7:32" x14ac:dyDescent="0.2">
      <c r="G2471" s="2"/>
      <c r="H2471" s="1"/>
      <c r="I2471" s="1"/>
      <c r="J2471" s="1"/>
      <c r="K2471" s="1"/>
      <c r="L2471" s="1"/>
      <c r="M2471" s="1"/>
      <c r="N2471" s="1"/>
      <c r="O2471" s="1"/>
      <c r="P2471" s="1"/>
      <c r="Q2471" s="1"/>
      <c r="R2471" s="1"/>
      <c r="S2471" s="1"/>
      <c r="T2471" s="1"/>
      <c r="U2471" s="1"/>
      <c r="V2471" s="1"/>
      <c r="W2471" s="1"/>
      <c r="X2471" s="1"/>
      <c r="Y2471" s="1"/>
      <c r="Z2471" s="1"/>
      <c r="AA2471" s="1"/>
      <c r="AB2471" s="1"/>
      <c r="AC2471" s="1"/>
      <c r="AD2471" s="1"/>
      <c r="AE2471" s="1"/>
      <c r="AF2471" s="1"/>
    </row>
    <row r="2472" spans="7:32" x14ac:dyDescent="0.2">
      <c r="G2472" s="2"/>
      <c r="H2472" s="1"/>
      <c r="I2472" s="1"/>
      <c r="J2472" s="1"/>
      <c r="K2472" s="1"/>
      <c r="L2472" s="1"/>
      <c r="M2472" s="1"/>
      <c r="N2472" s="1"/>
      <c r="O2472" s="1"/>
      <c r="P2472" s="1"/>
      <c r="Q2472" s="1"/>
      <c r="R2472" s="1"/>
      <c r="S2472" s="1"/>
      <c r="T2472" s="1"/>
      <c r="U2472" s="1"/>
      <c r="V2472" s="1"/>
      <c r="W2472" s="1"/>
      <c r="X2472" s="1"/>
      <c r="Y2472" s="1"/>
      <c r="Z2472" s="1"/>
      <c r="AA2472" s="1"/>
      <c r="AB2472" s="1"/>
      <c r="AC2472" s="1"/>
      <c r="AD2472" s="1"/>
      <c r="AE2472" s="1"/>
      <c r="AF2472" s="1"/>
    </row>
    <row r="2473" spans="7:32" x14ac:dyDescent="0.2">
      <c r="G2473" s="2"/>
      <c r="H2473" s="1"/>
      <c r="I2473" s="1"/>
      <c r="J2473" s="1"/>
      <c r="K2473" s="1"/>
      <c r="L2473" s="1"/>
      <c r="M2473" s="1"/>
      <c r="N2473" s="1"/>
      <c r="O2473" s="1"/>
      <c r="P2473" s="1"/>
      <c r="Q2473" s="1"/>
      <c r="R2473" s="1"/>
      <c r="S2473" s="1"/>
      <c r="T2473" s="1"/>
      <c r="U2473" s="1"/>
      <c r="V2473" s="1"/>
      <c r="W2473" s="1"/>
      <c r="X2473" s="1"/>
      <c r="Y2473" s="1"/>
      <c r="Z2473" s="1"/>
      <c r="AA2473" s="1"/>
      <c r="AB2473" s="1"/>
      <c r="AC2473" s="1"/>
      <c r="AD2473" s="1"/>
      <c r="AE2473" s="1"/>
      <c r="AF2473" s="1"/>
    </row>
    <row r="2474" spans="7:32" x14ac:dyDescent="0.2">
      <c r="G2474" s="2"/>
      <c r="H2474" s="1"/>
      <c r="I2474" s="1"/>
      <c r="J2474" s="1"/>
      <c r="K2474" s="1"/>
      <c r="L2474" s="1"/>
      <c r="M2474" s="1"/>
      <c r="N2474" s="1"/>
      <c r="O2474" s="1"/>
      <c r="P2474" s="1"/>
      <c r="Q2474" s="1"/>
      <c r="R2474" s="1"/>
      <c r="S2474" s="1"/>
      <c r="T2474" s="1"/>
      <c r="U2474" s="1"/>
      <c r="V2474" s="1"/>
      <c r="W2474" s="1"/>
      <c r="X2474" s="1"/>
      <c r="Y2474" s="1"/>
      <c r="Z2474" s="1"/>
      <c r="AA2474" s="1"/>
      <c r="AB2474" s="1"/>
      <c r="AC2474" s="1"/>
      <c r="AD2474" s="1"/>
      <c r="AE2474" s="1"/>
      <c r="AF2474" s="1"/>
    </row>
    <row r="2475" spans="7:32" x14ac:dyDescent="0.2">
      <c r="G2475" s="2"/>
      <c r="H2475" s="1"/>
      <c r="I2475" s="1"/>
      <c r="J2475" s="1"/>
      <c r="K2475" s="1"/>
      <c r="L2475" s="1"/>
      <c r="M2475" s="1"/>
      <c r="N2475" s="1"/>
      <c r="O2475" s="1"/>
      <c r="P2475" s="1"/>
      <c r="Q2475" s="1"/>
      <c r="R2475" s="1"/>
      <c r="S2475" s="1"/>
      <c r="T2475" s="1"/>
      <c r="U2475" s="1"/>
      <c r="V2475" s="1"/>
      <c r="W2475" s="1"/>
      <c r="X2475" s="1"/>
      <c r="Y2475" s="1"/>
      <c r="Z2475" s="1"/>
      <c r="AA2475" s="1"/>
      <c r="AB2475" s="1"/>
      <c r="AC2475" s="1"/>
      <c r="AD2475" s="1"/>
      <c r="AE2475" s="1"/>
      <c r="AF2475" s="1"/>
    </row>
    <row r="2476" spans="7:32" x14ac:dyDescent="0.2">
      <c r="G2476" s="2"/>
      <c r="H2476" s="1"/>
      <c r="I2476" s="1"/>
      <c r="J2476" s="1"/>
      <c r="K2476" s="1"/>
      <c r="L2476" s="1"/>
      <c r="M2476" s="1"/>
      <c r="N2476" s="1"/>
      <c r="O2476" s="1"/>
      <c r="P2476" s="1"/>
      <c r="Q2476" s="1"/>
      <c r="R2476" s="1"/>
      <c r="S2476" s="1"/>
      <c r="T2476" s="1"/>
      <c r="U2476" s="1"/>
      <c r="V2476" s="1"/>
      <c r="W2476" s="1"/>
      <c r="X2476" s="1"/>
      <c r="Y2476" s="1"/>
      <c r="Z2476" s="1"/>
      <c r="AA2476" s="1"/>
      <c r="AB2476" s="1"/>
      <c r="AC2476" s="1"/>
      <c r="AD2476" s="1"/>
      <c r="AE2476" s="1"/>
      <c r="AF2476" s="1"/>
    </row>
    <row r="2477" spans="7:32" x14ac:dyDescent="0.2">
      <c r="G2477" s="2"/>
      <c r="H2477" s="1"/>
      <c r="I2477" s="1"/>
      <c r="J2477" s="1"/>
      <c r="K2477" s="1"/>
      <c r="L2477" s="1"/>
      <c r="M2477" s="1"/>
      <c r="N2477" s="1"/>
      <c r="O2477" s="1"/>
      <c r="P2477" s="1"/>
      <c r="Q2477" s="1"/>
      <c r="R2477" s="1"/>
      <c r="S2477" s="1"/>
      <c r="T2477" s="1"/>
      <c r="U2477" s="1"/>
      <c r="V2477" s="1"/>
      <c r="W2477" s="1"/>
      <c r="X2477" s="1"/>
      <c r="Y2477" s="1"/>
      <c r="Z2477" s="1"/>
      <c r="AA2477" s="1"/>
      <c r="AB2477" s="1"/>
      <c r="AC2477" s="1"/>
      <c r="AD2477" s="1"/>
      <c r="AE2477" s="1"/>
      <c r="AF2477" s="1"/>
    </row>
    <row r="2478" spans="7:32" x14ac:dyDescent="0.2">
      <c r="G2478" s="2"/>
      <c r="H2478" s="1"/>
      <c r="I2478" s="1"/>
      <c r="J2478" s="1"/>
      <c r="K2478" s="1"/>
      <c r="L2478" s="1"/>
      <c r="M2478" s="1"/>
      <c r="N2478" s="1"/>
      <c r="O2478" s="1"/>
      <c r="P2478" s="1"/>
      <c r="Q2478" s="1"/>
      <c r="R2478" s="1"/>
      <c r="S2478" s="1"/>
      <c r="T2478" s="1"/>
      <c r="U2478" s="1"/>
      <c r="V2478" s="1"/>
      <c r="W2478" s="1"/>
      <c r="X2478" s="1"/>
      <c r="Y2478" s="1"/>
      <c r="Z2478" s="1"/>
      <c r="AA2478" s="1"/>
      <c r="AB2478" s="1"/>
      <c r="AC2478" s="1"/>
      <c r="AD2478" s="1"/>
      <c r="AE2478" s="1"/>
      <c r="AF2478" s="1"/>
    </row>
    <row r="2479" spans="7:32" x14ac:dyDescent="0.2">
      <c r="G2479" s="2"/>
      <c r="H2479" s="1"/>
      <c r="I2479" s="1"/>
      <c r="J2479" s="1"/>
      <c r="K2479" s="1"/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  <c r="X2479" s="1"/>
      <c r="Y2479" s="1"/>
      <c r="Z2479" s="1"/>
      <c r="AA2479" s="1"/>
      <c r="AB2479" s="1"/>
      <c r="AC2479" s="1"/>
      <c r="AD2479" s="1"/>
      <c r="AE2479" s="1"/>
      <c r="AF2479" s="1"/>
    </row>
    <row r="2480" spans="7:32" x14ac:dyDescent="0.2">
      <c r="G2480" s="2"/>
      <c r="H2480" s="1"/>
      <c r="I2480" s="1"/>
      <c r="J2480" s="1"/>
      <c r="K2480" s="1"/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/>
      <c r="W2480" s="1"/>
      <c r="X2480" s="1"/>
      <c r="Y2480" s="1"/>
      <c r="Z2480" s="1"/>
      <c r="AA2480" s="1"/>
      <c r="AB2480" s="1"/>
      <c r="AC2480" s="1"/>
      <c r="AD2480" s="1"/>
      <c r="AE2480" s="1"/>
      <c r="AF2480" s="1"/>
    </row>
    <row r="2481" spans="7:32" x14ac:dyDescent="0.2">
      <c r="G2481" s="2"/>
      <c r="H2481" s="1"/>
      <c r="I2481" s="1"/>
      <c r="J2481" s="1"/>
      <c r="K2481" s="1"/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/>
      <c r="W2481" s="1"/>
      <c r="X2481" s="1"/>
      <c r="Y2481" s="1"/>
      <c r="Z2481" s="1"/>
      <c r="AA2481" s="1"/>
      <c r="AB2481" s="1"/>
      <c r="AC2481" s="1"/>
      <c r="AD2481" s="1"/>
      <c r="AE2481" s="1"/>
      <c r="AF2481" s="1"/>
    </row>
    <row r="2482" spans="7:32" x14ac:dyDescent="0.2">
      <c r="G2482" s="2"/>
      <c r="H2482" s="1"/>
      <c r="I2482" s="1"/>
      <c r="J2482" s="1"/>
      <c r="K2482" s="1"/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/>
      <c r="W2482" s="1"/>
      <c r="X2482" s="1"/>
      <c r="Y2482" s="1"/>
      <c r="Z2482" s="1"/>
      <c r="AA2482" s="1"/>
      <c r="AB2482" s="1"/>
      <c r="AC2482" s="1"/>
      <c r="AD2482" s="1"/>
      <c r="AE2482" s="1"/>
      <c r="AF2482" s="1"/>
    </row>
    <row r="2483" spans="7:32" x14ac:dyDescent="0.2">
      <c r="G2483" s="2"/>
      <c r="H2483" s="1"/>
      <c r="I2483" s="1"/>
      <c r="J2483" s="1"/>
      <c r="K2483" s="1"/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/>
      <c r="X2483" s="1"/>
      <c r="Y2483" s="1"/>
      <c r="Z2483" s="1"/>
      <c r="AA2483" s="1"/>
      <c r="AB2483" s="1"/>
      <c r="AC2483" s="1"/>
      <c r="AD2483" s="1"/>
      <c r="AE2483" s="1"/>
      <c r="AF2483" s="1"/>
    </row>
    <row r="2484" spans="7:32" x14ac:dyDescent="0.2">
      <c r="G2484" s="2"/>
      <c r="H2484" s="1"/>
      <c r="I2484" s="1"/>
      <c r="J2484" s="1"/>
      <c r="K2484" s="1"/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/>
      <c r="X2484" s="1"/>
      <c r="Y2484" s="1"/>
      <c r="Z2484" s="1"/>
      <c r="AA2484" s="1"/>
      <c r="AB2484" s="1"/>
      <c r="AC2484" s="1"/>
      <c r="AD2484" s="1"/>
      <c r="AE2484" s="1"/>
      <c r="AF2484" s="1"/>
    </row>
    <row r="2485" spans="7:32" x14ac:dyDescent="0.2">
      <c r="G2485" s="2"/>
      <c r="H2485" s="1"/>
      <c r="I2485" s="1"/>
      <c r="J2485" s="1"/>
      <c r="K2485" s="1"/>
      <c r="L2485" s="1"/>
      <c r="M2485" s="1"/>
      <c r="N2485" s="1"/>
      <c r="O2485" s="1"/>
      <c r="P2485" s="1"/>
      <c r="Q2485" s="1"/>
      <c r="R2485" s="1"/>
      <c r="S2485" s="1"/>
      <c r="T2485" s="1"/>
      <c r="U2485" s="1"/>
      <c r="V2485" s="1"/>
      <c r="W2485" s="1"/>
      <c r="X2485" s="1"/>
      <c r="Y2485" s="1"/>
      <c r="Z2485" s="1"/>
      <c r="AA2485" s="1"/>
      <c r="AB2485" s="1"/>
      <c r="AC2485" s="1"/>
      <c r="AD2485" s="1"/>
      <c r="AE2485" s="1"/>
      <c r="AF2485" s="1"/>
    </row>
    <row r="2486" spans="7:32" x14ac:dyDescent="0.2">
      <c r="G2486" s="2"/>
      <c r="H2486" s="1"/>
      <c r="I2486" s="1"/>
      <c r="J2486" s="1"/>
      <c r="K2486" s="1"/>
      <c r="L2486" s="1"/>
      <c r="M2486" s="1"/>
      <c r="N2486" s="1"/>
      <c r="O2486" s="1"/>
      <c r="P2486" s="1"/>
      <c r="Q2486" s="1"/>
      <c r="R2486" s="1"/>
      <c r="S2486" s="1"/>
      <c r="T2486" s="1"/>
      <c r="U2486" s="1"/>
      <c r="V2486" s="1"/>
      <c r="W2486" s="1"/>
      <c r="X2486" s="1"/>
      <c r="Y2486" s="1"/>
      <c r="Z2486" s="1"/>
      <c r="AA2486" s="1"/>
      <c r="AB2486" s="1"/>
      <c r="AC2486" s="1"/>
      <c r="AD2486" s="1"/>
      <c r="AE2486" s="1"/>
      <c r="AF2486" s="1"/>
    </row>
    <row r="2487" spans="7:32" x14ac:dyDescent="0.2">
      <c r="G2487" s="2"/>
      <c r="H2487" s="1"/>
      <c r="I2487" s="1"/>
      <c r="J2487" s="1"/>
      <c r="K2487" s="1"/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  <c r="X2487" s="1"/>
      <c r="Y2487" s="1"/>
      <c r="Z2487" s="1"/>
      <c r="AA2487" s="1"/>
      <c r="AB2487" s="1"/>
      <c r="AC2487" s="1"/>
      <c r="AD2487" s="1"/>
      <c r="AE2487" s="1"/>
      <c r="AF2487" s="1"/>
    </row>
    <row r="2488" spans="7:32" x14ac:dyDescent="0.2">
      <c r="G2488" s="2"/>
      <c r="H2488" s="1"/>
      <c r="I2488" s="1"/>
      <c r="J2488" s="1"/>
      <c r="K2488" s="1"/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  <c r="X2488" s="1"/>
      <c r="Y2488" s="1"/>
      <c r="Z2488" s="1"/>
      <c r="AA2488" s="1"/>
      <c r="AB2488" s="1"/>
      <c r="AC2488" s="1"/>
      <c r="AD2488" s="1"/>
      <c r="AE2488" s="1"/>
      <c r="AF2488" s="1"/>
    </row>
    <row r="2489" spans="7:32" x14ac:dyDescent="0.2">
      <c r="G2489" s="2"/>
      <c r="H2489" s="1"/>
      <c r="I2489" s="1"/>
      <c r="J2489" s="1"/>
      <c r="K2489" s="1"/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  <c r="X2489" s="1"/>
      <c r="Y2489" s="1"/>
      <c r="Z2489" s="1"/>
      <c r="AA2489" s="1"/>
      <c r="AB2489" s="1"/>
      <c r="AC2489" s="1"/>
      <c r="AD2489" s="1"/>
      <c r="AE2489" s="1"/>
      <c r="AF2489" s="1"/>
    </row>
    <row r="2490" spans="7:32" x14ac:dyDescent="0.2">
      <c r="G2490" s="2"/>
      <c r="H2490" s="1"/>
      <c r="I2490" s="1"/>
      <c r="J2490" s="1"/>
      <c r="K2490" s="1"/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  <c r="X2490" s="1"/>
      <c r="Y2490" s="1"/>
      <c r="Z2490" s="1"/>
      <c r="AA2490" s="1"/>
      <c r="AB2490" s="1"/>
      <c r="AC2490" s="1"/>
      <c r="AD2490" s="1"/>
      <c r="AE2490" s="1"/>
      <c r="AF2490" s="1"/>
    </row>
    <row r="2491" spans="7:32" x14ac:dyDescent="0.2">
      <c r="G2491" s="2"/>
      <c r="H2491" s="1"/>
      <c r="I2491" s="1"/>
      <c r="J2491" s="1"/>
      <c r="K2491" s="1"/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  <c r="X2491" s="1"/>
      <c r="Y2491" s="1"/>
      <c r="Z2491" s="1"/>
      <c r="AA2491" s="1"/>
      <c r="AB2491" s="1"/>
      <c r="AC2491" s="1"/>
      <c r="AD2491" s="1"/>
      <c r="AE2491" s="1"/>
      <c r="AF2491" s="1"/>
    </row>
    <row r="2492" spans="7:32" x14ac:dyDescent="0.2">
      <c r="G2492" s="2"/>
      <c r="H2492" s="1"/>
      <c r="I2492" s="1"/>
      <c r="J2492" s="1"/>
      <c r="K2492" s="1"/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  <c r="X2492" s="1"/>
      <c r="Y2492" s="1"/>
      <c r="Z2492" s="1"/>
      <c r="AA2492" s="1"/>
      <c r="AB2492" s="1"/>
      <c r="AC2492" s="1"/>
      <c r="AD2492" s="1"/>
      <c r="AE2492" s="1"/>
      <c r="AF2492" s="1"/>
    </row>
    <row r="2493" spans="7:32" x14ac:dyDescent="0.2">
      <c r="G2493" s="2"/>
      <c r="H2493" s="1"/>
      <c r="I2493" s="1"/>
      <c r="J2493" s="1"/>
      <c r="K2493" s="1"/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  <c r="X2493" s="1"/>
      <c r="Y2493" s="1"/>
      <c r="Z2493" s="1"/>
      <c r="AA2493" s="1"/>
      <c r="AB2493" s="1"/>
      <c r="AC2493" s="1"/>
      <c r="AD2493" s="1"/>
      <c r="AE2493" s="1"/>
      <c r="AF2493" s="1"/>
    </row>
    <row r="2494" spans="7:32" x14ac:dyDescent="0.2">
      <c r="G2494" s="2"/>
      <c r="H2494" s="1"/>
      <c r="I2494" s="1"/>
      <c r="J2494" s="1"/>
      <c r="K2494" s="1"/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  <c r="X2494" s="1"/>
      <c r="Y2494" s="1"/>
      <c r="Z2494" s="1"/>
      <c r="AA2494" s="1"/>
      <c r="AB2494" s="1"/>
      <c r="AC2494" s="1"/>
      <c r="AD2494" s="1"/>
      <c r="AE2494" s="1"/>
      <c r="AF2494" s="1"/>
    </row>
    <row r="2495" spans="7:32" x14ac:dyDescent="0.2">
      <c r="G2495" s="2"/>
      <c r="H2495" s="1"/>
      <c r="I2495" s="1"/>
      <c r="J2495" s="1"/>
      <c r="K2495" s="1"/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/>
      <c r="W2495" s="1"/>
      <c r="X2495" s="1"/>
      <c r="Y2495" s="1"/>
      <c r="Z2495" s="1"/>
      <c r="AA2495" s="1"/>
      <c r="AB2495" s="1"/>
      <c r="AC2495" s="1"/>
      <c r="AD2495" s="1"/>
      <c r="AE2495" s="1"/>
      <c r="AF2495" s="1"/>
    </row>
    <row r="2496" spans="7:32" x14ac:dyDescent="0.2">
      <c r="G2496" s="2"/>
      <c r="H2496" s="1"/>
      <c r="I2496" s="1"/>
      <c r="J2496" s="1"/>
      <c r="K2496" s="1"/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  <c r="X2496" s="1"/>
      <c r="Y2496" s="1"/>
      <c r="Z2496" s="1"/>
      <c r="AA2496" s="1"/>
      <c r="AB2496" s="1"/>
      <c r="AC2496" s="1"/>
      <c r="AD2496" s="1"/>
      <c r="AE2496" s="1"/>
      <c r="AF2496" s="1"/>
    </row>
    <row r="2497" spans="7:32" x14ac:dyDescent="0.2">
      <c r="G2497" s="2"/>
      <c r="H2497" s="1"/>
      <c r="I2497" s="1"/>
      <c r="J2497" s="1"/>
      <c r="K2497" s="1"/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  <c r="X2497" s="1"/>
      <c r="Y2497" s="1"/>
      <c r="Z2497" s="1"/>
      <c r="AA2497" s="1"/>
      <c r="AB2497" s="1"/>
      <c r="AC2497" s="1"/>
      <c r="AD2497" s="1"/>
      <c r="AE2497" s="1"/>
      <c r="AF2497" s="1"/>
    </row>
    <row r="2498" spans="7:32" x14ac:dyDescent="0.2">
      <c r="G2498" s="2"/>
      <c r="H2498" s="1"/>
      <c r="I2498" s="1"/>
      <c r="J2498" s="1"/>
      <c r="K2498" s="1"/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  <c r="X2498" s="1"/>
      <c r="Y2498" s="1"/>
      <c r="Z2498" s="1"/>
      <c r="AA2498" s="1"/>
      <c r="AB2498" s="1"/>
      <c r="AC2498" s="1"/>
      <c r="AD2498" s="1"/>
      <c r="AE2498" s="1"/>
      <c r="AF2498" s="1"/>
    </row>
    <row r="2499" spans="7:32" x14ac:dyDescent="0.2">
      <c r="G2499" s="2"/>
      <c r="H2499" s="1"/>
      <c r="I2499" s="1"/>
      <c r="J2499" s="1"/>
      <c r="K2499" s="1"/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  <c r="X2499" s="1"/>
      <c r="Y2499" s="1"/>
      <c r="Z2499" s="1"/>
      <c r="AA2499" s="1"/>
      <c r="AB2499" s="1"/>
      <c r="AC2499" s="1"/>
      <c r="AD2499" s="1"/>
      <c r="AE2499" s="1"/>
      <c r="AF2499" s="1"/>
    </row>
    <row r="2500" spans="7:32" x14ac:dyDescent="0.2">
      <c r="G2500" s="2"/>
      <c r="H2500" s="1"/>
      <c r="I2500" s="1"/>
      <c r="J2500" s="1"/>
      <c r="K2500" s="1"/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/>
      <c r="W2500" s="1"/>
      <c r="X2500" s="1"/>
      <c r="Y2500" s="1"/>
      <c r="Z2500" s="1"/>
      <c r="AA2500" s="1"/>
      <c r="AB2500" s="1"/>
      <c r="AC2500" s="1"/>
      <c r="AD2500" s="1"/>
      <c r="AE2500" s="1"/>
      <c r="AF2500" s="1"/>
    </row>
    <row r="2501" spans="7:32" x14ac:dyDescent="0.2">
      <c r="G2501" s="2"/>
      <c r="H2501" s="1"/>
      <c r="I2501" s="1"/>
      <c r="J2501" s="1"/>
      <c r="K2501" s="1"/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/>
      <c r="W2501" s="1"/>
      <c r="X2501" s="1"/>
      <c r="Y2501" s="1"/>
      <c r="Z2501" s="1"/>
      <c r="AA2501" s="1"/>
      <c r="AB2501" s="1"/>
      <c r="AC2501" s="1"/>
      <c r="AD2501" s="1"/>
      <c r="AE2501" s="1"/>
      <c r="AF2501" s="1"/>
    </row>
    <row r="2502" spans="7:32" x14ac:dyDescent="0.2">
      <c r="G2502" s="2"/>
      <c r="H2502" s="1"/>
      <c r="I2502" s="1"/>
      <c r="J2502" s="1"/>
      <c r="K2502" s="1"/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/>
      <c r="W2502" s="1"/>
      <c r="X2502" s="1"/>
      <c r="Y2502" s="1"/>
      <c r="Z2502" s="1"/>
      <c r="AA2502" s="1"/>
      <c r="AB2502" s="1"/>
      <c r="AC2502" s="1"/>
      <c r="AD2502" s="1"/>
      <c r="AE2502" s="1"/>
      <c r="AF2502" s="1"/>
    </row>
    <row r="2503" spans="7:32" x14ac:dyDescent="0.2">
      <c r="G2503" s="2"/>
      <c r="H2503" s="1"/>
      <c r="I2503" s="1"/>
      <c r="J2503" s="1"/>
      <c r="K2503" s="1"/>
      <c r="L2503" s="1"/>
      <c r="M2503" s="1"/>
      <c r="N2503" s="1"/>
      <c r="O2503" s="1"/>
      <c r="P2503" s="1"/>
      <c r="Q2503" s="1"/>
      <c r="R2503" s="1"/>
      <c r="S2503" s="1"/>
      <c r="T2503" s="1"/>
      <c r="U2503" s="1"/>
      <c r="V2503" s="1"/>
      <c r="W2503" s="1"/>
      <c r="X2503" s="1"/>
      <c r="Y2503" s="1"/>
      <c r="Z2503" s="1"/>
      <c r="AA2503" s="1"/>
      <c r="AB2503" s="1"/>
      <c r="AC2503" s="1"/>
      <c r="AD2503" s="1"/>
      <c r="AE2503" s="1"/>
      <c r="AF2503" s="1"/>
    </row>
    <row r="2504" spans="7:32" x14ac:dyDescent="0.2">
      <c r="G2504" s="2"/>
      <c r="H2504" s="1"/>
      <c r="I2504" s="1"/>
      <c r="J2504" s="1"/>
      <c r="K2504" s="1"/>
      <c r="L2504" s="1"/>
      <c r="M2504" s="1"/>
      <c r="N2504" s="1"/>
      <c r="O2504" s="1"/>
      <c r="P2504" s="1"/>
      <c r="Q2504" s="1"/>
      <c r="R2504" s="1"/>
      <c r="S2504" s="1"/>
      <c r="T2504" s="1"/>
      <c r="U2504" s="1"/>
      <c r="V2504" s="1"/>
      <c r="W2504" s="1"/>
      <c r="X2504" s="1"/>
      <c r="Y2504" s="1"/>
      <c r="Z2504" s="1"/>
      <c r="AA2504" s="1"/>
      <c r="AB2504" s="1"/>
      <c r="AC2504" s="1"/>
      <c r="AD2504" s="1"/>
      <c r="AE2504" s="1"/>
      <c r="AF2504" s="1"/>
    </row>
    <row r="2505" spans="7:32" x14ac:dyDescent="0.2">
      <c r="G2505" s="2"/>
      <c r="H2505" s="1"/>
      <c r="I2505" s="1"/>
      <c r="J2505" s="1"/>
      <c r="K2505" s="1"/>
      <c r="L2505" s="1"/>
      <c r="M2505" s="1"/>
      <c r="N2505" s="1"/>
      <c r="O2505" s="1"/>
      <c r="P2505" s="1"/>
      <c r="Q2505" s="1"/>
      <c r="R2505" s="1"/>
      <c r="S2505" s="1"/>
      <c r="T2505" s="1"/>
      <c r="U2505" s="1"/>
      <c r="V2505" s="1"/>
      <c r="W2505" s="1"/>
      <c r="X2505" s="1"/>
      <c r="Y2505" s="1"/>
      <c r="Z2505" s="1"/>
      <c r="AA2505" s="1"/>
      <c r="AB2505" s="1"/>
      <c r="AC2505" s="1"/>
      <c r="AD2505" s="1"/>
      <c r="AE2505" s="1"/>
      <c r="AF2505" s="1"/>
    </row>
    <row r="2506" spans="7:32" x14ac:dyDescent="0.2">
      <c r="G2506" s="2"/>
      <c r="H2506" s="1"/>
      <c r="I2506" s="1"/>
      <c r="J2506" s="1"/>
      <c r="K2506" s="1"/>
      <c r="L2506" s="1"/>
      <c r="M2506" s="1"/>
      <c r="N2506" s="1"/>
      <c r="O2506" s="1"/>
      <c r="P2506" s="1"/>
      <c r="Q2506" s="1"/>
      <c r="R2506" s="1"/>
      <c r="S2506" s="1"/>
      <c r="T2506" s="1"/>
      <c r="U2506" s="1"/>
      <c r="V2506" s="1"/>
      <c r="W2506" s="1"/>
      <c r="X2506" s="1"/>
      <c r="Y2506" s="1"/>
      <c r="Z2506" s="1"/>
      <c r="AA2506" s="1"/>
      <c r="AB2506" s="1"/>
      <c r="AC2506" s="1"/>
      <c r="AD2506" s="1"/>
      <c r="AE2506" s="1"/>
      <c r="AF2506" s="1"/>
    </row>
    <row r="2507" spans="7:32" x14ac:dyDescent="0.2">
      <c r="G2507" s="2"/>
      <c r="H2507" s="1"/>
      <c r="I2507" s="1"/>
      <c r="J2507" s="1"/>
      <c r="K2507" s="1"/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  <c r="X2507" s="1"/>
      <c r="Y2507" s="1"/>
      <c r="Z2507" s="1"/>
      <c r="AA2507" s="1"/>
      <c r="AB2507" s="1"/>
      <c r="AC2507" s="1"/>
      <c r="AD2507" s="1"/>
      <c r="AE2507" s="1"/>
      <c r="AF2507" s="1"/>
    </row>
    <row r="2508" spans="7:32" x14ac:dyDescent="0.2">
      <c r="G2508" s="2"/>
      <c r="H2508" s="1"/>
      <c r="I2508" s="1"/>
      <c r="J2508" s="1"/>
      <c r="K2508" s="1"/>
      <c r="L2508" s="1"/>
      <c r="M2508" s="1"/>
      <c r="N2508" s="1"/>
      <c r="O2508" s="1"/>
      <c r="P2508" s="1"/>
      <c r="Q2508" s="1"/>
      <c r="R2508" s="1"/>
      <c r="S2508" s="1"/>
      <c r="T2508" s="1"/>
      <c r="U2508" s="1"/>
      <c r="V2508" s="1"/>
      <c r="W2508" s="1"/>
      <c r="X2508" s="1"/>
      <c r="Y2508" s="1"/>
      <c r="Z2508" s="1"/>
      <c r="AA2508" s="1"/>
      <c r="AB2508" s="1"/>
      <c r="AC2508" s="1"/>
      <c r="AD2508" s="1"/>
      <c r="AE2508" s="1"/>
      <c r="AF2508" s="1"/>
    </row>
    <row r="2509" spans="7:32" x14ac:dyDescent="0.2">
      <c r="G2509" s="2"/>
      <c r="H2509" s="1"/>
      <c r="I2509" s="1"/>
      <c r="J2509" s="1"/>
      <c r="K2509" s="1"/>
      <c r="L2509" s="1"/>
      <c r="M2509" s="1"/>
      <c r="N2509" s="1"/>
      <c r="O2509" s="1"/>
      <c r="P2509" s="1"/>
      <c r="Q2509" s="1"/>
      <c r="R2509" s="1"/>
      <c r="S2509" s="1"/>
      <c r="T2509" s="1"/>
      <c r="U2509" s="1"/>
      <c r="V2509" s="1"/>
      <c r="W2509" s="1"/>
      <c r="X2509" s="1"/>
      <c r="Y2509" s="1"/>
      <c r="Z2509" s="1"/>
      <c r="AA2509" s="1"/>
      <c r="AB2509" s="1"/>
      <c r="AC2509" s="1"/>
      <c r="AD2509" s="1"/>
      <c r="AE2509" s="1"/>
      <c r="AF2509" s="1"/>
    </row>
    <row r="2510" spans="7:32" x14ac:dyDescent="0.2">
      <c r="G2510" s="2"/>
      <c r="H2510" s="1"/>
      <c r="I2510" s="1"/>
      <c r="J2510" s="1"/>
      <c r="K2510" s="1"/>
      <c r="L2510" s="1"/>
      <c r="M2510" s="1"/>
      <c r="N2510" s="1"/>
      <c r="O2510" s="1"/>
      <c r="P2510" s="1"/>
      <c r="Q2510" s="1"/>
      <c r="R2510" s="1"/>
      <c r="S2510" s="1"/>
      <c r="T2510" s="1"/>
      <c r="U2510" s="1"/>
      <c r="V2510" s="1"/>
      <c r="W2510" s="1"/>
      <c r="X2510" s="1"/>
      <c r="Y2510" s="1"/>
      <c r="Z2510" s="1"/>
      <c r="AA2510" s="1"/>
      <c r="AB2510" s="1"/>
      <c r="AC2510" s="1"/>
      <c r="AD2510" s="1"/>
      <c r="AE2510" s="1"/>
      <c r="AF2510" s="1"/>
    </row>
    <row r="2511" spans="7:32" x14ac:dyDescent="0.2">
      <c r="G2511" s="2"/>
      <c r="H2511" s="1"/>
      <c r="I2511" s="1"/>
      <c r="J2511" s="1"/>
      <c r="K2511" s="1"/>
      <c r="L2511" s="1"/>
      <c r="M2511" s="1"/>
      <c r="N2511" s="1"/>
      <c r="O2511" s="1"/>
      <c r="P2511" s="1"/>
      <c r="Q2511" s="1"/>
      <c r="R2511" s="1"/>
      <c r="S2511" s="1"/>
      <c r="T2511" s="1"/>
      <c r="U2511" s="1"/>
      <c r="V2511" s="1"/>
      <c r="W2511" s="1"/>
      <c r="X2511" s="1"/>
      <c r="Y2511" s="1"/>
      <c r="Z2511" s="1"/>
      <c r="AA2511" s="1"/>
      <c r="AB2511" s="1"/>
      <c r="AC2511" s="1"/>
      <c r="AD2511" s="1"/>
      <c r="AE2511" s="1"/>
      <c r="AF2511" s="1"/>
    </row>
    <row r="2512" spans="7:32" x14ac:dyDescent="0.2">
      <c r="G2512" s="2"/>
      <c r="H2512" s="1"/>
      <c r="I2512" s="1"/>
      <c r="J2512" s="1"/>
      <c r="K2512" s="1"/>
      <c r="L2512" s="1"/>
      <c r="M2512" s="1"/>
      <c r="N2512" s="1"/>
      <c r="O2512" s="1"/>
      <c r="P2512" s="1"/>
      <c r="Q2512" s="1"/>
      <c r="R2512" s="1"/>
      <c r="S2512" s="1"/>
      <c r="T2512" s="1"/>
      <c r="U2512" s="1"/>
      <c r="V2512" s="1"/>
      <c r="W2512" s="1"/>
      <c r="X2512" s="1"/>
      <c r="Y2512" s="1"/>
      <c r="Z2512" s="1"/>
      <c r="AA2512" s="1"/>
      <c r="AB2512" s="1"/>
      <c r="AC2512" s="1"/>
      <c r="AD2512" s="1"/>
      <c r="AE2512" s="1"/>
      <c r="AF2512" s="1"/>
    </row>
    <row r="2513" spans="7:32" x14ac:dyDescent="0.2">
      <c r="G2513" s="2"/>
      <c r="H2513" s="1"/>
      <c r="I2513" s="1"/>
      <c r="J2513" s="1"/>
      <c r="K2513" s="1"/>
      <c r="L2513" s="1"/>
      <c r="M2513" s="1"/>
      <c r="N2513" s="1"/>
      <c r="O2513" s="1"/>
      <c r="P2513" s="1"/>
      <c r="Q2513" s="1"/>
      <c r="R2513" s="1"/>
      <c r="S2513" s="1"/>
      <c r="T2513" s="1"/>
      <c r="U2513" s="1"/>
      <c r="V2513" s="1"/>
      <c r="W2513" s="1"/>
      <c r="X2513" s="1"/>
      <c r="Y2513" s="1"/>
      <c r="Z2513" s="1"/>
      <c r="AA2513" s="1"/>
      <c r="AB2513" s="1"/>
      <c r="AC2513" s="1"/>
      <c r="AD2513" s="1"/>
      <c r="AE2513" s="1"/>
      <c r="AF2513" s="1"/>
    </row>
    <row r="2514" spans="7:32" x14ac:dyDescent="0.2">
      <c r="G2514" s="2"/>
      <c r="H2514" s="1"/>
      <c r="I2514" s="1"/>
      <c r="J2514" s="1"/>
      <c r="K2514" s="1"/>
      <c r="L2514" s="1"/>
      <c r="M2514" s="1"/>
      <c r="N2514" s="1"/>
      <c r="O2514" s="1"/>
      <c r="P2514" s="1"/>
      <c r="Q2514" s="1"/>
      <c r="R2514" s="1"/>
      <c r="S2514" s="1"/>
      <c r="T2514" s="1"/>
      <c r="U2514" s="1"/>
      <c r="V2514" s="1"/>
      <c r="W2514" s="1"/>
      <c r="X2514" s="1"/>
      <c r="Y2514" s="1"/>
      <c r="Z2514" s="1"/>
      <c r="AA2514" s="1"/>
      <c r="AB2514" s="1"/>
      <c r="AC2514" s="1"/>
      <c r="AD2514" s="1"/>
      <c r="AE2514" s="1"/>
      <c r="AF2514" s="1"/>
    </row>
    <row r="2515" spans="7:32" x14ac:dyDescent="0.2">
      <c r="G2515" s="2"/>
      <c r="H2515" s="1"/>
      <c r="I2515" s="1"/>
      <c r="J2515" s="1"/>
      <c r="K2515" s="1"/>
      <c r="L2515" s="1"/>
      <c r="M2515" s="1"/>
      <c r="N2515" s="1"/>
      <c r="O2515" s="1"/>
      <c r="P2515" s="1"/>
      <c r="Q2515" s="1"/>
      <c r="R2515" s="1"/>
      <c r="S2515" s="1"/>
      <c r="T2515" s="1"/>
      <c r="U2515" s="1"/>
      <c r="V2515" s="1"/>
      <c r="W2515" s="1"/>
      <c r="X2515" s="1"/>
      <c r="Y2515" s="1"/>
      <c r="Z2515" s="1"/>
      <c r="AA2515" s="1"/>
      <c r="AB2515" s="1"/>
      <c r="AC2515" s="1"/>
      <c r="AD2515" s="1"/>
      <c r="AE2515" s="1"/>
      <c r="AF2515" s="1"/>
    </row>
    <row r="2516" spans="7:32" x14ac:dyDescent="0.2">
      <c r="G2516" s="2"/>
      <c r="H2516" s="1"/>
      <c r="I2516" s="1"/>
      <c r="J2516" s="1"/>
      <c r="K2516" s="1"/>
      <c r="L2516" s="1"/>
      <c r="M2516" s="1"/>
      <c r="N2516" s="1"/>
      <c r="O2516" s="1"/>
      <c r="P2516" s="1"/>
      <c r="Q2516" s="1"/>
      <c r="R2516" s="1"/>
      <c r="S2516" s="1"/>
      <c r="T2516" s="1"/>
      <c r="U2516" s="1"/>
      <c r="V2516" s="1"/>
      <c r="W2516" s="1"/>
      <c r="X2516" s="1"/>
      <c r="Y2516" s="1"/>
      <c r="Z2516" s="1"/>
      <c r="AA2516" s="1"/>
      <c r="AB2516" s="1"/>
      <c r="AC2516" s="1"/>
      <c r="AD2516" s="1"/>
      <c r="AE2516" s="1"/>
      <c r="AF2516" s="1"/>
    </row>
    <row r="2517" spans="7:32" x14ac:dyDescent="0.2">
      <c r="G2517" s="2"/>
      <c r="H2517" s="1"/>
      <c r="I2517" s="1"/>
      <c r="J2517" s="1"/>
      <c r="K2517" s="1"/>
      <c r="L2517" s="1"/>
      <c r="M2517" s="1"/>
      <c r="N2517" s="1"/>
      <c r="O2517" s="1"/>
      <c r="P2517" s="1"/>
      <c r="Q2517" s="1"/>
      <c r="R2517" s="1"/>
      <c r="S2517" s="1"/>
      <c r="T2517" s="1"/>
      <c r="U2517" s="1"/>
      <c r="V2517" s="1"/>
      <c r="W2517" s="1"/>
      <c r="X2517" s="1"/>
      <c r="Y2517" s="1"/>
      <c r="Z2517" s="1"/>
      <c r="AA2517" s="1"/>
      <c r="AB2517" s="1"/>
      <c r="AC2517" s="1"/>
      <c r="AD2517" s="1"/>
      <c r="AE2517" s="1"/>
      <c r="AF2517" s="1"/>
    </row>
    <row r="2518" spans="7:32" x14ac:dyDescent="0.2">
      <c r="G2518" s="2"/>
      <c r="H2518" s="1"/>
      <c r="I2518" s="1"/>
      <c r="J2518" s="1"/>
      <c r="K2518" s="1"/>
      <c r="L2518" s="1"/>
      <c r="M2518" s="1"/>
      <c r="N2518" s="1"/>
      <c r="O2518" s="1"/>
      <c r="P2518" s="1"/>
      <c r="Q2518" s="1"/>
      <c r="R2518" s="1"/>
      <c r="S2518" s="1"/>
      <c r="T2518" s="1"/>
      <c r="U2518" s="1"/>
      <c r="V2518" s="1"/>
      <c r="W2518" s="1"/>
      <c r="X2518" s="1"/>
      <c r="Y2518" s="1"/>
      <c r="Z2518" s="1"/>
      <c r="AA2518" s="1"/>
      <c r="AB2518" s="1"/>
      <c r="AC2518" s="1"/>
      <c r="AD2518" s="1"/>
      <c r="AE2518" s="1"/>
      <c r="AF2518" s="1"/>
    </row>
    <row r="2519" spans="7:32" x14ac:dyDescent="0.2">
      <c r="G2519" s="2"/>
      <c r="H2519" s="1"/>
      <c r="I2519" s="1"/>
      <c r="J2519" s="1"/>
      <c r="K2519" s="1"/>
      <c r="L2519" s="1"/>
      <c r="M2519" s="1"/>
      <c r="N2519" s="1"/>
      <c r="O2519" s="1"/>
      <c r="P2519" s="1"/>
      <c r="Q2519" s="1"/>
      <c r="R2519" s="1"/>
      <c r="S2519" s="1"/>
      <c r="T2519" s="1"/>
      <c r="U2519" s="1"/>
      <c r="V2519" s="1"/>
      <c r="W2519" s="1"/>
      <c r="X2519" s="1"/>
      <c r="Y2519" s="1"/>
      <c r="Z2519" s="1"/>
      <c r="AA2519" s="1"/>
      <c r="AB2519" s="1"/>
      <c r="AC2519" s="1"/>
      <c r="AD2519" s="1"/>
      <c r="AE2519" s="1"/>
      <c r="AF2519" s="1"/>
    </row>
    <row r="2520" spans="7:32" x14ac:dyDescent="0.2">
      <c r="G2520" s="2"/>
      <c r="H2520" s="1"/>
      <c r="I2520" s="1"/>
      <c r="J2520" s="1"/>
      <c r="K2520" s="1"/>
      <c r="L2520" s="1"/>
      <c r="M2520" s="1"/>
      <c r="N2520" s="1"/>
      <c r="O2520" s="1"/>
      <c r="P2520" s="1"/>
      <c r="Q2520" s="1"/>
      <c r="R2520" s="1"/>
      <c r="S2520" s="1"/>
      <c r="T2520" s="1"/>
      <c r="U2520" s="1"/>
      <c r="V2520" s="1"/>
      <c r="W2520" s="1"/>
      <c r="X2520" s="1"/>
      <c r="Y2520" s="1"/>
      <c r="Z2520" s="1"/>
      <c r="AA2520" s="1"/>
      <c r="AB2520" s="1"/>
      <c r="AC2520" s="1"/>
      <c r="AD2520" s="1"/>
      <c r="AE2520" s="1"/>
      <c r="AF2520" s="1"/>
    </row>
    <row r="2521" spans="7:32" x14ac:dyDescent="0.2">
      <c r="G2521" s="2"/>
      <c r="H2521" s="1"/>
      <c r="I2521" s="1"/>
      <c r="J2521" s="1"/>
      <c r="K2521" s="1"/>
      <c r="L2521" s="1"/>
      <c r="M2521" s="1"/>
      <c r="N2521" s="1"/>
      <c r="O2521" s="1"/>
      <c r="P2521" s="1"/>
      <c r="Q2521" s="1"/>
      <c r="R2521" s="1"/>
      <c r="S2521" s="1"/>
      <c r="T2521" s="1"/>
      <c r="U2521" s="1"/>
      <c r="V2521" s="1"/>
      <c r="W2521" s="1"/>
      <c r="X2521" s="1"/>
      <c r="Y2521" s="1"/>
      <c r="Z2521" s="1"/>
      <c r="AA2521" s="1"/>
      <c r="AB2521" s="1"/>
      <c r="AC2521" s="1"/>
      <c r="AD2521" s="1"/>
      <c r="AE2521" s="1"/>
      <c r="AF2521" s="1"/>
    </row>
    <row r="2522" spans="7:32" x14ac:dyDescent="0.2">
      <c r="G2522" s="2"/>
      <c r="H2522" s="1"/>
      <c r="I2522" s="1"/>
      <c r="J2522" s="1"/>
      <c r="K2522" s="1"/>
      <c r="L2522" s="1"/>
      <c r="M2522" s="1"/>
      <c r="N2522" s="1"/>
      <c r="O2522" s="1"/>
      <c r="P2522" s="1"/>
      <c r="Q2522" s="1"/>
      <c r="R2522" s="1"/>
      <c r="S2522" s="1"/>
      <c r="T2522" s="1"/>
      <c r="U2522" s="1"/>
      <c r="V2522" s="1"/>
      <c r="W2522" s="1"/>
      <c r="X2522" s="1"/>
      <c r="Y2522" s="1"/>
      <c r="Z2522" s="1"/>
      <c r="AA2522" s="1"/>
      <c r="AB2522" s="1"/>
      <c r="AC2522" s="1"/>
      <c r="AD2522" s="1"/>
      <c r="AE2522" s="1"/>
      <c r="AF2522" s="1"/>
    </row>
    <row r="2523" spans="7:32" x14ac:dyDescent="0.2">
      <c r="G2523" s="2"/>
      <c r="H2523" s="1"/>
      <c r="I2523" s="1"/>
      <c r="J2523" s="1"/>
      <c r="K2523" s="1"/>
      <c r="L2523" s="1"/>
      <c r="M2523" s="1"/>
      <c r="N2523" s="1"/>
      <c r="O2523" s="1"/>
      <c r="P2523" s="1"/>
      <c r="Q2523" s="1"/>
      <c r="R2523" s="1"/>
      <c r="S2523" s="1"/>
      <c r="T2523" s="1"/>
      <c r="U2523" s="1"/>
      <c r="V2523" s="1"/>
      <c r="W2523" s="1"/>
      <c r="X2523" s="1"/>
      <c r="Y2523" s="1"/>
      <c r="Z2523" s="1"/>
      <c r="AA2523" s="1"/>
      <c r="AB2523" s="1"/>
      <c r="AC2523" s="1"/>
      <c r="AD2523" s="1"/>
      <c r="AE2523" s="1"/>
      <c r="AF2523" s="1"/>
    </row>
    <row r="2524" spans="7:32" x14ac:dyDescent="0.2">
      <c r="G2524" s="2"/>
      <c r="H2524" s="1"/>
      <c r="I2524" s="1"/>
      <c r="J2524" s="1"/>
      <c r="K2524" s="1"/>
      <c r="L2524" s="1"/>
      <c r="M2524" s="1"/>
      <c r="N2524" s="1"/>
      <c r="O2524" s="1"/>
      <c r="P2524" s="1"/>
      <c r="Q2524" s="1"/>
      <c r="R2524" s="1"/>
      <c r="S2524" s="1"/>
      <c r="T2524" s="1"/>
      <c r="U2524" s="1"/>
      <c r="V2524" s="1"/>
      <c r="W2524" s="1"/>
      <c r="X2524" s="1"/>
      <c r="Y2524" s="1"/>
      <c r="Z2524" s="1"/>
      <c r="AA2524" s="1"/>
      <c r="AB2524" s="1"/>
      <c r="AC2524" s="1"/>
      <c r="AD2524" s="1"/>
      <c r="AE2524" s="1"/>
      <c r="AF2524" s="1"/>
    </row>
    <row r="2525" spans="7:32" x14ac:dyDescent="0.2">
      <c r="G2525" s="2"/>
      <c r="H2525" s="1"/>
      <c r="I2525" s="1"/>
      <c r="J2525" s="1"/>
      <c r="K2525" s="1"/>
      <c r="L2525" s="1"/>
      <c r="M2525" s="1"/>
      <c r="N2525" s="1"/>
      <c r="O2525" s="1"/>
      <c r="P2525" s="1"/>
      <c r="Q2525" s="1"/>
      <c r="R2525" s="1"/>
      <c r="S2525" s="1"/>
      <c r="T2525" s="1"/>
      <c r="U2525" s="1"/>
      <c r="V2525" s="1"/>
      <c r="W2525" s="1"/>
      <c r="X2525" s="1"/>
      <c r="Y2525" s="1"/>
      <c r="Z2525" s="1"/>
      <c r="AA2525" s="1"/>
      <c r="AB2525" s="1"/>
      <c r="AC2525" s="1"/>
      <c r="AD2525" s="1"/>
      <c r="AE2525" s="1"/>
      <c r="AF2525" s="1"/>
    </row>
    <row r="2526" spans="7:32" x14ac:dyDescent="0.2">
      <c r="G2526" s="2"/>
      <c r="H2526" s="1"/>
      <c r="I2526" s="1"/>
      <c r="J2526" s="1"/>
      <c r="K2526" s="1"/>
      <c r="L2526" s="1"/>
      <c r="M2526" s="1"/>
      <c r="N2526" s="1"/>
      <c r="O2526" s="1"/>
      <c r="P2526" s="1"/>
      <c r="Q2526" s="1"/>
      <c r="R2526" s="1"/>
      <c r="S2526" s="1"/>
      <c r="T2526" s="1"/>
      <c r="U2526" s="1"/>
      <c r="V2526" s="1"/>
      <c r="W2526" s="1"/>
      <c r="X2526" s="1"/>
      <c r="Y2526" s="1"/>
      <c r="Z2526" s="1"/>
      <c r="AA2526" s="1"/>
      <c r="AB2526" s="1"/>
      <c r="AC2526" s="1"/>
      <c r="AD2526" s="1"/>
      <c r="AE2526" s="1"/>
      <c r="AF2526" s="1"/>
    </row>
    <row r="2527" spans="7:32" x14ac:dyDescent="0.2">
      <c r="G2527" s="2"/>
      <c r="H2527" s="1"/>
      <c r="I2527" s="1"/>
      <c r="J2527" s="1"/>
      <c r="K2527" s="1"/>
      <c r="L2527" s="1"/>
      <c r="M2527" s="1"/>
      <c r="N2527" s="1"/>
      <c r="O2527" s="1"/>
      <c r="P2527" s="1"/>
      <c r="Q2527" s="1"/>
      <c r="R2527" s="1"/>
      <c r="S2527" s="1"/>
      <c r="T2527" s="1"/>
      <c r="U2527" s="1"/>
      <c r="V2527" s="1"/>
      <c r="W2527" s="1"/>
      <c r="X2527" s="1"/>
      <c r="Y2527" s="1"/>
      <c r="Z2527" s="1"/>
      <c r="AA2527" s="1"/>
      <c r="AB2527" s="1"/>
      <c r="AC2527" s="1"/>
      <c r="AD2527" s="1"/>
      <c r="AE2527" s="1"/>
      <c r="AF2527" s="1"/>
    </row>
    <row r="2528" spans="7:32" x14ac:dyDescent="0.2">
      <c r="G2528" s="2"/>
      <c r="H2528" s="1"/>
      <c r="I2528" s="1"/>
      <c r="J2528" s="1"/>
      <c r="K2528" s="1"/>
      <c r="L2528" s="1"/>
      <c r="M2528" s="1"/>
      <c r="N2528" s="1"/>
      <c r="O2528" s="1"/>
      <c r="P2528" s="1"/>
      <c r="Q2528" s="1"/>
      <c r="R2528" s="1"/>
      <c r="S2528" s="1"/>
      <c r="T2528" s="1"/>
      <c r="U2528" s="1"/>
      <c r="V2528" s="1"/>
      <c r="W2528" s="1"/>
      <c r="X2528" s="1"/>
      <c r="Y2528" s="1"/>
      <c r="Z2528" s="1"/>
      <c r="AA2528" s="1"/>
      <c r="AB2528" s="1"/>
      <c r="AC2528" s="1"/>
      <c r="AD2528" s="1"/>
      <c r="AE2528" s="1"/>
      <c r="AF2528" s="1"/>
    </row>
    <row r="2529" spans="7:32" x14ac:dyDescent="0.2">
      <c r="G2529" s="2"/>
      <c r="H2529" s="1"/>
      <c r="I2529" s="1"/>
      <c r="J2529" s="1"/>
      <c r="K2529" s="1"/>
      <c r="L2529" s="1"/>
      <c r="M2529" s="1"/>
      <c r="N2529" s="1"/>
      <c r="O2529" s="1"/>
      <c r="P2529" s="1"/>
      <c r="Q2529" s="1"/>
      <c r="R2529" s="1"/>
      <c r="S2529" s="1"/>
      <c r="T2529" s="1"/>
      <c r="U2529" s="1"/>
      <c r="V2529" s="1"/>
      <c r="W2529" s="1"/>
      <c r="X2529" s="1"/>
      <c r="Y2529" s="1"/>
      <c r="Z2529" s="1"/>
      <c r="AA2529" s="1"/>
      <c r="AB2529" s="1"/>
      <c r="AC2529" s="1"/>
      <c r="AD2529" s="1"/>
      <c r="AE2529" s="1"/>
      <c r="AF2529" s="1"/>
    </row>
    <row r="2530" spans="7:32" x14ac:dyDescent="0.2">
      <c r="G2530" s="2"/>
      <c r="H2530" s="1"/>
      <c r="I2530" s="1"/>
      <c r="J2530" s="1"/>
      <c r="K2530" s="1"/>
      <c r="L2530" s="1"/>
      <c r="M2530" s="1"/>
      <c r="N2530" s="1"/>
      <c r="O2530" s="1"/>
      <c r="P2530" s="1"/>
      <c r="Q2530" s="1"/>
      <c r="R2530" s="1"/>
      <c r="S2530" s="1"/>
      <c r="T2530" s="1"/>
      <c r="U2530" s="1"/>
      <c r="V2530" s="1"/>
      <c r="W2530" s="1"/>
      <c r="X2530" s="1"/>
      <c r="Y2530" s="1"/>
      <c r="Z2530" s="1"/>
      <c r="AA2530" s="1"/>
      <c r="AB2530" s="1"/>
      <c r="AC2530" s="1"/>
      <c r="AD2530" s="1"/>
      <c r="AE2530" s="1"/>
      <c r="AF2530" s="1"/>
    </row>
    <row r="2531" spans="7:32" x14ac:dyDescent="0.2">
      <c r="G2531" s="2"/>
      <c r="H2531" s="1"/>
      <c r="I2531" s="1"/>
      <c r="J2531" s="1"/>
      <c r="K2531" s="1"/>
      <c r="L2531" s="1"/>
      <c r="M2531" s="1"/>
      <c r="N2531" s="1"/>
      <c r="O2531" s="1"/>
      <c r="P2531" s="1"/>
      <c r="Q2531" s="1"/>
      <c r="R2531" s="1"/>
      <c r="S2531" s="1"/>
      <c r="T2531" s="1"/>
      <c r="U2531" s="1"/>
      <c r="V2531" s="1"/>
      <c r="W2531" s="1"/>
      <c r="X2531" s="1"/>
      <c r="Y2531" s="1"/>
      <c r="Z2531" s="1"/>
      <c r="AA2531" s="1"/>
      <c r="AB2531" s="1"/>
      <c r="AC2531" s="1"/>
      <c r="AD2531" s="1"/>
      <c r="AE2531" s="1"/>
      <c r="AF2531" s="1"/>
    </row>
    <row r="2532" spans="7:32" x14ac:dyDescent="0.2">
      <c r="G2532" s="2"/>
      <c r="H2532" s="1"/>
      <c r="I2532" s="1"/>
      <c r="J2532" s="1"/>
      <c r="K2532" s="1"/>
      <c r="L2532" s="1"/>
      <c r="M2532" s="1"/>
      <c r="N2532" s="1"/>
      <c r="O2532" s="1"/>
      <c r="P2532" s="1"/>
      <c r="Q2532" s="1"/>
      <c r="R2532" s="1"/>
      <c r="S2532" s="1"/>
      <c r="T2532" s="1"/>
      <c r="U2532" s="1"/>
      <c r="V2532" s="1"/>
      <c r="W2532" s="1"/>
      <c r="X2532" s="1"/>
      <c r="Y2532" s="1"/>
      <c r="Z2532" s="1"/>
      <c r="AA2532" s="1"/>
      <c r="AB2532" s="1"/>
      <c r="AC2532" s="1"/>
      <c r="AD2532" s="1"/>
      <c r="AE2532" s="1"/>
      <c r="AF2532" s="1"/>
    </row>
    <row r="2533" spans="7:32" x14ac:dyDescent="0.2">
      <c r="G2533" s="2"/>
      <c r="H2533" s="1"/>
      <c r="I2533" s="1"/>
      <c r="J2533" s="1"/>
      <c r="K2533" s="1"/>
      <c r="L2533" s="1"/>
      <c r="M2533" s="1"/>
      <c r="N2533" s="1"/>
      <c r="O2533" s="1"/>
      <c r="P2533" s="1"/>
      <c r="Q2533" s="1"/>
      <c r="R2533" s="1"/>
      <c r="S2533" s="1"/>
      <c r="T2533" s="1"/>
      <c r="U2533" s="1"/>
      <c r="V2533" s="1"/>
      <c r="W2533" s="1"/>
      <c r="X2533" s="1"/>
      <c r="Y2533" s="1"/>
      <c r="Z2533" s="1"/>
      <c r="AA2533" s="1"/>
      <c r="AB2533" s="1"/>
      <c r="AC2533" s="1"/>
      <c r="AD2533" s="1"/>
      <c r="AE2533" s="1"/>
      <c r="AF2533" s="1"/>
    </row>
    <row r="2534" spans="7:32" x14ac:dyDescent="0.2">
      <c r="G2534" s="2"/>
      <c r="H2534" s="1"/>
      <c r="I2534" s="1"/>
      <c r="J2534" s="1"/>
      <c r="K2534" s="1"/>
      <c r="L2534" s="1"/>
      <c r="M2534" s="1"/>
      <c r="N2534" s="1"/>
      <c r="O2534" s="1"/>
      <c r="P2534" s="1"/>
      <c r="Q2534" s="1"/>
      <c r="R2534" s="1"/>
      <c r="S2534" s="1"/>
      <c r="T2534" s="1"/>
      <c r="U2534" s="1"/>
      <c r="V2534" s="1"/>
      <c r="W2534" s="1"/>
      <c r="X2534" s="1"/>
      <c r="Y2534" s="1"/>
      <c r="Z2534" s="1"/>
      <c r="AA2534" s="1"/>
      <c r="AB2534" s="1"/>
      <c r="AC2534" s="1"/>
      <c r="AD2534" s="1"/>
      <c r="AE2534" s="1"/>
      <c r="AF2534" s="1"/>
    </row>
    <row r="2535" spans="7:32" x14ac:dyDescent="0.2">
      <c r="G2535" s="2"/>
      <c r="H2535" s="1"/>
      <c r="I2535" s="1"/>
      <c r="J2535" s="1"/>
      <c r="K2535" s="1"/>
      <c r="L2535" s="1"/>
      <c r="M2535" s="1"/>
      <c r="N2535" s="1"/>
      <c r="O2535" s="1"/>
      <c r="P2535" s="1"/>
      <c r="Q2535" s="1"/>
      <c r="R2535" s="1"/>
      <c r="S2535" s="1"/>
      <c r="T2535" s="1"/>
      <c r="U2535" s="1"/>
      <c r="V2535" s="1"/>
      <c r="W2535" s="1"/>
      <c r="X2535" s="1"/>
      <c r="Y2535" s="1"/>
      <c r="Z2535" s="1"/>
      <c r="AA2535" s="1"/>
      <c r="AB2535" s="1"/>
      <c r="AC2535" s="1"/>
      <c r="AD2535" s="1"/>
      <c r="AE2535" s="1"/>
      <c r="AF2535" s="1"/>
    </row>
    <row r="2536" spans="7:32" x14ac:dyDescent="0.2">
      <c r="G2536" s="2"/>
      <c r="H2536" s="1"/>
      <c r="I2536" s="1"/>
      <c r="J2536" s="1"/>
      <c r="K2536" s="1"/>
      <c r="L2536" s="1"/>
      <c r="M2536" s="1"/>
      <c r="N2536" s="1"/>
      <c r="O2536" s="1"/>
      <c r="P2536" s="1"/>
      <c r="Q2536" s="1"/>
      <c r="R2536" s="1"/>
      <c r="S2536" s="1"/>
      <c r="T2536" s="1"/>
      <c r="U2536" s="1"/>
      <c r="V2536" s="1"/>
      <c r="W2536" s="1"/>
      <c r="X2536" s="1"/>
      <c r="Y2536" s="1"/>
      <c r="Z2536" s="1"/>
      <c r="AA2536" s="1"/>
      <c r="AB2536" s="1"/>
      <c r="AC2536" s="1"/>
      <c r="AD2536" s="1"/>
      <c r="AE2536" s="1"/>
      <c r="AF2536" s="1"/>
    </row>
    <row r="2537" spans="7:32" x14ac:dyDescent="0.2">
      <c r="G2537" s="2"/>
      <c r="H2537" s="1"/>
      <c r="I2537" s="1"/>
      <c r="J2537" s="1"/>
      <c r="K2537" s="1"/>
      <c r="L2537" s="1"/>
      <c r="M2537" s="1"/>
      <c r="N2537" s="1"/>
      <c r="O2537" s="1"/>
      <c r="P2537" s="1"/>
      <c r="Q2537" s="1"/>
      <c r="R2537" s="1"/>
      <c r="S2537" s="1"/>
      <c r="T2537" s="1"/>
      <c r="U2537" s="1"/>
      <c r="V2537" s="1"/>
      <c r="W2537" s="1"/>
      <c r="X2537" s="1"/>
      <c r="Y2537" s="1"/>
      <c r="Z2537" s="1"/>
      <c r="AA2537" s="1"/>
      <c r="AB2537" s="1"/>
      <c r="AC2537" s="1"/>
      <c r="AD2537" s="1"/>
      <c r="AE2537" s="1"/>
      <c r="AF2537" s="1"/>
    </row>
    <row r="2538" spans="7:32" x14ac:dyDescent="0.2">
      <c r="G2538" s="2"/>
      <c r="H2538" s="1"/>
      <c r="I2538" s="1"/>
      <c r="J2538" s="1"/>
      <c r="K2538" s="1"/>
      <c r="L2538" s="1"/>
      <c r="M2538" s="1"/>
      <c r="N2538" s="1"/>
      <c r="O2538" s="1"/>
      <c r="P2538" s="1"/>
      <c r="Q2538" s="1"/>
      <c r="R2538" s="1"/>
      <c r="S2538" s="1"/>
      <c r="T2538" s="1"/>
      <c r="U2538" s="1"/>
      <c r="V2538" s="1"/>
      <c r="W2538" s="1"/>
      <c r="X2538" s="1"/>
      <c r="Y2538" s="1"/>
      <c r="Z2538" s="1"/>
      <c r="AA2538" s="1"/>
      <c r="AB2538" s="1"/>
      <c r="AC2538" s="1"/>
      <c r="AD2538" s="1"/>
      <c r="AE2538" s="1"/>
      <c r="AF2538" s="1"/>
    </row>
    <row r="2539" spans="7:32" x14ac:dyDescent="0.2">
      <c r="G2539" s="2"/>
      <c r="H2539" s="1"/>
      <c r="I2539" s="1"/>
      <c r="J2539" s="1"/>
      <c r="K2539" s="1"/>
      <c r="L2539" s="1"/>
      <c r="M2539" s="1"/>
      <c r="N2539" s="1"/>
      <c r="O2539" s="1"/>
      <c r="P2539" s="1"/>
      <c r="Q2539" s="1"/>
      <c r="R2539" s="1"/>
      <c r="S2539" s="1"/>
      <c r="T2539" s="1"/>
      <c r="U2539" s="1"/>
      <c r="V2539" s="1"/>
      <c r="W2539" s="1"/>
      <c r="X2539" s="1"/>
      <c r="Y2539" s="1"/>
      <c r="Z2539" s="1"/>
      <c r="AA2539" s="1"/>
      <c r="AB2539" s="1"/>
      <c r="AC2539" s="1"/>
      <c r="AD2539" s="1"/>
      <c r="AE2539" s="1"/>
      <c r="AF2539" s="1"/>
    </row>
    <row r="2540" spans="7:32" x14ac:dyDescent="0.2">
      <c r="G2540" s="2"/>
      <c r="H2540" s="1"/>
      <c r="I2540" s="1"/>
      <c r="J2540" s="1"/>
      <c r="K2540" s="1"/>
      <c r="L2540" s="1"/>
      <c r="M2540" s="1"/>
      <c r="N2540" s="1"/>
      <c r="O2540" s="1"/>
      <c r="P2540" s="1"/>
      <c r="Q2540" s="1"/>
      <c r="R2540" s="1"/>
      <c r="S2540" s="1"/>
      <c r="T2540" s="1"/>
      <c r="U2540" s="1"/>
      <c r="V2540" s="1"/>
      <c r="W2540" s="1"/>
      <c r="X2540" s="1"/>
      <c r="Y2540" s="1"/>
      <c r="Z2540" s="1"/>
      <c r="AA2540" s="1"/>
      <c r="AB2540" s="1"/>
      <c r="AC2540" s="1"/>
      <c r="AD2540" s="1"/>
      <c r="AE2540" s="1"/>
      <c r="AF2540" s="1"/>
    </row>
    <row r="2541" spans="7:32" x14ac:dyDescent="0.2">
      <c r="G2541" s="2"/>
      <c r="H2541" s="1"/>
      <c r="I2541" s="1"/>
      <c r="J2541" s="1"/>
      <c r="K2541" s="1"/>
      <c r="L2541" s="1"/>
      <c r="M2541" s="1"/>
      <c r="N2541" s="1"/>
      <c r="O2541" s="1"/>
      <c r="P2541" s="1"/>
      <c r="Q2541" s="1"/>
      <c r="R2541" s="1"/>
      <c r="S2541" s="1"/>
      <c r="T2541" s="1"/>
      <c r="U2541" s="1"/>
      <c r="V2541" s="1"/>
      <c r="W2541" s="1"/>
      <c r="X2541" s="1"/>
      <c r="Y2541" s="1"/>
      <c r="Z2541" s="1"/>
      <c r="AA2541" s="1"/>
      <c r="AB2541" s="1"/>
      <c r="AC2541" s="1"/>
      <c r="AD2541" s="1"/>
      <c r="AE2541" s="1"/>
      <c r="AF2541" s="1"/>
    </row>
    <row r="2542" spans="7:32" x14ac:dyDescent="0.2">
      <c r="G2542" s="2"/>
      <c r="H2542" s="1"/>
      <c r="I2542" s="1"/>
      <c r="J2542" s="1"/>
      <c r="K2542" s="1"/>
      <c r="L2542" s="1"/>
      <c r="M2542" s="1"/>
      <c r="N2542" s="1"/>
      <c r="O2542" s="1"/>
      <c r="P2542" s="1"/>
      <c r="Q2542" s="1"/>
      <c r="R2542" s="1"/>
      <c r="S2542" s="1"/>
      <c r="T2542" s="1"/>
      <c r="U2542" s="1"/>
      <c r="V2542" s="1"/>
      <c r="W2542" s="1"/>
      <c r="X2542" s="1"/>
      <c r="Y2542" s="1"/>
      <c r="Z2542" s="1"/>
      <c r="AA2542" s="1"/>
      <c r="AB2542" s="1"/>
      <c r="AC2542" s="1"/>
      <c r="AD2542" s="1"/>
      <c r="AE2542" s="1"/>
      <c r="AF2542" s="1"/>
    </row>
    <row r="2543" spans="7:32" x14ac:dyDescent="0.2">
      <c r="G2543" s="2"/>
      <c r="H2543" s="1"/>
      <c r="I2543" s="1"/>
      <c r="J2543" s="1"/>
      <c r="K2543" s="1"/>
      <c r="L2543" s="1"/>
      <c r="M2543" s="1"/>
      <c r="N2543" s="1"/>
      <c r="O2543" s="1"/>
      <c r="P2543" s="1"/>
      <c r="Q2543" s="1"/>
      <c r="R2543" s="1"/>
      <c r="S2543" s="1"/>
      <c r="T2543" s="1"/>
      <c r="U2543" s="1"/>
      <c r="V2543" s="1"/>
      <c r="W2543" s="1"/>
      <c r="X2543" s="1"/>
      <c r="Y2543" s="1"/>
      <c r="Z2543" s="1"/>
      <c r="AA2543" s="1"/>
      <c r="AB2543" s="1"/>
      <c r="AC2543" s="1"/>
      <c r="AD2543" s="1"/>
      <c r="AE2543" s="1"/>
      <c r="AF2543" s="1"/>
    </row>
    <row r="2544" spans="7:32" x14ac:dyDescent="0.2">
      <c r="G2544" s="2"/>
      <c r="H2544" s="1"/>
      <c r="I2544" s="1"/>
      <c r="J2544" s="1"/>
      <c r="K2544" s="1"/>
      <c r="L2544" s="1"/>
      <c r="M2544" s="1"/>
      <c r="N2544" s="1"/>
      <c r="O2544" s="1"/>
      <c r="P2544" s="1"/>
      <c r="Q2544" s="1"/>
      <c r="R2544" s="1"/>
      <c r="S2544" s="1"/>
      <c r="T2544" s="1"/>
      <c r="U2544" s="1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</row>
    <row r="2545" spans="7:32" x14ac:dyDescent="0.2">
      <c r="G2545" s="2"/>
      <c r="H2545" s="1"/>
      <c r="I2545" s="1"/>
      <c r="J2545" s="1"/>
      <c r="K2545" s="1"/>
      <c r="L2545" s="1"/>
      <c r="M2545" s="1"/>
      <c r="N2545" s="1"/>
      <c r="O2545" s="1"/>
      <c r="P2545" s="1"/>
      <c r="Q2545" s="1"/>
      <c r="R2545" s="1"/>
      <c r="S2545" s="1"/>
      <c r="T2545" s="1"/>
      <c r="U2545" s="1"/>
      <c r="V2545" s="1"/>
      <c r="W2545" s="1"/>
      <c r="X2545" s="1"/>
      <c r="Y2545" s="1"/>
      <c r="Z2545" s="1"/>
      <c r="AA2545" s="1"/>
      <c r="AB2545" s="1"/>
      <c r="AC2545" s="1"/>
      <c r="AD2545" s="1"/>
      <c r="AE2545" s="1"/>
      <c r="AF2545" s="1"/>
    </row>
    <row r="2546" spans="7:32" x14ac:dyDescent="0.2">
      <c r="G2546" s="2"/>
      <c r="H2546" s="1"/>
      <c r="I2546" s="1"/>
      <c r="J2546" s="1"/>
      <c r="K2546" s="1"/>
      <c r="L2546" s="1"/>
      <c r="M2546" s="1"/>
      <c r="N2546" s="1"/>
      <c r="O2546" s="1"/>
      <c r="P2546" s="1"/>
      <c r="Q2546" s="1"/>
      <c r="R2546" s="1"/>
      <c r="S2546" s="1"/>
      <c r="T2546" s="1"/>
      <c r="U2546" s="1"/>
      <c r="V2546" s="1"/>
      <c r="W2546" s="1"/>
      <c r="X2546" s="1"/>
      <c r="Y2546" s="1"/>
      <c r="Z2546" s="1"/>
      <c r="AA2546" s="1"/>
      <c r="AB2546" s="1"/>
      <c r="AC2546" s="1"/>
      <c r="AD2546" s="1"/>
      <c r="AE2546" s="1"/>
      <c r="AF2546" s="1"/>
    </row>
    <row r="2547" spans="7:32" x14ac:dyDescent="0.2">
      <c r="G2547" s="2"/>
      <c r="H2547" s="1"/>
      <c r="I2547" s="1"/>
      <c r="J2547" s="1"/>
      <c r="K2547" s="1"/>
      <c r="L2547" s="1"/>
      <c r="M2547" s="1"/>
      <c r="N2547" s="1"/>
      <c r="O2547" s="1"/>
      <c r="P2547" s="1"/>
      <c r="Q2547" s="1"/>
      <c r="R2547" s="1"/>
      <c r="S2547" s="1"/>
      <c r="T2547" s="1"/>
      <c r="U2547" s="1"/>
      <c r="V2547" s="1"/>
      <c r="W2547" s="1"/>
      <c r="X2547" s="1"/>
      <c r="Y2547" s="1"/>
      <c r="Z2547" s="1"/>
      <c r="AA2547" s="1"/>
      <c r="AB2547" s="1"/>
      <c r="AC2547" s="1"/>
      <c r="AD2547" s="1"/>
      <c r="AE2547" s="1"/>
      <c r="AF2547" s="1"/>
    </row>
    <row r="2548" spans="7:32" x14ac:dyDescent="0.2">
      <c r="G2548" s="2"/>
      <c r="H2548" s="1"/>
      <c r="I2548" s="1"/>
      <c r="J2548" s="1"/>
      <c r="K2548" s="1"/>
      <c r="L2548" s="1"/>
      <c r="M2548" s="1"/>
      <c r="N2548" s="1"/>
      <c r="O2548" s="1"/>
      <c r="P2548" s="1"/>
      <c r="Q2548" s="1"/>
      <c r="R2548" s="1"/>
      <c r="S2548" s="1"/>
      <c r="T2548" s="1"/>
      <c r="U2548" s="1"/>
      <c r="V2548" s="1"/>
      <c r="W2548" s="1"/>
      <c r="X2548" s="1"/>
      <c r="Y2548" s="1"/>
      <c r="Z2548" s="1"/>
      <c r="AA2548" s="1"/>
      <c r="AB2548" s="1"/>
      <c r="AC2548" s="1"/>
      <c r="AD2548" s="1"/>
      <c r="AE2548" s="1"/>
      <c r="AF2548" s="1"/>
    </row>
    <row r="2549" spans="7:32" x14ac:dyDescent="0.2">
      <c r="G2549" s="2"/>
      <c r="H2549" s="1"/>
      <c r="I2549" s="1"/>
      <c r="J2549" s="1"/>
      <c r="K2549" s="1"/>
      <c r="L2549" s="1"/>
      <c r="M2549" s="1"/>
      <c r="N2549" s="1"/>
      <c r="O2549" s="1"/>
      <c r="P2549" s="1"/>
      <c r="Q2549" s="1"/>
      <c r="R2549" s="1"/>
      <c r="S2549" s="1"/>
      <c r="T2549" s="1"/>
      <c r="U2549" s="1"/>
      <c r="V2549" s="1"/>
      <c r="W2549" s="1"/>
      <c r="X2549" s="1"/>
      <c r="Y2549" s="1"/>
      <c r="Z2549" s="1"/>
      <c r="AA2549" s="1"/>
      <c r="AB2549" s="1"/>
      <c r="AC2549" s="1"/>
      <c r="AD2549" s="1"/>
      <c r="AE2549" s="1"/>
      <c r="AF2549" s="1"/>
    </row>
    <row r="2550" spans="7:32" x14ac:dyDescent="0.2">
      <c r="G2550" s="2"/>
      <c r="H2550" s="1"/>
      <c r="I2550" s="1"/>
      <c r="J2550" s="1"/>
      <c r="K2550" s="1"/>
      <c r="L2550" s="1"/>
      <c r="M2550" s="1"/>
      <c r="N2550" s="1"/>
      <c r="O2550" s="1"/>
      <c r="P2550" s="1"/>
      <c r="Q2550" s="1"/>
      <c r="R2550" s="1"/>
      <c r="S2550" s="1"/>
      <c r="T2550" s="1"/>
      <c r="U2550" s="1"/>
      <c r="V2550" s="1"/>
      <c r="W2550" s="1"/>
      <c r="X2550" s="1"/>
      <c r="Y2550" s="1"/>
      <c r="Z2550" s="1"/>
      <c r="AA2550" s="1"/>
      <c r="AB2550" s="1"/>
      <c r="AC2550" s="1"/>
      <c r="AD2550" s="1"/>
      <c r="AE2550" s="1"/>
      <c r="AF2550" s="1"/>
    </row>
    <row r="2551" spans="7:32" x14ac:dyDescent="0.2">
      <c r="G2551" s="2"/>
      <c r="H2551" s="1"/>
      <c r="I2551" s="1"/>
      <c r="J2551" s="1"/>
      <c r="K2551" s="1"/>
      <c r="L2551" s="1"/>
      <c r="M2551" s="1"/>
      <c r="N2551" s="1"/>
      <c r="O2551" s="1"/>
      <c r="P2551" s="1"/>
      <c r="Q2551" s="1"/>
      <c r="R2551" s="1"/>
      <c r="S2551" s="1"/>
      <c r="T2551" s="1"/>
      <c r="U2551" s="1"/>
      <c r="V2551" s="1"/>
      <c r="W2551" s="1"/>
      <c r="X2551" s="1"/>
      <c r="Y2551" s="1"/>
      <c r="Z2551" s="1"/>
      <c r="AA2551" s="1"/>
      <c r="AB2551" s="1"/>
      <c r="AC2551" s="1"/>
      <c r="AD2551" s="1"/>
      <c r="AE2551" s="1"/>
      <c r="AF2551" s="1"/>
    </row>
    <row r="2552" spans="7:32" x14ac:dyDescent="0.2">
      <c r="G2552" s="2"/>
      <c r="H2552" s="1"/>
      <c r="I2552" s="1"/>
      <c r="J2552" s="1"/>
      <c r="K2552" s="1"/>
      <c r="L2552" s="1"/>
      <c r="M2552" s="1"/>
      <c r="N2552" s="1"/>
      <c r="O2552" s="1"/>
      <c r="P2552" s="1"/>
      <c r="Q2552" s="1"/>
      <c r="R2552" s="1"/>
      <c r="S2552" s="1"/>
      <c r="T2552" s="1"/>
      <c r="U2552" s="1"/>
      <c r="V2552" s="1"/>
      <c r="W2552" s="1"/>
      <c r="X2552" s="1"/>
      <c r="Y2552" s="1"/>
      <c r="Z2552" s="1"/>
      <c r="AA2552" s="1"/>
      <c r="AB2552" s="1"/>
      <c r="AC2552" s="1"/>
      <c r="AD2552" s="1"/>
      <c r="AE2552" s="1"/>
      <c r="AF2552" s="1"/>
    </row>
    <row r="2553" spans="7:32" x14ac:dyDescent="0.2">
      <c r="G2553" s="2"/>
      <c r="H2553" s="1"/>
      <c r="I2553" s="1"/>
      <c r="J2553" s="1"/>
      <c r="K2553" s="1"/>
      <c r="L2553" s="1"/>
      <c r="M2553" s="1"/>
      <c r="N2553" s="1"/>
      <c r="O2553" s="1"/>
      <c r="P2553" s="1"/>
      <c r="Q2553" s="1"/>
      <c r="R2553" s="1"/>
      <c r="S2553" s="1"/>
      <c r="T2553" s="1"/>
      <c r="U2553" s="1"/>
      <c r="V2553" s="1"/>
      <c r="W2553" s="1"/>
      <c r="X2553" s="1"/>
      <c r="Y2553" s="1"/>
      <c r="Z2553" s="1"/>
      <c r="AA2553" s="1"/>
      <c r="AB2553" s="1"/>
      <c r="AC2553" s="1"/>
      <c r="AD2553" s="1"/>
      <c r="AE2553" s="1"/>
      <c r="AF2553" s="1"/>
    </row>
    <row r="2554" spans="7:32" x14ac:dyDescent="0.2">
      <c r="G2554" s="2"/>
      <c r="H2554" s="1"/>
      <c r="I2554" s="1"/>
      <c r="J2554" s="1"/>
      <c r="K2554" s="1"/>
      <c r="L2554" s="1"/>
      <c r="M2554" s="1"/>
      <c r="N2554" s="1"/>
      <c r="O2554" s="1"/>
      <c r="P2554" s="1"/>
      <c r="Q2554" s="1"/>
      <c r="R2554" s="1"/>
      <c r="S2554" s="1"/>
      <c r="T2554" s="1"/>
      <c r="U2554" s="1"/>
      <c r="V2554" s="1"/>
      <c r="W2554" s="1"/>
      <c r="X2554" s="1"/>
      <c r="Y2554" s="1"/>
      <c r="Z2554" s="1"/>
      <c r="AA2554" s="1"/>
      <c r="AB2554" s="1"/>
      <c r="AC2554" s="1"/>
      <c r="AD2554" s="1"/>
      <c r="AE2554" s="1"/>
      <c r="AF2554" s="1"/>
    </row>
    <row r="2555" spans="7:32" x14ac:dyDescent="0.2">
      <c r="G2555" s="2"/>
      <c r="H2555" s="1"/>
      <c r="I2555" s="1"/>
      <c r="J2555" s="1"/>
      <c r="K2555" s="1"/>
      <c r="L2555" s="1"/>
      <c r="M2555" s="1"/>
      <c r="N2555" s="1"/>
      <c r="O2555" s="1"/>
      <c r="P2555" s="1"/>
      <c r="Q2555" s="1"/>
      <c r="R2555" s="1"/>
      <c r="S2555" s="1"/>
      <c r="T2555" s="1"/>
      <c r="U2555" s="1"/>
      <c r="V2555" s="1"/>
      <c r="W2555" s="1"/>
      <c r="X2555" s="1"/>
      <c r="Y2555" s="1"/>
      <c r="Z2555" s="1"/>
      <c r="AA2555" s="1"/>
      <c r="AB2555" s="1"/>
      <c r="AC2555" s="1"/>
      <c r="AD2555" s="1"/>
      <c r="AE2555" s="1"/>
      <c r="AF2555" s="1"/>
    </row>
    <row r="2556" spans="7:32" x14ac:dyDescent="0.2">
      <c r="G2556" s="2"/>
      <c r="H2556" s="1"/>
      <c r="I2556" s="1"/>
      <c r="J2556" s="1"/>
      <c r="K2556" s="1"/>
      <c r="L2556" s="1"/>
      <c r="M2556" s="1"/>
      <c r="N2556" s="1"/>
      <c r="O2556" s="1"/>
      <c r="P2556" s="1"/>
      <c r="Q2556" s="1"/>
      <c r="R2556" s="1"/>
      <c r="S2556" s="1"/>
      <c r="T2556" s="1"/>
      <c r="U2556" s="1"/>
      <c r="V2556" s="1"/>
      <c r="W2556" s="1"/>
      <c r="X2556" s="1"/>
      <c r="Y2556" s="1"/>
      <c r="Z2556" s="1"/>
      <c r="AA2556" s="1"/>
      <c r="AB2556" s="1"/>
      <c r="AC2556" s="1"/>
      <c r="AD2556" s="1"/>
      <c r="AE2556" s="1"/>
      <c r="AF2556" s="1"/>
    </row>
    <row r="2557" spans="7:32" x14ac:dyDescent="0.2">
      <c r="G2557" s="2"/>
      <c r="H2557" s="1"/>
      <c r="I2557" s="1"/>
      <c r="J2557" s="1"/>
      <c r="K2557" s="1"/>
      <c r="L2557" s="1"/>
      <c r="M2557" s="1"/>
      <c r="N2557" s="1"/>
      <c r="O2557" s="1"/>
      <c r="P2557" s="1"/>
      <c r="Q2557" s="1"/>
      <c r="R2557" s="1"/>
      <c r="S2557" s="1"/>
      <c r="T2557" s="1"/>
      <c r="U2557" s="1"/>
      <c r="V2557" s="1"/>
      <c r="W2557" s="1"/>
      <c r="X2557" s="1"/>
      <c r="Y2557" s="1"/>
      <c r="Z2557" s="1"/>
      <c r="AA2557" s="1"/>
      <c r="AB2557" s="1"/>
      <c r="AC2557" s="1"/>
      <c r="AD2557" s="1"/>
      <c r="AE2557" s="1"/>
      <c r="AF2557" s="1"/>
    </row>
    <row r="2558" spans="7:32" x14ac:dyDescent="0.2">
      <c r="G2558" s="2"/>
      <c r="H2558" s="1"/>
      <c r="I2558" s="1"/>
      <c r="J2558" s="1"/>
      <c r="K2558" s="1"/>
      <c r="L2558" s="1"/>
      <c r="M2558" s="1"/>
      <c r="N2558" s="1"/>
      <c r="O2558" s="1"/>
      <c r="P2558" s="1"/>
      <c r="Q2558" s="1"/>
      <c r="R2558" s="1"/>
      <c r="S2558" s="1"/>
      <c r="T2558" s="1"/>
      <c r="U2558" s="1"/>
      <c r="V2558" s="1"/>
      <c r="W2558" s="1"/>
      <c r="X2558" s="1"/>
      <c r="Y2558" s="1"/>
      <c r="Z2558" s="1"/>
      <c r="AA2558" s="1"/>
      <c r="AB2558" s="1"/>
      <c r="AC2558" s="1"/>
      <c r="AD2558" s="1"/>
      <c r="AE2558" s="1"/>
      <c r="AF2558" s="1"/>
    </row>
    <row r="2559" spans="7:32" x14ac:dyDescent="0.2">
      <c r="G2559" s="2"/>
      <c r="H2559" s="1"/>
      <c r="I2559" s="1"/>
      <c r="J2559" s="1"/>
      <c r="K2559" s="1"/>
      <c r="L2559" s="1"/>
      <c r="M2559" s="1"/>
      <c r="N2559" s="1"/>
      <c r="O2559" s="1"/>
      <c r="P2559" s="1"/>
      <c r="Q2559" s="1"/>
      <c r="R2559" s="1"/>
      <c r="S2559" s="1"/>
      <c r="T2559" s="1"/>
      <c r="U2559" s="1"/>
      <c r="V2559" s="1"/>
      <c r="W2559" s="1"/>
      <c r="X2559" s="1"/>
      <c r="Y2559" s="1"/>
      <c r="Z2559" s="1"/>
      <c r="AA2559" s="1"/>
      <c r="AB2559" s="1"/>
      <c r="AC2559" s="1"/>
      <c r="AD2559" s="1"/>
      <c r="AE2559" s="1"/>
      <c r="AF2559" s="1"/>
    </row>
    <row r="2560" spans="7:32" x14ac:dyDescent="0.2">
      <c r="G2560" s="2"/>
      <c r="H2560" s="1"/>
      <c r="I2560" s="1"/>
      <c r="J2560" s="1"/>
      <c r="K2560" s="1"/>
      <c r="L2560" s="1"/>
      <c r="M2560" s="1"/>
      <c r="N2560" s="1"/>
      <c r="O2560" s="1"/>
      <c r="P2560" s="1"/>
      <c r="Q2560" s="1"/>
      <c r="R2560" s="1"/>
      <c r="S2560" s="1"/>
      <c r="T2560" s="1"/>
      <c r="U2560" s="1"/>
      <c r="V2560" s="1"/>
      <c r="W2560" s="1"/>
      <c r="X2560" s="1"/>
      <c r="Y2560" s="1"/>
      <c r="Z2560" s="1"/>
      <c r="AA2560" s="1"/>
      <c r="AB2560" s="1"/>
      <c r="AC2560" s="1"/>
      <c r="AD2560" s="1"/>
      <c r="AE2560" s="1"/>
      <c r="AF2560" s="1"/>
    </row>
    <row r="2561" spans="7:32" x14ac:dyDescent="0.2">
      <c r="G2561" s="2"/>
      <c r="H2561" s="1"/>
      <c r="I2561" s="1"/>
      <c r="J2561" s="1"/>
      <c r="K2561" s="1"/>
      <c r="L2561" s="1"/>
      <c r="M2561" s="1"/>
      <c r="N2561" s="1"/>
      <c r="O2561" s="1"/>
      <c r="P2561" s="1"/>
      <c r="Q2561" s="1"/>
      <c r="R2561" s="1"/>
      <c r="S2561" s="1"/>
      <c r="T2561" s="1"/>
      <c r="U2561" s="1"/>
      <c r="V2561" s="1"/>
      <c r="W2561" s="1"/>
      <c r="X2561" s="1"/>
      <c r="Y2561" s="1"/>
      <c r="Z2561" s="1"/>
      <c r="AA2561" s="1"/>
      <c r="AB2561" s="1"/>
      <c r="AC2561" s="1"/>
      <c r="AD2561" s="1"/>
      <c r="AE2561" s="1"/>
      <c r="AF2561" s="1"/>
    </row>
    <row r="2562" spans="7:32" x14ac:dyDescent="0.2">
      <c r="G2562" s="2"/>
      <c r="H2562" s="1"/>
      <c r="I2562" s="1"/>
      <c r="J2562" s="1"/>
      <c r="K2562" s="1"/>
      <c r="L2562" s="1"/>
      <c r="M2562" s="1"/>
      <c r="N2562" s="1"/>
      <c r="O2562" s="1"/>
      <c r="P2562" s="1"/>
      <c r="Q2562" s="1"/>
      <c r="R2562" s="1"/>
      <c r="S2562" s="1"/>
      <c r="T2562" s="1"/>
      <c r="U2562" s="1"/>
      <c r="V2562" s="1"/>
      <c r="W2562" s="1"/>
      <c r="X2562" s="1"/>
      <c r="Y2562" s="1"/>
      <c r="Z2562" s="1"/>
      <c r="AA2562" s="1"/>
      <c r="AB2562" s="1"/>
      <c r="AC2562" s="1"/>
      <c r="AD2562" s="1"/>
      <c r="AE2562" s="1"/>
      <c r="AF2562" s="1"/>
    </row>
    <row r="2563" spans="7:32" x14ac:dyDescent="0.2">
      <c r="G2563" s="2"/>
      <c r="H2563" s="1"/>
      <c r="I2563" s="1"/>
      <c r="J2563" s="1"/>
      <c r="K2563" s="1"/>
      <c r="L2563" s="1"/>
      <c r="M2563" s="1"/>
      <c r="N2563" s="1"/>
      <c r="O2563" s="1"/>
      <c r="P2563" s="1"/>
      <c r="Q2563" s="1"/>
      <c r="R2563" s="1"/>
      <c r="S2563" s="1"/>
      <c r="T2563" s="1"/>
      <c r="U2563" s="1"/>
      <c r="V2563" s="1"/>
      <c r="W2563" s="1"/>
      <c r="X2563" s="1"/>
      <c r="Y2563" s="1"/>
      <c r="Z2563" s="1"/>
      <c r="AA2563" s="1"/>
      <c r="AB2563" s="1"/>
      <c r="AC2563" s="1"/>
      <c r="AD2563" s="1"/>
      <c r="AE2563" s="1"/>
      <c r="AF2563" s="1"/>
    </row>
    <row r="2564" spans="7:32" x14ac:dyDescent="0.2">
      <c r="G2564" s="2"/>
      <c r="H2564" s="1"/>
      <c r="I2564" s="1"/>
      <c r="J2564" s="1"/>
      <c r="K2564" s="1"/>
      <c r="L2564" s="1"/>
      <c r="M2564" s="1"/>
      <c r="N2564" s="1"/>
      <c r="O2564" s="1"/>
      <c r="P2564" s="1"/>
      <c r="Q2564" s="1"/>
      <c r="R2564" s="1"/>
      <c r="S2564" s="1"/>
      <c r="T2564" s="1"/>
      <c r="U2564" s="1"/>
      <c r="V2564" s="1"/>
      <c r="W2564" s="1"/>
      <c r="X2564" s="1"/>
      <c r="Y2564" s="1"/>
      <c r="Z2564" s="1"/>
      <c r="AA2564" s="1"/>
      <c r="AB2564" s="1"/>
      <c r="AC2564" s="1"/>
      <c r="AD2564" s="1"/>
      <c r="AE2564" s="1"/>
      <c r="AF2564" s="1"/>
    </row>
    <row r="2565" spans="7:32" x14ac:dyDescent="0.2">
      <c r="G2565" s="2"/>
      <c r="H2565" s="1"/>
      <c r="I2565" s="1"/>
      <c r="J2565" s="1"/>
      <c r="K2565" s="1"/>
      <c r="L2565" s="1"/>
      <c r="M2565" s="1"/>
      <c r="N2565" s="1"/>
      <c r="O2565" s="1"/>
      <c r="P2565" s="1"/>
      <c r="Q2565" s="1"/>
      <c r="R2565" s="1"/>
      <c r="S2565" s="1"/>
      <c r="T2565" s="1"/>
      <c r="U2565" s="1"/>
      <c r="V2565" s="1"/>
      <c r="W2565" s="1"/>
      <c r="X2565" s="1"/>
      <c r="Y2565" s="1"/>
      <c r="Z2565" s="1"/>
      <c r="AA2565" s="1"/>
      <c r="AB2565" s="1"/>
      <c r="AC2565" s="1"/>
      <c r="AD2565" s="1"/>
      <c r="AE2565" s="1"/>
      <c r="AF2565" s="1"/>
    </row>
    <row r="2566" spans="7:32" x14ac:dyDescent="0.2">
      <c r="G2566" s="2"/>
      <c r="H2566" s="1"/>
      <c r="I2566" s="1"/>
      <c r="J2566" s="1"/>
      <c r="K2566" s="1"/>
      <c r="L2566" s="1"/>
      <c r="M2566" s="1"/>
      <c r="N2566" s="1"/>
      <c r="O2566" s="1"/>
      <c r="P2566" s="1"/>
      <c r="Q2566" s="1"/>
      <c r="R2566" s="1"/>
      <c r="S2566" s="1"/>
      <c r="T2566" s="1"/>
      <c r="U2566" s="1"/>
      <c r="V2566" s="1"/>
      <c r="W2566" s="1"/>
      <c r="X2566" s="1"/>
      <c r="Y2566" s="1"/>
      <c r="Z2566" s="1"/>
      <c r="AA2566" s="1"/>
      <c r="AB2566" s="1"/>
      <c r="AC2566" s="1"/>
      <c r="AD2566" s="1"/>
      <c r="AE2566" s="1"/>
      <c r="AF2566" s="1"/>
    </row>
    <row r="2567" spans="7:32" x14ac:dyDescent="0.2">
      <c r="G2567" s="2"/>
      <c r="H2567" s="1"/>
      <c r="I2567" s="1"/>
      <c r="J2567" s="1"/>
      <c r="K2567" s="1"/>
      <c r="L2567" s="1"/>
      <c r="M2567" s="1"/>
      <c r="N2567" s="1"/>
      <c r="O2567" s="1"/>
      <c r="P2567" s="1"/>
      <c r="Q2567" s="1"/>
      <c r="R2567" s="1"/>
      <c r="S2567" s="1"/>
      <c r="T2567" s="1"/>
      <c r="U2567" s="1"/>
      <c r="V2567" s="1"/>
      <c r="W2567" s="1"/>
      <c r="X2567" s="1"/>
      <c r="Y2567" s="1"/>
      <c r="Z2567" s="1"/>
      <c r="AA2567" s="1"/>
      <c r="AB2567" s="1"/>
      <c r="AC2567" s="1"/>
      <c r="AD2567" s="1"/>
      <c r="AE2567" s="1"/>
      <c r="AF2567" s="1"/>
    </row>
    <row r="2568" spans="7:32" x14ac:dyDescent="0.2">
      <c r="G2568" s="2"/>
      <c r="H2568" s="1"/>
      <c r="I2568" s="1"/>
      <c r="J2568" s="1"/>
      <c r="K2568" s="1"/>
      <c r="L2568" s="1"/>
      <c r="M2568" s="1"/>
      <c r="N2568" s="1"/>
      <c r="O2568" s="1"/>
      <c r="P2568" s="1"/>
      <c r="Q2568" s="1"/>
      <c r="R2568" s="1"/>
      <c r="S2568" s="1"/>
      <c r="T2568" s="1"/>
      <c r="U2568" s="1"/>
      <c r="V2568" s="1"/>
      <c r="W2568" s="1"/>
      <c r="X2568" s="1"/>
      <c r="Y2568" s="1"/>
      <c r="Z2568" s="1"/>
      <c r="AA2568" s="1"/>
      <c r="AB2568" s="1"/>
      <c r="AC2568" s="1"/>
      <c r="AD2568" s="1"/>
      <c r="AE2568" s="1"/>
      <c r="AF2568" s="1"/>
    </row>
    <row r="2569" spans="7:32" x14ac:dyDescent="0.2">
      <c r="G2569" s="2"/>
      <c r="H2569" s="1"/>
      <c r="I2569" s="1"/>
      <c r="J2569" s="1"/>
      <c r="K2569" s="1"/>
      <c r="L2569" s="1"/>
      <c r="M2569" s="1"/>
      <c r="N2569" s="1"/>
      <c r="O2569" s="1"/>
      <c r="P2569" s="1"/>
      <c r="Q2569" s="1"/>
      <c r="R2569" s="1"/>
      <c r="S2569" s="1"/>
      <c r="T2569" s="1"/>
      <c r="U2569" s="1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</row>
    <row r="2570" spans="7:32" x14ac:dyDescent="0.2">
      <c r="G2570" s="2"/>
      <c r="H2570" s="1"/>
      <c r="I2570" s="1"/>
      <c r="J2570" s="1"/>
      <c r="K2570" s="1"/>
      <c r="L2570" s="1"/>
      <c r="M2570" s="1"/>
      <c r="N2570" s="1"/>
      <c r="O2570" s="1"/>
      <c r="P2570" s="1"/>
      <c r="Q2570" s="1"/>
      <c r="R2570" s="1"/>
      <c r="S2570" s="1"/>
      <c r="T2570" s="1"/>
      <c r="U2570" s="1"/>
      <c r="V2570" s="1"/>
      <c r="W2570" s="1"/>
      <c r="X2570" s="1"/>
      <c r="Y2570" s="1"/>
      <c r="Z2570" s="1"/>
      <c r="AA2570" s="1"/>
      <c r="AB2570" s="1"/>
      <c r="AC2570" s="1"/>
      <c r="AD2570" s="1"/>
      <c r="AE2570" s="1"/>
      <c r="AF2570" s="1"/>
    </row>
    <row r="2571" spans="7:32" x14ac:dyDescent="0.2">
      <c r="G2571" s="2"/>
      <c r="H2571" s="1"/>
      <c r="I2571" s="1"/>
      <c r="J2571" s="1"/>
      <c r="K2571" s="1"/>
      <c r="L2571" s="1"/>
      <c r="M2571" s="1"/>
      <c r="N2571" s="1"/>
      <c r="O2571" s="1"/>
      <c r="P2571" s="1"/>
      <c r="Q2571" s="1"/>
      <c r="R2571" s="1"/>
      <c r="S2571" s="1"/>
      <c r="T2571" s="1"/>
      <c r="U2571" s="1"/>
      <c r="V2571" s="1"/>
      <c r="W2571" s="1"/>
      <c r="X2571" s="1"/>
      <c r="Y2571" s="1"/>
      <c r="Z2571" s="1"/>
      <c r="AA2571" s="1"/>
      <c r="AB2571" s="1"/>
      <c r="AC2571" s="1"/>
      <c r="AD2571" s="1"/>
      <c r="AE2571" s="1"/>
      <c r="AF2571" s="1"/>
    </row>
    <row r="2572" spans="7:32" x14ac:dyDescent="0.2">
      <c r="G2572" s="2"/>
      <c r="H2572" s="1"/>
      <c r="I2572" s="1"/>
      <c r="J2572" s="1"/>
      <c r="K2572" s="1"/>
      <c r="L2572" s="1"/>
      <c r="M2572" s="1"/>
      <c r="N2572" s="1"/>
      <c r="O2572" s="1"/>
      <c r="P2572" s="1"/>
      <c r="Q2572" s="1"/>
      <c r="R2572" s="1"/>
      <c r="S2572" s="1"/>
      <c r="T2572" s="1"/>
      <c r="U2572" s="1"/>
      <c r="V2572" s="1"/>
      <c r="W2572" s="1"/>
      <c r="X2572" s="1"/>
      <c r="Y2572" s="1"/>
      <c r="Z2572" s="1"/>
      <c r="AA2572" s="1"/>
      <c r="AB2572" s="1"/>
      <c r="AC2572" s="1"/>
      <c r="AD2572" s="1"/>
      <c r="AE2572" s="1"/>
      <c r="AF2572" s="1"/>
    </row>
    <row r="2573" spans="7:32" x14ac:dyDescent="0.2">
      <c r="G2573" s="2"/>
      <c r="H2573" s="1"/>
      <c r="I2573" s="1"/>
      <c r="J2573" s="1"/>
      <c r="K2573" s="1"/>
      <c r="L2573" s="1"/>
      <c r="M2573" s="1"/>
      <c r="N2573" s="1"/>
      <c r="O2573" s="1"/>
      <c r="P2573" s="1"/>
      <c r="Q2573" s="1"/>
      <c r="R2573" s="1"/>
      <c r="S2573" s="1"/>
      <c r="T2573" s="1"/>
      <c r="U2573" s="1"/>
      <c r="V2573" s="1"/>
      <c r="W2573" s="1"/>
      <c r="X2573" s="1"/>
      <c r="Y2573" s="1"/>
      <c r="Z2573" s="1"/>
      <c r="AA2573" s="1"/>
      <c r="AB2573" s="1"/>
      <c r="AC2573" s="1"/>
      <c r="AD2573" s="1"/>
      <c r="AE2573" s="1"/>
      <c r="AF2573" s="1"/>
    </row>
    <row r="2574" spans="7:32" x14ac:dyDescent="0.2">
      <c r="G2574" s="2"/>
      <c r="H2574" s="1"/>
      <c r="I2574" s="1"/>
      <c r="J2574" s="1"/>
      <c r="K2574" s="1"/>
      <c r="L2574" s="1"/>
      <c r="M2574" s="1"/>
      <c r="N2574" s="1"/>
      <c r="O2574" s="1"/>
      <c r="P2574" s="1"/>
      <c r="Q2574" s="1"/>
      <c r="R2574" s="1"/>
      <c r="S2574" s="1"/>
      <c r="T2574" s="1"/>
      <c r="U2574" s="1"/>
      <c r="V2574" s="1"/>
      <c r="W2574" s="1"/>
      <c r="X2574" s="1"/>
      <c r="Y2574" s="1"/>
      <c r="Z2574" s="1"/>
      <c r="AA2574" s="1"/>
      <c r="AB2574" s="1"/>
      <c r="AC2574" s="1"/>
      <c r="AD2574" s="1"/>
      <c r="AE2574" s="1"/>
      <c r="AF2574" s="1"/>
    </row>
    <row r="2575" spans="7:32" x14ac:dyDescent="0.2">
      <c r="G2575" s="2"/>
      <c r="H2575" s="1"/>
      <c r="I2575" s="1"/>
      <c r="J2575" s="1"/>
      <c r="K2575" s="1"/>
      <c r="L2575" s="1"/>
      <c r="M2575" s="1"/>
      <c r="N2575" s="1"/>
      <c r="O2575" s="1"/>
      <c r="P2575" s="1"/>
      <c r="Q2575" s="1"/>
      <c r="R2575" s="1"/>
      <c r="S2575" s="1"/>
      <c r="T2575" s="1"/>
      <c r="U2575" s="1"/>
      <c r="V2575" s="1"/>
      <c r="W2575" s="1"/>
      <c r="X2575" s="1"/>
      <c r="Y2575" s="1"/>
      <c r="Z2575" s="1"/>
      <c r="AA2575" s="1"/>
      <c r="AB2575" s="1"/>
      <c r="AC2575" s="1"/>
      <c r="AD2575" s="1"/>
      <c r="AE2575" s="1"/>
      <c r="AF2575" s="1"/>
    </row>
    <row r="2576" spans="7:32" x14ac:dyDescent="0.2">
      <c r="G2576" s="2"/>
      <c r="H2576" s="1"/>
      <c r="I2576" s="1"/>
      <c r="J2576" s="1"/>
      <c r="K2576" s="1"/>
      <c r="L2576" s="1"/>
      <c r="M2576" s="1"/>
      <c r="N2576" s="1"/>
      <c r="O2576" s="1"/>
      <c r="P2576" s="1"/>
      <c r="Q2576" s="1"/>
      <c r="R2576" s="1"/>
      <c r="S2576" s="1"/>
      <c r="T2576" s="1"/>
      <c r="U2576" s="1"/>
      <c r="V2576" s="1"/>
      <c r="W2576" s="1"/>
      <c r="X2576" s="1"/>
      <c r="Y2576" s="1"/>
      <c r="Z2576" s="1"/>
      <c r="AA2576" s="1"/>
      <c r="AB2576" s="1"/>
      <c r="AC2576" s="1"/>
      <c r="AD2576" s="1"/>
      <c r="AE2576" s="1"/>
      <c r="AF2576" s="1"/>
    </row>
    <row r="2577" spans="7:32" x14ac:dyDescent="0.2">
      <c r="G2577" s="2"/>
      <c r="H2577" s="1"/>
      <c r="I2577" s="1"/>
      <c r="J2577" s="1"/>
      <c r="K2577" s="1"/>
      <c r="L2577" s="1"/>
      <c r="M2577" s="1"/>
      <c r="N2577" s="1"/>
      <c r="O2577" s="1"/>
      <c r="P2577" s="1"/>
      <c r="Q2577" s="1"/>
      <c r="R2577" s="1"/>
      <c r="S2577" s="1"/>
      <c r="T2577" s="1"/>
      <c r="U2577" s="1"/>
      <c r="V2577" s="1"/>
      <c r="W2577" s="1"/>
      <c r="X2577" s="1"/>
      <c r="Y2577" s="1"/>
      <c r="Z2577" s="1"/>
      <c r="AA2577" s="1"/>
      <c r="AB2577" s="1"/>
      <c r="AC2577" s="1"/>
      <c r="AD2577" s="1"/>
      <c r="AE2577" s="1"/>
      <c r="AF2577" s="1"/>
    </row>
    <row r="2578" spans="7:32" x14ac:dyDescent="0.2">
      <c r="G2578" s="2"/>
      <c r="H2578" s="1"/>
      <c r="I2578" s="1"/>
      <c r="J2578" s="1"/>
      <c r="K2578" s="1"/>
      <c r="L2578" s="1"/>
      <c r="M2578" s="1"/>
      <c r="N2578" s="1"/>
      <c r="O2578" s="1"/>
      <c r="P2578" s="1"/>
      <c r="Q2578" s="1"/>
      <c r="R2578" s="1"/>
      <c r="S2578" s="1"/>
      <c r="T2578" s="1"/>
      <c r="U2578" s="1"/>
      <c r="V2578" s="1"/>
      <c r="W2578" s="1"/>
      <c r="X2578" s="1"/>
      <c r="Y2578" s="1"/>
      <c r="Z2578" s="1"/>
      <c r="AA2578" s="1"/>
      <c r="AB2578" s="1"/>
      <c r="AC2578" s="1"/>
      <c r="AD2578" s="1"/>
      <c r="AE2578" s="1"/>
      <c r="AF2578" s="1"/>
    </row>
    <row r="2579" spans="7:32" x14ac:dyDescent="0.2">
      <c r="G2579" s="2"/>
      <c r="H2579" s="1"/>
      <c r="I2579" s="1"/>
      <c r="J2579" s="1"/>
      <c r="K2579" s="1"/>
      <c r="L2579" s="1"/>
      <c r="M2579" s="1"/>
      <c r="N2579" s="1"/>
      <c r="O2579" s="1"/>
      <c r="P2579" s="1"/>
      <c r="Q2579" s="1"/>
      <c r="R2579" s="1"/>
      <c r="S2579" s="1"/>
      <c r="T2579" s="1"/>
      <c r="U2579" s="1"/>
      <c r="V2579" s="1"/>
      <c r="W2579" s="1"/>
      <c r="X2579" s="1"/>
      <c r="Y2579" s="1"/>
      <c r="Z2579" s="1"/>
      <c r="AA2579" s="1"/>
      <c r="AB2579" s="1"/>
      <c r="AC2579" s="1"/>
      <c r="AD2579" s="1"/>
      <c r="AE2579" s="1"/>
      <c r="AF2579" s="1"/>
    </row>
    <row r="2580" spans="7:32" x14ac:dyDescent="0.2">
      <c r="G2580" s="2"/>
      <c r="H2580" s="1"/>
      <c r="I2580" s="1"/>
      <c r="J2580" s="1"/>
      <c r="K2580" s="1"/>
      <c r="L2580" s="1"/>
      <c r="M2580" s="1"/>
      <c r="N2580" s="1"/>
      <c r="O2580" s="1"/>
      <c r="P2580" s="1"/>
      <c r="Q2580" s="1"/>
      <c r="R2580" s="1"/>
      <c r="S2580" s="1"/>
      <c r="T2580" s="1"/>
      <c r="U2580" s="1"/>
      <c r="V2580" s="1"/>
      <c r="W2580" s="1"/>
      <c r="X2580" s="1"/>
      <c r="Y2580" s="1"/>
      <c r="Z2580" s="1"/>
      <c r="AA2580" s="1"/>
      <c r="AB2580" s="1"/>
      <c r="AC2580" s="1"/>
      <c r="AD2580" s="1"/>
      <c r="AE2580" s="1"/>
      <c r="AF2580" s="1"/>
    </row>
    <row r="2581" spans="7:32" x14ac:dyDescent="0.2">
      <c r="G2581" s="2"/>
      <c r="H2581" s="1"/>
      <c r="I2581" s="1"/>
      <c r="J2581" s="1"/>
      <c r="K2581" s="1"/>
      <c r="L2581" s="1"/>
      <c r="M2581" s="1"/>
      <c r="N2581" s="1"/>
      <c r="O2581" s="1"/>
      <c r="P2581" s="1"/>
      <c r="Q2581" s="1"/>
      <c r="R2581" s="1"/>
      <c r="S2581" s="1"/>
      <c r="T2581" s="1"/>
      <c r="U2581" s="1"/>
      <c r="V2581" s="1"/>
      <c r="W2581" s="1"/>
      <c r="X2581" s="1"/>
      <c r="Y2581" s="1"/>
      <c r="Z2581" s="1"/>
      <c r="AA2581" s="1"/>
      <c r="AB2581" s="1"/>
      <c r="AC2581" s="1"/>
      <c r="AD2581" s="1"/>
      <c r="AE2581" s="1"/>
      <c r="AF2581" s="1"/>
    </row>
    <row r="2582" spans="7:32" x14ac:dyDescent="0.2">
      <c r="G2582" s="2"/>
      <c r="H2582" s="1"/>
      <c r="I2582" s="1"/>
      <c r="J2582" s="1"/>
      <c r="K2582" s="1"/>
      <c r="L2582" s="1"/>
      <c r="M2582" s="1"/>
      <c r="N2582" s="1"/>
      <c r="O2582" s="1"/>
      <c r="P2582" s="1"/>
      <c r="Q2582" s="1"/>
      <c r="R2582" s="1"/>
      <c r="S2582" s="1"/>
      <c r="T2582" s="1"/>
      <c r="U2582" s="1"/>
      <c r="V2582" s="1"/>
      <c r="W2582" s="1"/>
      <c r="X2582" s="1"/>
      <c r="Y2582" s="1"/>
      <c r="Z2582" s="1"/>
      <c r="AA2582" s="1"/>
      <c r="AB2582" s="1"/>
      <c r="AC2582" s="1"/>
      <c r="AD2582" s="1"/>
      <c r="AE2582" s="1"/>
      <c r="AF2582" s="1"/>
    </row>
    <row r="2583" spans="7:32" x14ac:dyDescent="0.2">
      <c r="G2583" s="2"/>
      <c r="H2583" s="1"/>
      <c r="I2583" s="1"/>
      <c r="J2583" s="1"/>
      <c r="K2583" s="1"/>
      <c r="L2583" s="1"/>
      <c r="M2583" s="1"/>
      <c r="N2583" s="1"/>
      <c r="O2583" s="1"/>
      <c r="P2583" s="1"/>
      <c r="Q2583" s="1"/>
      <c r="R2583" s="1"/>
      <c r="S2583" s="1"/>
      <c r="T2583" s="1"/>
      <c r="U2583" s="1"/>
      <c r="V2583" s="1"/>
      <c r="W2583" s="1"/>
      <c r="X2583" s="1"/>
      <c r="Y2583" s="1"/>
      <c r="Z2583" s="1"/>
      <c r="AA2583" s="1"/>
      <c r="AB2583" s="1"/>
      <c r="AC2583" s="1"/>
      <c r="AD2583" s="1"/>
      <c r="AE2583" s="1"/>
      <c r="AF2583" s="1"/>
    </row>
    <row r="2584" spans="7:32" x14ac:dyDescent="0.2">
      <c r="G2584" s="2"/>
      <c r="H2584" s="1"/>
      <c r="I2584" s="1"/>
      <c r="J2584" s="1"/>
      <c r="K2584" s="1"/>
      <c r="L2584" s="1"/>
      <c r="M2584" s="1"/>
      <c r="N2584" s="1"/>
      <c r="O2584" s="1"/>
      <c r="P2584" s="1"/>
      <c r="Q2584" s="1"/>
      <c r="R2584" s="1"/>
      <c r="S2584" s="1"/>
      <c r="T2584" s="1"/>
      <c r="U2584" s="1"/>
      <c r="V2584" s="1"/>
      <c r="W2584" s="1"/>
      <c r="X2584" s="1"/>
      <c r="Y2584" s="1"/>
      <c r="Z2584" s="1"/>
      <c r="AA2584" s="1"/>
      <c r="AB2584" s="1"/>
      <c r="AC2584" s="1"/>
      <c r="AD2584" s="1"/>
      <c r="AE2584" s="1"/>
      <c r="AF2584" s="1"/>
    </row>
    <row r="2585" spans="7:32" x14ac:dyDescent="0.2">
      <c r="G2585" s="2"/>
      <c r="H2585" s="1"/>
      <c r="I2585" s="1"/>
      <c r="J2585" s="1"/>
      <c r="K2585" s="1"/>
      <c r="L2585" s="1"/>
      <c r="M2585" s="1"/>
      <c r="N2585" s="1"/>
      <c r="O2585" s="1"/>
      <c r="P2585" s="1"/>
      <c r="Q2585" s="1"/>
      <c r="R2585" s="1"/>
      <c r="S2585" s="1"/>
      <c r="T2585" s="1"/>
      <c r="U2585" s="1"/>
      <c r="V2585" s="1"/>
      <c r="W2585" s="1"/>
      <c r="X2585" s="1"/>
      <c r="Y2585" s="1"/>
      <c r="Z2585" s="1"/>
      <c r="AA2585" s="1"/>
      <c r="AB2585" s="1"/>
      <c r="AC2585" s="1"/>
      <c r="AD2585" s="1"/>
      <c r="AE2585" s="1"/>
      <c r="AF2585" s="1"/>
    </row>
    <row r="2586" spans="7:32" x14ac:dyDescent="0.2">
      <c r="G2586" s="2"/>
      <c r="H2586" s="1"/>
      <c r="I2586" s="1"/>
      <c r="J2586" s="1"/>
      <c r="K2586" s="1"/>
      <c r="L2586" s="1"/>
      <c r="M2586" s="1"/>
      <c r="N2586" s="1"/>
      <c r="O2586" s="1"/>
      <c r="P2586" s="1"/>
      <c r="Q2586" s="1"/>
      <c r="R2586" s="1"/>
      <c r="S2586" s="1"/>
      <c r="T2586" s="1"/>
      <c r="U2586" s="1"/>
      <c r="V2586" s="1"/>
      <c r="W2586" s="1"/>
      <c r="X2586" s="1"/>
      <c r="Y2586" s="1"/>
      <c r="Z2586" s="1"/>
      <c r="AA2586" s="1"/>
      <c r="AB2586" s="1"/>
      <c r="AC2586" s="1"/>
      <c r="AD2586" s="1"/>
      <c r="AE2586" s="1"/>
      <c r="AF2586" s="1"/>
    </row>
    <row r="2587" spans="7:32" x14ac:dyDescent="0.2">
      <c r="G2587" s="2"/>
      <c r="H2587" s="1"/>
      <c r="I2587" s="1"/>
      <c r="J2587" s="1"/>
      <c r="K2587" s="1"/>
      <c r="L2587" s="1"/>
      <c r="M2587" s="1"/>
      <c r="N2587" s="1"/>
      <c r="O2587" s="1"/>
      <c r="P2587" s="1"/>
      <c r="Q2587" s="1"/>
      <c r="R2587" s="1"/>
      <c r="S2587" s="1"/>
      <c r="T2587" s="1"/>
      <c r="U2587" s="1"/>
      <c r="V2587" s="1"/>
      <c r="W2587" s="1"/>
      <c r="X2587" s="1"/>
      <c r="Y2587" s="1"/>
      <c r="Z2587" s="1"/>
      <c r="AA2587" s="1"/>
      <c r="AB2587" s="1"/>
      <c r="AC2587" s="1"/>
      <c r="AD2587" s="1"/>
      <c r="AE2587" s="1"/>
      <c r="AF2587" s="1"/>
    </row>
    <row r="2588" spans="7:32" x14ac:dyDescent="0.2">
      <c r="G2588" s="2"/>
      <c r="H2588" s="1"/>
      <c r="I2588" s="1"/>
      <c r="J2588" s="1"/>
      <c r="K2588" s="1"/>
      <c r="L2588" s="1"/>
      <c r="M2588" s="1"/>
      <c r="N2588" s="1"/>
      <c r="O2588" s="1"/>
      <c r="P2588" s="1"/>
      <c r="Q2588" s="1"/>
      <c r="R2588" s="1"/>
      <c r="S2588" s="1"/>
      <c r="T2588" s="1"/>
      <c r="U2588" s="1"/>
      <c r="V2588" s="1"/>
      <c r="W2588" s="1"/>
      <c r="X2588" s="1"/>
      <c r="Y2588" s="1"/>
      <c r="Z2588" s="1"/>
      <c r="AA2588" s="1"/>
      <c r="AB2588" s="1"/>
      <c r="AC2588" s="1"/>
      <c r="AD2588" s="1"/>
      <c r="AE2588" s="1"/>
      <c r="AF2588" s="1"/>
    </row>
    <row r="2589" spans="7:32" x14ac:dyDescent="0.2">
      <c r="G2589" s="2"/>
      <c r="H2589" s="1"/>
      <c r="I2589" s="1"/>
      <c r="J2589" s="1"/>
      <c r="K2589" s="1"/>
      <c r="L2589" s="1"/>
      <c r="M2589" s="1"/>
      <c r="N2589" s="1"/>
      <c r="O2589" s="1"/>
      <c r="P2589" s="1"/>
      <c r="Q2589" s="1"/>
      <c r="R2589" s="1"/>
      <c r="S2589" s="1"/>
      <c r="T2589" s="1"/>
      <c r="U2589" s="1"/>
      <c r="V2589" s="1"/>
      <c r="W2589" s="1"/>
      <c r="X2589" s="1"/>
      <c r="Y2589" s="1"/>
      <c r="Z2589" s="1"/>
      <c r="AA2589" s="1"/>
      <c r="AB2589" s="1"/>
      <c r="AC2589" s="1"/>
      <c r="AD2589" s="1"/>
      <c r="AE2589" s="1"/>
      <c r="AF2589" s="1"/>
    </row>
    <row r="2590" spans="7:32" x14ac:dyDescent="0.2">
      <c r="G2590" s="2"/>
      <c r="H2590" s="1"/>
      <c r="I2590" s="1"/>
      <c r="J2590" s="1"/>
      <c r="K2590" s="1"/>
      <c r="L2590" s="1"/>
      <c r="M2590" s="1"/>
      <c r="N2590" s="1"/>
      <c r="O2590" s="1"/>
      <c r="P2590" s="1"/>
      <c r="Q2590" s="1"/>
      <c r="R2590" s="1"/>
      <c r="S2590" s="1"/>
      <c r="T2590" s="1"/>
      <c r="U2590" s="1"/>
      <c r="V2590" s="1"/>
      <c r="W2590" s="1"/>
      <c r="X2590" s="1"/>
      <c r="Y2590" s="1"/>
      <c r="Z2590" s="1"/>
      <c r="AA2590" s="1"/>
      <c r="AB2590" s="1"/>
      <c r="AC2590" s="1"/>
      <c r="AD2590" s="1"/>
      <c r="AE2590" s="1"/>
      <c r="AF2590" s="1"/>
    </row>
    <row r="2591" spans="7:32" x14ac:dyDescent="0.2">
      <c r="G2591" s="2"/>
      <c r="H2591" s="1"/>
      <c r="I2591" s="1"/>
      <c r="J2591" s="1"/>
      <c r="K2591" s="1"/>
      <c r="L2591" s="1"/>
      <c r="M2591" s="1"/>
      <c r="N2591" s="1"/>
      <c r="O2591" s="1"/>
      <c r="P2591" s="1"/>
      <c r="Q2591" s="1"/>
      <c r="R2591" s="1"/>
      <c r="S2591" s="1"/>
      <c r="T2591" s="1"/>
      <c r="U2591" s="1"/>
      <c r="V2591" s="1"/>
      <c r="W2591" s="1"/>
      <c r="X2591" s="1"/>
      <c r="Y2591" s="1"/>
      <c r="Z2591" s="1"/>
      <c r="AA2591" s="1"/>
      <c r="AB2591" s="1"/>
      <c r="AC2591" s="1"/>
      <c r="AD2591" s="1"/>
      <c r="AE2591" s="1"/>
      <c r="AF2591" s="1"/>
    </row>
    <row r="2592" spans="7:32" x14ac:dyDescent="0.2">
      <c r="G2592" s="2"/>
      <c r="H2592" s="1"/>
      <c r="I2592" s="1"/>
      <c r="J2592" s="1"/>
      <c r="K2592" s="1"/>
      <c r="L2592" s="1"/>
      <c r="M2592" s="1"/>
      <c r="N2592" s="1"/>
      <c r="O2592" s="1"/>
      <c r="P2592" s="1"/>
      <c r="Q2592" s="1"/>
      <c r="R2592" s="1"/>
      <c r="S2592" s="1"/>
      <c r="T2592" s="1"/>
      <c r="U2592" s="1"/>
      <c r="V2592" s="1"/>
      <c r="W2592" s="1"/>
      <c r="X2592" s="1"/>
      <c r="Y2592" s="1"/>
      <c r="Z2592" s="1"/>
      <c r="AA2592" s="1"/>
      <c r="AB2592" s="1"/>
      <c r="AC2592" s="1"/>
      <c r="AD2592" s="1"/>
      <c r="AE2592" s="1"/>
      <c r="AF2592" s="1"/>
    </row>
    <row r="2593" spans="7:32" x14ac:dyDescent="0.2">
      <c r="G2593" s="2"/>
      <c r="H2593" s="1"/>
      <c r="I2593" s="1"/>
      <c r="J2593" s="1"/>
      <c r="K2593" s="1"/>
      <c r="L2593" s="1"/>
      <c r="M2593" s="1"/>
      <c r="N2593" s="1"/>
      <c r="O2593" s="1"/>
      <c r="P2593" s="1"/>
      <c r="Q2593" s="1"/>
      <c r="R2593" s="1"/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</row>
    <row r="2594" spans="7:32" x14ac:dyDescent="0.2">
      <c r="G2594" s="2"/>
      <c r="H2594" s="1"/>
      <c r="I2594" s="1"/>
      <c r="J2594" s="1"/>
      <c r="K2594" s="1"/>
      <c r="L2594" s="1"/>
      <c r="M2594" s="1"/>
      <c r="N2594" s="1"/>
      <c r="O2594" s="1"/>
      <c r="P2594" s="1"/>
      <c r="Q2594" s="1"/>
      <c r="R2594" s="1"/>
      <c r="S2594" s="1"/>
      <c r="T2594" s="1"/>
      <c r="U2594" s="1"/>
      <c r="V2594" s="1"/>
      <c r="W2594" s="1"/>
      <c r="X2594" s="1"/>
      <c r="Y2594" s="1"/>
      <c r="Z2594" s="1"/>
      <c r="AA2594" s="1"/>
      <c r="AB2594" s="1"/>
      <c r="AC2594" s="1"/>
      <c r="AD2594" s="1"/>
      <c r="AE2594" s="1"/>
      <c r="AF2594" s="1"/>
    </row>
    <row r="2595" spans="7:32" x14ac:dyDescent="0.2">
      <c r="G2595" s="2"/>
      <c r="H2595" s="1"/>
      <c r="I2595" s="1"/>
      <c r="J2595" s="1"/>
      <c r="K2595" s="1"/>
      <c r="L2595" s="1"/>
      <c r="M2595" s="1"/>
      <c r="N2595" s="1"/>
      <c r="O2595" s="1"/>
      <c r="P2595" s="1"/>
      <c r="Q2595" s="1"/>
      <c r="R2595" s="1"/>
      <c r="S2595" s="1"/>
      <c r="T2595" s="1"/>
      <c r="U2595" s="1"/>
      <c r="V2595" s="1"/>
      <c r="W2595" s="1"/>
      <c r="X2595" s="1"/>
      <c r="Y2595" s="1"/>
      <c r="Z2595" s="1"/>
      <c r="AA2595" s="1"/>
      <c r="AB2595" s="1"/>
      <c r="AC2595" s="1"/>
      <c r="AD2595" s="1"/>
      <c r="AE2595" s="1"/>
      <c r="AF2595" s="1"/>
    </row>
    <row r="2596" spans="7:32" x14ac:dyDescent="0.2">
      <c r="G2596" s="2"/>
      <c r="H2596" s="1"/>
      <c r="I2596" s="1"/>
      <c r="J2596" s="1"/>
      <c r="K2596" s="1"/>
      <c r="L2596" s="1"/>
      <c r="M2596" s="1"/>
      <c r="N2596" s="1"/>
      <c r="O2596" s="1"/>
      <c r="P2596" s="1"/>
      <c r="Q2596" s="1"/>
      <c r="R2596" s="1"/>
      <c r="S2596" s="1"/>
      <c r="T2596" s="1"/>
      <c r="U2596" s="1"/>
      <c r="V2596" s="1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</row>
    <row r="2597" spans="7:32" x14ac:dyDescent="0.2">
      <c r="G2597" s="2"/>
      <c r="H2597" s="1"/>
      <c r="I2597" s="1"/>
      <c r="J2597" s="1"/>
      <c r="K2597" s="1"/>
      <c r="L2597" s="1"/>
      <c r="M2597" s="1"/>
      <c r="N2597" s="1"/>
      <c r="O2597" s="1"/>
      <c r="P2597" s="1"/>
      <c r="Q2597" s="1"/>
      <c r="R2597" s="1"/>
      <c r="S2597" s="1"/>
      <c r="T2597" s="1"/>
      <c r="U2597" s="1"/>
      <c r="V2597" s="1"/>
      <c r="W2597" s="1"/>
      <c r="X2597" s="1"/>
      <c r="Y2597" s="1"/>
      <c r="Z2597" s="1"/>
      <c r="AA2597" s="1"/>
      <c r="AB2597" s="1"/>
      <c r="AC2597" s="1"/>
      <c r="AD2597" s="1"/>
      <c r="AE2597" s="1"/>
      <c r="AF2597" s="1"/>
    </row>
    <row r="2598" spans="7:32" x14ac:dyDescent="0.2">
      <c r="G2598" s="2"/>
      <c r="H2598" s="1"/>
      <c r="I2598" s="1"/>
      <c r="J2598" s="1"/>
      <c r="K2598" s="1"/>
      <c r="L2598" s="1"/>
      <c r="M2598" s="1"/>
      <c r="N2598" s="1"/>
      <c r="O2598" s="1"/>
      <c r="P2598" s="1"/>
      <c r="Q2598" s="1"/>
      <c r="R2598" s="1"/>
      <c r="S2598" s="1"/>
      <c r="T2598" s="1"/>
      <c r="U2598" s="1"/>
      <c r="V2598" s="1"/>
      <c r="W2598" s="1"/>
      <c r="X2598" s="1"/>
      <c r="Y2598" s="1"/>
      <c r="Z2598" s="1"/>
      <c r="AA2598" s="1"/>
      <c r="AB2598" s="1"/>
      <c r="AC2598" s="1"/>
      <c r="AD2598" s="1"/>
      <c r="AE2598" s="1"/>
      <c r="AF2598" s="1"/>
    </row>
    <row r="2599" spans="7:32" x14ac:dyDescent="0.2">
      <c r="G2599" s="2"/>
      <c r="H2599" s="1"/>
      <c r="I2599" s="1"/>
      <c r="J2599" s="1"/>
      <c r="K2599" s="1"/>
      <c r="L2599" s="1"/>
      <c r="M2599" s="1"/>
      <c r="N2599" s="1"/>
      <c r="O2599" s="1"/>
      <c r="P2599" s="1"/>
      <c r="Q2599" s="1"/>
      <c r="R2599" s="1"/>
      <c r="S2599" s="1"/>
      <c r="T2599" s="1"/>
      <c r="U2599" s="1"/>
      <c r="V2599" s="1"/>
      <c r="W2599" s="1"/>
      <c r="X2599" s="1"/>
      <c r="Y2599" s="1"/>
      <c r="Z2599" s="1"/>
      <c r="AA2599" s="1"/>
      <c r="AB2599" s="1"/>
      <c r="AC2599" s="1"/>
      <c r="AD2599" s="1"/>
      <c r="AE2599" s="1"/>
      <c r="AF2599" s="1"/>
    </row>
    <row r="2600" spans="7:32" x14ac:dyDescent="0.2">
      <c r="G2600" s="2"/>
      <c r="H2600" s="1"/>
      <c r="I2600" s="1"/>
      <c r="J2600" s="1"/>
      <c r="K2600" s="1"/>
      <c r="L2600" s="1"/>
      <c r="M2600" s="1"/>
      <c r="N2600" s="1"/>
      <c r="O2600" s="1"/>
      <c r="P2600" s="1"/>
      <c r="Q2600" s="1"/>
      <c r="R2600" s="1"/>
      <c r="S2600" s="1"/>
      <c r="T2600" s="1"/>
      <c r="U2600" s="1"/>
      <c r="V2600" s="1"/>
      <c r="W2600" s="1"/>
      <c r="X2600" s="1"/>
      <c r="Y2600" s="1"/>
      <c r="Z2600" s="1"/>
      <c r="AA2600" s="1"/>
      <c r="AB2600" s="1"/>
      <c r="AC2600" s="1"/>
      <c r="AD2600" s="1"/>
      <c r="AE2600" s="1"/>
      <c r="AF2600" s="1"/>
    </row>
    <row r="2601" spans="7:32" x14ac:dyDescent="0.2">
      <c r="G2601" s="2"/>
      <c r="H2601" s="1"/>
      <c r="I2601" s="1"/>
      <c r="J2601" s="1"/>
      <c r="K2601" s="1"/>
      <c r="L2601" s="1"/>
      <c r="M2601" s="1"/>
      <c r="N2601" s="1"/>
      <c r="O2601" s="1"/>
      <c r="P2601" s="1"/>
      <c r="Q2601" s="1"/>
      <c r="R2601" s="1"/>
      <c r="S2601" s="1"/>
      <c r="T2601" s="1"/>
      <c r="U2601" s="1"/>
      <c r="V2601" s="1"/>
      <c r="W2601" s="1"/>
      <c r="X2601" s="1"/>
      <c r="Y2601" s="1"/>
      <c r="Z2601" s="1"/>
      <c r="AA2601" s="1"/>
      <c r="AB2601" s="1"/>
      <c r="AC2601" s="1"/>
      <c r="AD2601" s="1"/>
      <c r="AE2601" s="1"/>
      <c r="AF2601" s="1"/>
    </row>
    <row r="2602" spans="7:32" x14ac:dyDescent="0.2">
      <c r="G2602" s="2"/>
      <c r="H2602" s="1"/>
      <c r="I2602" s="1"/>
      <c r="J2602" s="1"/>
      <c r="K2602" s="1"/>
      <c r="L2602" s="1"/>
      <c r="M2602" s="1"/>
      <c r="N2602" s="1"/>
      <c r="O2602" s="1"/>
      <c r="P2602" s="1"/>
      <c r="Q2602" s="1"/>
      <c r="R2602" s="1"/>
      <c r="S2602" s="1"/>
      <c r="T2602" s="1"/>
      <c r="U2602" s="1"/>
      <c r="V2602" s="1"/>
      <c r="W2602" s="1"/>
      <c r="X2602" s="1"/>
      <c r="Y2602" s="1"/>
      <c r="Z2602" s="1"/>
      <c r="AA2602" s="1"/>
      <c r="AB2602" s="1"/>
      <c r="AC2602" s="1"/>
      <c r="AD2602" s="1"/>
      <c r="AE2602" s="1"/>
      <c r="AF2602" s="1"/>
    </row>
    <row r="2603" spans="7:32" x14ac:dyDescent="0.2">
      <c r="G2603" s="2"/>
      <c r="H2603" s="1"/>
      <c r="I2603" s="1"/>
      <c r="J2603" s="1"/>
      <c r="K2603" s="1"/>
      <c r="L2603" s="1"/>
      <c r="M2603" s="1"/>
      <c r="N2603" s="1"/>
      <c r="O2603" s="1"/>
      <c r="P2603" s="1"/>
      <c r="Q2603" s="1"/>
      <c r="R2603" s="1"/>
      <c r="S2603" s="1"/>
      <c r="T2603" s="1"/>
      <c r="U2603" s="1"/>
      <c r="V2603" s="1"/>
      <c r="W2603" s="1"/>
      <c r="X2603" s="1"/>
      <c r="Y2603" s="1"/>
      <c r="Z2603" s="1"/>
      <c r="AA2603" s="1"/>
      <c r="AB2603" s="1"/>
      <c r="AC2603" s="1"/>
      <c r="AD2603" s="1"/>
      <c r="AE2603" s="1"/>
      <c r="AF2603" s="1"/>
    </row>
    <row r="2604" spans="7:32" x14ac:dyDescent="0.2">
      <c r="G2604" s="2"/>
      <c r="H2604" s="1"/>
      <c r="I2604" s="1"/>
      <c r="J2604" s="1"/>
      <c r="K2604" s="1"/>
      <c r="L2604" s="1"/>
      <c r="M2604" s="1"/>
      <c r="N2604" s="1"/>
      <c r="O2604" s="1"/>
      <c r="P2604" s="1"/>
      <c r="Q2604" s="1"/>
      <c r="R2604" s="1"/>
      <c r="S2604" s="1"/>
      <c r="T2604" s="1"/>
      <c r="U2604" s="1"/>
      <c r="V2604" s="1"/>
      <c r="W2604" s="1"/>
      <c r="X2604" s="1"/>
      <c r="Y2604" s="1"/>
      <c r="Z2604" s="1"/>
      <c r="AA2604" s="1"/>
      <c r="AB2604" s="1"/>
      <c r="AC2604" s="1"/>
      <c r="AD2604" s="1"/>
      <c r="AE2604" s="1"/>
      <c r="AF2604" s="1"/>
    </row>
    <row r="2605" spans="7:32" x14ac:dyDescent="0.2">
      <c r="G2605" s="2"/>
      <c r="H2605" s="1"/>
      <c r="I2605" s="1"/>
      <c r="J2605" s="1"/>
      <c r="K2605" s="1"/>
      <c r="L2605" s="1"/>
      <c r="M2605" s="1"/>
      <c r="N2605" s="1"/>
      <c r="O2605" s="1"/>
      <c r="P2605" s="1"/>
      <c r="Q2605" s="1"/>
      <c r="R2605" s="1"/>
      <c r="S2605" s="1"/>
      <c r="T2605" s="1"/>
      <c r="U2605" s="1"/>
      <c r="V2605" s="1"/>
      <c r="W2605" s="1"/>
      <c r="X2605" s="1"/>
      <c r="Y2605" s="1"/>
      <c r="Z2605" s="1"/>
      <c r="AA2605" s="1"/>
      <c r="AB2605" s="1"/>
      <c r="AC2605" s="1"/>
      <c r="AD2605" s="1"/>
      <c r="AE2605" s="1"/>
      <c r="AF2605" s="1"/>
    </row>
    <row r="2606" spans="7:32" x14ac:dyDescent="0.2">
      <c r="G2606" s="2"/>
      <c r="H2606" s="1"/>
      <c r="I2606" s="1"/>
      <c r="J2606" s="1"/>
      <c r="K2606" s="1"/>
      <c r="L2606" s="1"/>
      <c r="M2606" s="1"/>
      <c r="N2606" s="1"/>
      <c r="O2606" s="1"/>
      <c r="P2606" s="1"/>
      <c r="Q2606" s="1"/>
      <c r="R2606" s="1"/>
      <c r="S2606" s="1"/>
      <c r="T2606" s="1"/>
      <c r="U2606" s="1"/>
      <c r="V2606" s="1"/>
      <c r="W2606" s="1"/>
      <c r="X2606" s="1"/>
      <c r="Y2606" s="1"/>
      <c r="Z2606" s="1"/>
      <c r="AA2606" s="1"/>
      <c r="AB2606" s="1"/>
      <c r="AC2606" s="1"/>
      <c r="AD2606" s="1"/>
      <c r="AE2606" s="1"/>
      <c r="AF2606" s="1"/>
    </row>
    <row r="2607" spans="7:32" x14ac:dyDescent="0.2">
      <c r="G2607" s="2"/>
      <c r="H2607" s="1"/>
      <c r="I2607" s="1"/>
      <c r="J2607" s="1"/>
      <c r="K2607" s="1"/>
      <c r="L2607" s="1"/>
      <c r="M2607" s="1"/>
      <c r="N2607" s="1"/>
      <c r="O2607" s="1"/>
      <c r="P2607" s="1"/>
      <c r="Q2607" s="1"/>
      <c r="R2607" s="1"/>
      <c r="S2607" s="1"/>
      <c r="T2607" s="1"/>
      <c r="U2607" s="1"/>
      <c r="V2607" s="1"/>
      <c r="W2607" s="1"/>
      <c r="X2607" s="1"/>
      <c r="Y2607" s="1"/>
      <c r="Z2607" s="1"/>
      <c r="AA2607" s="1"/>
      <c r="AB2607" s="1"/>
      <c r="AC2607" s="1"/>
      <c r="AD2607" s="1"/>
      <c r="AE2607" s="1"/>
      <c r="AF2607" s="1"/>
    </row>
    <row r="2608" spans="7:32" x14ac:dyDescent="0.2">
      <c r="G2608" s="2"/>
      <c r="H2608" s="1"/>
      <c r="I2608" s="1"/>
      <c r="J2608" s="1"/>
      <c r="K2608" s="1"/>
      <c r="L2608" s="1"/>
      <c r="M2608" s="1"/>
      <c r="N2608" s="1"/>
      <c r="O2608" s="1"/>
      <c r="P2608" s="1"/>
      <c r="Q2608" s="1"/>
      <c r="R2608" s="1"/>
      <c r="S2608" s="1"/>
      <c r="T2608" s="1"/>
      <c r="U2608" s="1"/>
      <c r="V2608" s="1"/>
      <c r="W2608" s="1"/>
      <c r="X2608" s="1"/>
      <c r="Y2608" s="1"/>
      <c r="Z2608" s="1"/>
      <c r="AA2608" s="1"/>
      <c r="AB2608" s="1"/>
      <c r="AC2608" s="1"/>
      <c r="AD2608" s="1"/>
      <c r="AE2608" s="1"/>
      <c r="AF2608" s="1"/>
    </row>
    <row r="2609" spans="7:32" x14ac:dyDescent="0.2">
      <c r="G2609" s="2"/>
      <c r="H2609" s="1"/>
      <c r="I2609" s="1"/>
      <c r="J2609" s="1"/>
      <c r="K2609" s="1"/>
      <c r="L2609" s="1"/>
      <c r="M2609" s="1"/>
      <c r="N2609" s="1"/>
      <c r="O2609" s="1"/>
      <c r="P2609" s="1"/>
      <c r="Q2609" s="1"/>
      <c r="R2609" s="1"/>
      <c r="S2609" s="1"/>
      <c r="T2609" s="1"/>
      <c r="U2609" s="1"/>
      <c r="V2609" s="1"/>
      <c r="W2609" s="1"/>
      <c r="X2609" s="1"/>
      <c r="Y2609" s="1"/>
      <c r="Z2609" s="1"/>
      <c r="AA2609" s="1"/>
      <c r="AB2609" s="1"/>
      <c r="AC2609" s="1"/>
      <c r="AD2609" s="1"/>
      <c r="AE2609" s="1"/>
      <c r="AF2609" s="1"/>
    </row>
    <row r="2610" spans="7:32" x14ac:dyDescent="0.2">
      <c r="G2610" s="2"/>
      <c r="H2610" s="1"/>
      <c r="I2610" s="1"/>
      <c r="J2610" s="1"/>
      <c r="K2610" s="1"/>
      <c r="L2610" s="1"/>
      <c r="M2610" s="1"/>
      <c r="N2610" s="1"/>
      <c r="O2610" s="1"/>
      <c r="P2610" s="1"/>
      <c r="Q2610" s="1"/>
      <c r="R2610" s="1"/>
      <c r="S2610" s="1"/>
      <c r="T2610" s="1"/>
      <c r="U2610" s="1"/>
      <c r="V2610" s="1"/>
      <c r="W2610" s="1"/>
      <c r="X2610" s="1"/>
      <c r="Y2610" s="1"/>
      <c r="Z2610" s="1"/>
      <c r="AA2610" s="1"/>
      <c r="AB2610" s="1"/>
      <c r="AC2610" s="1"/>
      <c r="AD2610" s="1"/>
      <c r="AE2610" s="1"/>
      <c r="AF2610" s="1"/>
    </row>
    <row r="2611" spans="7:32" x14ac:dyDescent="0.2">
      <c r="G2611" s="2"/>
      <c r="H2611" s="1"/>
      <c r="I2611" s="1"/>
      <c r="J2611" s="1"/>
      <c r="K2611" s="1"/>
      <c r="L2611" s="1"/>
      <c r="M2611" s="1"/>
      <c r="N2611" s="1"/>
      <c r="O2611" s="1"/>
      <c r="P2611" s="1"/>
      <c r="Q2611" s="1"/>
      <c r="R2611" s="1"/>
      <c r="S2611" s="1"/>
      <c r="T2611" s="1"/>
      <c r="U2611" s="1"/>
      <c r="V2611" s="1"/>
      <c r="W2611" s="1"/>
      <c r="X2611" s="1"/>
      <c r="Y2611" s="1"/>
      <c r="Z2611" s="1"/>
      <c r="AA2611" s="1"/>
      <c r="AB2611" s="1"/>
      <c r="AC2611" s="1"/>
      <c r="AD2611" s="1"/>
      <c r="AE2611" s="1"/>
      <c r="AF2611" s="1"/>
    </row>
    <row r="2612" spans="7:32" x14ac:dyDescent="0.2">
      <c r="G2612" s="2"/>
      <c r="H2612" s="1"/>
      <c r="I2612" s="1"/>
      <c r="J2612" s="1"/>
      <c r="K2612" s="1"/>
      <c r="L2612" s="1"/>
      <c r="M2612" s="1"/>
      <c r="N2612" s="1"/>
      <c r="O2612" s="1"/>
      <c r="P2612" s="1"/>
      <c r="Q2612" s="1"/>
      <c r="R2612" s="1"/>
      <c r="S2612" s="1"/>
      <c r="T2612" s="1"/>
      <c r="U2612" s="1"/>
      <c r="V2612" s="1"/>
      <c r="W2612" s="1"/>
      <c r="X2612" s="1"/>
      <c r="Y2612" s="1"/>
      <c r="Z2612" s="1"/>
      <c r="AA2612" s="1"/>
      <c r="AB2612" s="1"/>
      <c r="AC2612" s="1"/>
      <c r="AD2612" s="1"/>
      <c r="AE2612" s="1"/>
      <c r="AF2612" s="1"/>
    </row>
    <row r="2613" spans="7:32" x14ac:dyDescent="0.2">
      <c r="G2613" s="2"/>
      <c r="H2613" s="1"/>
      <c r="I2613" s="1"/>
      <c r="J2613" s="1"/>
      <c r="K2613" s="1"/>
      <c r="L2613" s="1"/>
      <c r="M2613" s="1"/>
      <c r="N2613" s="1"/>
      <c r="O2613" s="1"/>
      <c r="P2613" s="1"/>
      <c r="Q2613" s="1"/>
      <c r="R2613" s="1"/>
      <c r="S2613" s="1"/>
      <c r="T2613" s="1"/>
      <c r="U2613" s="1"/>
      <c r="V2613" s="1"/>
      <c r="W2613" s="1"/>
      <c r="X2613" s="1"/>
      <c r="Y2613" s="1"/>
      <c r="Z2613" s="1"/>
      <c r="AA2613" s="1"/>
      <c r="AB2613" s="1"/>
      <c r="AC2613" s="1"/>
      <c r="AD2613" s="1"/>
      <c r="AE2613" s="1"/>
      <c r="AF2613" s="1"/>
    </row>
    <row r="2614" spans="7:32" x14ac:dyDescent="0.2">
      <c r="G2614" s="2"/>
      <c r="H2614" s="1"/>
      <c r="I2614" s="1"/>
      <c r="J2614" s="1"/>
      <c r="K2614" s="1"/>
      <c r="L2614" s="1"/>
      <c r="M2614" s="1"/>
      <c r="N2614" s="1"/>
      <c r="O2614" s="1"/>
      <c r="P2614" s="1"/>
      <c r="Q2614" s="1"/>
      <c r="R2614" s="1"/>
      <c r="S2614" s="1"/>
      <c r="T2614" s="1"/>
      <c r="U2614" s="1"/>
      <c r="V2614" s="1"/>
      <c r="W2614" s="1"/>
      <c r="X2614" s="1"/>
      <c r="Y2614" s="1"/>
      <c r="Z2614" s="1"/>
      <c r="AA2614" s="1"/>
      <c r="AB2614" s="1"/>
      <c r="AC2614" s="1"/>
      <c r="AD2614" s="1"/>
      <c r="AE2614" s="1"/>
      <c r="AF2614" s="1"/>
    </row>
    <row r="2615" spans="7:32" x14ac:dyDescent="0.2">
      <c r="G2615" s="2"/>
      <c r="H2615" s="1"/>
      <c r="I2615" s="1"/>
      <c r="J2615" s="1"/>
      <c r="K2615" s="1"/>
      <c r="L2615" s="1"/>
      <c r="M2615" s="1"/>
      <c r="N2615" s="1"/>
      <c r="O2615" s="1"/>
      <c r="P2615" s="1"/>
      <c r="Q2615" s="1"/>
      <c r="R2615" s="1"/>
      <c r="S2615" s="1"/>
      <c r="T2615" s="1"/>
      <c r="U2615" s="1"/>
      <c r="V2615" s="1"/>
      <c r="W2615" s="1"/>
      <c r="X2615" s="1"/>
      <c r="Y2615" s="1"/>
      <c r="Z2615" s="1"/>
      <c r="AA2615" s="1"/>
      <c r="AB2615" s="1"/>
      <c r="AC2615" s="1"/>
      <c r="AD2615" s="1"/>
      <c r="AE2615" s="1"/>
      <c r="AF2615" s="1"/>
    </row>
    <row r="2616" spans="7:32" x14ac:dyDescent="0.2">
      <c r="G2616" s="2"/>
      <c r="H2616" s="1"/>
      <c r="I2616" s="1"/>
      <c r="J2616" s="1"/>
      <c r="K2616" s="1"/>
      <c r="L2616" s="1"/>
      <c r="M2616" s="1"/>
      <c r="N2616" s="1"/>
      <c r="O2616" s="1"/>
      <c r="P2616" s="1"/>
      <c r="Q2616" s="1"/>
      <c r="R2616" s="1"/>
      <c r="S2616" s="1"/>
      <c r="T2616" s="1"/>
      <c r="U2616" s="1"/>
      <c r="V2616" s="1"/>
      <c r="W2616" s="1"/>
      <c r="X2616" s="1"/>
      <c r="Y2616" s="1"/>
      <c r="Z2616" s="1"/>
      <c r="AA2616" s="1"/>
      <c r="AB2616" s="1"/>
      <c r="AC2616" s="1"/>
      <c r="AD2616" s="1"/>
      <c r="AE2616" s="1"/>
      <c r="AF2616" s="1"/>
    </row>
    <row r="2617" spans="7:32" x14ac:dyDescent="0.2">
      <c r="G2617" s="2"/>
      <c r="H2617" s="1"/>
      <c r="I2617" s="1"/>
      <c r="J2617" s="1"/>
      <c r="K2617" s="1"/>
      <c r="L2617" s="1"/>
      <c r="M2617" s="1"/>
      <c r="N2617" s="1"/>
      <c r="O2617" s="1"/>
      <c r="P2617" s="1"/>
      <c r="Q2617" s="1"/>
      <c r="R2617" s="1"/>
      <c r="S2617" s="1"/>
      <c r="T2617" s="1"/>
      <c r="U2617" s="1"/>
      <c r="V2617" s="1"/>
      <c r="W2617" s="1"/>
      <c r="X2617" s="1"/>
      <c r="Y2617" s="1"/>
      <c r="Z2617" s="1"/>
      <c r="AA2617" s="1"/>
      <c r="AB2617" s="1"/>
      <c r="AC2617" s="1"/>
      <c r="AD2617" s="1"/>
      <c r="AE2617" s="1"/>
      <c r="AF2617" s="1"/>
    </row>
    <row r="2618" spans="7:32" x14ac:dyDescent="0.2">
      <c r="G2618" s="2"/>
      <c r="H2618" s="1"/>
      <c r="I2618" s="1"/>
      <c r="J2618" s="1"/>
      <c r="K2618" s="1"/>
      <c r="L2618" s="1"/>
      <c r="M2618" s="1"/>
      <c r="N2618" s="1"/>
      <c r="O2618" s="1"/>
      <c r="P2618" s="1"/>
      <c r="Q2618" s="1"/>
      <c r="R2618" s="1"/>
      <c r="S2618" s="1"/>
      <c r="T2618" s="1"/>
      <c r="U2618" s="1"/>
      <c r="V2618" s="1"/>
      <c r="W2618" s="1"/>
      <c r="X2618" s="1"/>
      <c r="Y2618" s="1"/>
      <c r="Z2618" s="1"/>
      <c r="AA2618" s="1"/>
      <c r="AB2618" s="1"/>
      <c r="AC2618" s="1"/>
      <c r="AD2618" s="1"/>
      <c r="AE2618" s="1"/>
      <c r="AF2618" s="1"/>
    </row>
    <row r="2619" spans="7:32" x14ac:dyDescent="0.2">
      <c r="G2619" s="2"/>
      <c r="H2619" s="1"/>
      <c r="I2619" s="1"/>
      <c r="J2619" s="1"/>
      <c r="K2619" s="1"/>
      <c r="L2619" s="1"/>
      <c r="M2619" s="1"/>
      <c r="N2619" s="1"/>
      <c r="O2619" s="1"/>
      <c r="P2619" s="1"/>
      <c r="Q2619" s="1"/>
      <c r="R2619" s="1"/>
      <c r="S2619" s="1"/>
      <c r="T2619" s="1"/>
      <c r="U2619" s="1"/>
      <c r="V2619" s="1"/>
      <c r="W2619" s="1"/>
      <c r="X2619" s="1"/>
      <c r="Y2619" s="1"/>
      <c r="Z2619" s="1"/>
      <c r="AA2619" s="1"/>
      <c r="AB2619" s="1"/>
      <c r="AC2619" s="1"/>
      <c r="AD2619" s="1"/>
      <c r="AE2619" s="1"/>
      <c r="AF2619" s="1"/>
    </row>
    <row r="2620" spans="7:32" x14ac:dyDescent="0.2">
      <c r="G2620" s="2"/>
      <c r="H2620" s="1"/>
      <c r="I2620" s="1"/>
      <c r="J2620" s="1"/>
      <c r="K2620" s="1"/>
      <c r="L2620" s="1"/>
      <c r="M2620" s="1"/>
      <c r="N2620" s="1"/>
      <c r="O2620" s="1"/>
      <c r="P2620" s="1"/>
      <c r="Q2620" s="1"/>
      <c r="R2620" s="1"/>
      <c r="S2620" s="1"/>
      <c r="T2620" s="1"/>
      <c r="U2620" s="1"/>
      <c r="V2620" s="1"/>
      <c r="W2620" s="1"/>
      <c r="X2620" s="1"/>
      <c r="Y2620" s="1"/>
      <c r="Z2620" s="1"/>
      <c r="AA2620" s="1"/>
      <c r="AB2620" s="1"/>
      <c r="AC2620" s="1"/>
      <c r="AD2620" s="1"/>
      <c r="AE2620" s="1"/>
      <c r="AF2620" s="1"/>
    </row>
    <row r="2621" spans="7:32" x14ac:dyDescent="0.2">
      <c r="G2621" s="2"/>
      <c r="H2621" s="1"/>
      <c r="I2621" s="1"/>
      <c r="J2621" s="1"/>
      <c r="K2621" s="1"/>
      <c r="L2621" s="1"/>
      <c r="M2621" s="1"/>
      <c r="N2621" s="1"/>
      <c r="O2621" s="1"/>
      <c r="P2621" s="1"/>
      <c r="Q2621" s="1"/>
      <c r="R2621" s="1"/>
      <c r="S2621" s="1"/>
      <c r="T2621" s="1"/>
      <c r="U2621" s="1"/>
      <c r="V2621" s="1"/>
      <c r="W2621" s="1"/>
      <c r="X2621" s="1"/>
      <c r="Y2621" s="1"/>
      <c r="Z2621" s="1"/>
      <c r="AA2621" s="1"/>
      <c r="AB2621" s="1"/>
      <c r="AC2621" s="1"/>
      <c r="AD2621" s="1"/>
      <c r="AE2621" s="1"/>
      <c r="AF2621" s="1"/>
    </row>
    <row r="2622" spans="7:32" x14ac:dyDescent="0.2">
      <c r="G2622" s="2"/>
      <c r="H2622" s="1"/>
      <c r="I2622" s="1"/>
      <c r="J2622" s="1"/>
      <c r="K2622" s="1"/>
      <c r="L2622" s="1"/>
      <c r="M2622" s="1"/>
      <c r="N2622" s="1"/>
      <c r="O2622" s="1"/>
      <c r="P2622" s="1"/>
      <c r="Q2622" s="1"/>
      <c r="R2622" s="1"/>
      <c r="S2622" s="1"/>
      <c r="T2622" s="1"/>
      <c r="U2622" s="1"/>
      <c r="V2622" s="1"/>
      <c r="W2622" s="1"/>
      <c r="X2622" s="1"/>
      <c r="Y2622" s="1"/>
      <c r="Z2622" s="1"/>
      <c r="AA2622" s="1"/>
      <c r="AB2622" s="1"/>
      <c r="AC2622" s="1"/>
      <c r="AD2622" s="1"/>
      <c r="AE2622" s="1"/>
      <c r="AF2622" s="1"/>
    </row>
    <row r="2623" spans="7:32" x14ac:dyDescent="0.2">
      <c r="G2623" s="2"/>
      <c r="H2623" s="1"/>
      <c r="I2623" s="1"/>
      <c r="J2623" s="1"/>
      <c r="K2623" s="1"/>
      <c r="L2623" s="1"/>
      <c r="M2623" s="1"/>
      <c r="N2623" s="1"/>
      <c r="O2623" s="1"/>
      <c r="P2623" s="1"/>
      <c r="Q2623" s="1"/>
      <c r="R2623" s="1"/>
      <c r="S2623" s="1"/>
      <c r="T2623" s="1"/>
      <c r="U2623" s="1"/>
      <c r="V2623" s="1"/>
      <c r="W2623" s="1"/>
      <c r="X2623" s="1"/>
      <c r="Y2623" s="1"/>
      <c r="Z2623" s="1"/>
      <c r="AA2623" s="1"/>
      <c r="AB2623" s="1"/>
      <c r="AC2623" s="1"/>
      <c r="AD2623" s="1"/>
      <c r="AE2623" s="1"/>
      <c r="AF2623" s="1"/>
    </row>
    <row r="2624" spans="7:32" x14ac:dyDescent="0.2">
      <c r="G2624" s="2"/>
      <c r="H2624" s="1"/>
      <c r="I2624" s="1"/>
      <c r="J2624" s="1"/>
      <c r="K2624" s="1"/>
      <c r="L2624" s="1"/>
      <c r="M2624" s="1"/>
      <c r="N2624" s="1"/>
      <c r="O2624" s="1"/>
      <c r="P2624" s="1"/>
      <c r="Q2624" s="1"/>
      <c r="R2624" s="1"/>
      <c r="S2624" s="1"/>
      <c r="T2624" s="1"/>
      <c r="U2624" s="1"/>
      <c r="V2624" s="1"/>
      <c r="W2624" s="1"/>
      <c r="X2624" s="1"/>
      <c r="Y2624" s="1"/>
      <c r="Z2624" s="1"/>
      <c r="AA2624" s="1"/>
      <c r="AB2624" s="1"/>
      <c r="AC2624" s="1"/>
      <c r="AD2624" s="1"/>
      <c r="AE2624" s="1"/>
      <c r="AF2624" s="1"/>
    </row>
    <row r="2625" spans="7:32" x14ac:dyDescent="0.2">
      <c r="G2625" s="2"/>
      <c r="H2625" s="1"/>
      <c r="I2625" s="1"/>
      <c r="J2625" s="1"/>
      <c r="K2625" s="1"/>
      <c r="L2625" s="1"/>
      <c r="M2625" s="1"/>
      <c r="N2625" s="1"/>
      <c r="O2625" s="1"/>
      <c r="P2625" s="1"/>
      <c r="Q2625" s="1"/>
      <c r="R2625" s="1"/>
      <c r="S2625" s="1"/>
      <c r="T2625" s="1"/>
      <c r="U2625" s="1"/>
      <c r="V2625" s="1"/>
      <c r="W2625" s="1"/>
      <c r="X2625" s="1"/>
      <c r="Y2625" s="1"/>
      <c r="Z2625" s="1"/>
      <c r="AA2625" s="1"/>
      <c r="AB2625" s="1"/>
      <c r="AC2625" s="1"/>
      <c r="AD2625" s="1"/>
      <c r="AE2625" s="1"/>
      <c r="AF2625" s="1"/>
    </row>
    <row r="2626" spans="7:32" x14ac:dyDescent="0.2">
      <c r="G2626" s="2"/>
      <c r="H2626" s="1"/>
      <c r="I2626" s="1"/>
      <c r="J2626" s="1"/>
      <c r="K2626" s="1"/>
      <c r="L2626" s="1"/>
      <c r="M2626" s="1"/>
      <c r="N2626" s="1"/>
      <c r="O2626" s="1"/>
      <c r="P2626" s="1"/>
      <c r="Q2626" s="1"/>
      <c r="R2626" s="1"/>
      <c r="S2626" s="1"/>
      <c r="T2626" s="1"/>
      <c r="U2626" s="1"/>
      <c r="V2626" s="1"/>
      <c r="W2626" s="1"/>
      <c r="X2626" s="1"/>
      <c r="Y2626" s="1"/>
      <c r="Z2626" s="1"/>
      <c r="AA2626" s="1"/>
      <c r="AB2626" s="1"/>
      <c r="AC2626" s="1"/>
      <c r="AD2626" s="1"/>
      <c r="AE2626" s="1"/>
      <c r="AF2626" s="1"/>
    </row>
    <row r="2627" spans="7:32" x14ac:dyDescent="0.2">
      <c r="G2627" s="2"/>
      <c r="H2627" s="1"/>
      <c r="I2627" s="1"/>
      <c r="J2627" s="1"/>
      <c r="K2627" s="1"/>
      <c r="L2627" s="1"/>
      <c r="M2627" s="1"/>
      <c r="N2627" s="1"/>
      <c r="O2627" s="1"/>
      <c r="P2627" s="1"/>
      <c r="Q2627" s="1"/>
      <c r="R2627" s="1"/>
      <c r="S2627" s="1"/>
      <c r="T2627" s="1"/>
      <c r="U2627" s="1"/>
      <c r="V2627" s="1"/>
      <c r="W2627" s="1"/>
      <c r="X2627" s="1"/>
      <c r="Y2627" s="1"/>
      <c r="Z2627" s="1"/>
      <c r="AA2627" s="1"/>
      <c r="AB2627" s="1"/>
      <c r="AC2627" s="1"/>
      <c r="AD2627" s="1"/>
      <c r="AE2627" s="1"/>
      <c r="AF2627" s="1"/>
    </row>
    <row r="2628" spans="7:32" x14ac:dyDescent="0.2">
      <c r="G2628" s="2"/>
      <c r="H2628" s="1"/>
      <c r="I2628" s="1"/>
      <c r="J2628" s="1"/>
      <c r="K2628" s="1"/>
      <c r="L2628" s="1"/>
      <c r="M2628" s="1"/>
      <c r="N2628" s="1"/>
      <c r="O2628" s="1"/>
      <c r="P2628" s="1"/>
      <c r="Q2628" s="1"/>
      <c r="R2628" s="1"/>
      <c r="S2628" s="1"/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</row>
    <row r="2629" spans="7:32" x14ac:dyDescent="0.2">
      <c r="G2629" s="2"/>
      <c r="H2629" s="1"/>
      <c r="I2629" s="1"/>
      <c r="J2629" s="1"/>
      <c r="K2629" s="1"/>
      <c r="L2629" s="1"/>
      <c r="M2629" s="1"/>
      <c r="N2629" s="1"/>
      <c r="O2629" s="1"/>
      <c r="P2629" s="1"/>
      <c r="Q2629" s="1"/>
      <c r="R2629" s="1"/>
      <c r="S2629" s="1"/>
      <c r="T2629" s="1"/>
      <c r="U2629" s="1"/>
      <c r="V2629" s="1"/>
      <c r="W2629" s="1"/>
      <c r="X2629" s="1"/>
      <c r="Y2629" s="1"/>
      <c r="Z2629" s="1"/>
      <c r="AA2629" s="1"/>
      <c r="AB2629" s="1"/>
      <c r="AC2629" s="1"/>
      <c r="AD2629" s="1"/>
      <c r="AE2629" s="1"/>
      <c r="AF2629" s="1"/>
    </row>
    <row r="2630" spans="7:32" x14ac:dyDescent="0.2">
      <c r="G2630" s="2"/>
      <c r="H2630" s="1"/>
      <c r="I2630" s="1"/>
      <c r="J2630" s="1"/>
      <c r="K2630" s="1"/>
      <c r="L2630" s="1"/>
      <c r="M2630" s="1"/>
      <c r="N2630" s="1"/>
      <c r="O2630" s="1"/>
      <c r="P2630" s="1"/>
      <c r="Q2630" s="1"/>
      <c r="R2630" s="1"/>
      <c r="S2630" s="1"/>
      <c r="T2630" s="1"/>
      <c r="U2630" s="1"/>
      <c r="V2630" s="1"/>
      <c r="W2630" s="1"/>
      <c r="X2630" s="1"/>
      <c r="Y2630" s="1"/>
      <c r="Z2630" s="1"/>
      <c r="AA2630" s="1"/>
      <c r="AB2630" s="1"/>
      <c r="AC2630" s="1"/>
      <c r="AD2630" s="1"/>
      <c r="AE2630" s="1"/>
      <c r="AF2630" s="1"/>
    </row>
    <row r="2631" spans="7:32" x14ac:dyDescent="0.2">
      <c r="G2631" s="2"/>
      <c r="H2631" s="1"/>
      <c r="I2631" s="1"/>
      <c r="J2631" s="1"/>
      <c r="K2631" s="1"/>
      <c r="L2631" s="1"/>
      <c r="M2631" s="1"/>
      <c r="N2631" s="1"/>
      <c r="O2631" s="1"/>
      <c r="P2631" s="1"/>
      <c r="Q2631" s="1"/>
      <c r="R2631" s="1"/>
      <c r="S2631" s="1"/>
      <c r="T2631" s="1"/>
      <c r="U2631" s="1"/>
      <c r="V2631" s="1"/>
      <c r="W2631" s="1"/>
      <c r="X2631" s="1"/>
      <c r="Y2631" s="1"/>
      <c r="Z2631" s="1"/>
      <c r="AA2631" s="1"/>
      <c r="AB2631" s="1"/>
      <c r="AC2631" s="1"/>
      <c r="AD2631" s="1"/>
      <c r="AE2631" s="1"/>
      <c r="AF2631" s="1"/>
    </row>
    <row r="2632" spans="7:32" x14ac:dyDescent="0.2">
      <c r="G2632" s="2"/>
      <c r="H2632" s="1"/>
      <c r="I2632" s="1"/>
      <c r="J2632" s="1"/>
      <c r="K2632" s="1"/>
      <c r="L2632" s="1"/>
      <c r="M2632" s="1"/>
      <c r="N2632" s="1"/>
      <c r="O2632" s="1"/>
      <c r="P2632" s="1"/>
      <c r="Q2632" s="1"/>
      <c r="R2632" s="1"/>
      <c r="S2632" s="1"/>
      <c r="T2632" s="1"/>
      <c r="U2632" s="1"/>
      <c r="V2632" s="1"/>
      <c r="W2632" s="1"/>
      <c r="X2632" s="1"/>
      <c r="Y2632" s="1"/>
      <c r="Z2632" s="1"/>
      <c r="AA2632" s="1"/>
      <c r="AB2632" s="1"/>
      <c r="AC2632" s="1"/>
      <c r="AD2632" s="1"/>
      <c r="AE2632" s="1"/>
      <c r="AF2632" s="1"/>
    </row>
    <row r="2633" spans="7:32" x14ac:dyDescent="0.2">
      <c r="G2633" s="2"/>
      <c r="H2633" s="1"/>
      <c r="I2633" s="1"/>
      <c r="J2633" s="1"/>
      <c r="K2633" s="1"/>
      <c r="L2633" s="1"/>
      <c r="M2633" s="1"/>
      <c r="N2633" s="1"/>
      <c r="O2633" s="1"/>
      <c r="P2633" s="1"/>
      <c r="Q2633" s="1"/>
      <c r="R2633" s="1"/>
      <c r="S2633" s="1"/>
      <c r="T2633" s="1"/>
      <c r="U2633" s="1"/>
      <c r="V2633" s="1"/>
      <c r="W2633" s="1"/>
      <c r="X2633" s="1"/>
      <c r="Y2633" s="1"/>
      <c r="Z2633" s="1"/>
      <c r="AA2633" s="1"/>
      <c r="AB2633" s="1"/>
      <c r="AC2633" s="1"/>
      <c r="AD2633" s="1"/>
      <c r="AE2633" s="1"/>
      <c r="AF2633" s="1"/>
    </row>
    <row r="2634" spans="7:32" x14ac:dyDescent="0.2">
      <c r="G2634" s="2"/>
      <c r="H2634" s="1"/>
      <c r="I2634" s="1"/>
      <c r="J2634" s="1"/>
      <c r="K2634" s="1"/>
      <c r="L2634" s="1"/>
      <c r="M2634" s="1"/>
      <c r="N2634" s="1"/>
      <c r="O2634" s="1"/>
      <c r="P2634" s="1"/>
      <c r="Q2634" s="1"/>
      <c r="R2634" s="1"/>
      <c r="S2634" s="1"/>
      <c r="T2634" s="1"/>
      <c r="U2634" s="1"/>
      <c r="V2634" s="1"/>
      <c r="W2634" s="1"/>
      <c r="X2634" s="1"/>
      <c r="Y2634" s="1"/>
      <c r="Z2634" s="1"/>
      <c r="AA2634" s="1"/>
      <c r="AB2634" s="1"/>
      <c r="AC2634" s="1"/>
      <c r="AD2634" s="1"/>
      <c r="AE2634" s="1"/>
      <c r="AF2634" s="1"/>
    </row>
    <row r="2635" spans="7:32" x14ac:dyDescent="0.2">
      <c r="G2635" s="2"/>
      <c r="H2635" s="1"/>
      <c r="I2635" s="1"/>
      <c r="J2635" s="1"/>
      <c r="K2635" s="1"/>
      <c r="L2635" s="1"/>
      <c r="M2635" s="1"/>
      <c r="N2635" s="1"/>
      <c r="O2635" s="1"/>
      <c r="P2635" s="1"/>
      <c r="Q2635" s="1"/>
      <c r="R2635" s="1"/>
      <c r="S2635" s="1"/>
      <c r="T2635" s="1"/>
      <c r="U2635" s="1"/>
      <c r="V2635" s="1"/>
      <c r="W2635" s="1"/>
      <c r="X2635" s="1"/>
      <c r="Y2635" s="1"/>
      <c r="Z2635" s="1"/>
      <c r="AA2635" s="1"/>
      <c r="AB2635" s="1"/>
      <c r="AC2635" s="1"/>
      <c r="AD2635" s="1"/>
      <c r="AE2635" s="1"/>
      <c r="AF2635" s="1"/>
    </row>
    <row r="2636" spans="7:32" x14ac:dyDescent="0.2">
      <c r="G2636" s="2"/>
      <c r="H2636" s="1"/>
      <c r="I2636" s="1"/>
      <c r="J2636" s="1"/>
      <c r="K2636" s="1"/>
      <c r="L2636" s="1"/>
      <c r="M2636" s="1"/>
      <c r="N2636" s="1"/>
      <c r="O2636" s="1"/>
      <c r="P2636" s="1"/>
      <c r="Q2636" s="1"/>
      <c r="R2636" s="1"/>
      <c r="S2636" s="1"/>
      <c r="T2636" s="1"/>
      <c r="U2636" s="1"/>
      <c r="V2636" s="1"/>
      <c r="W2636" s="1"/>
      <c r="X2636" s="1"/>
      <c r="Y2636" s="1"/>
      <c r="Z2636" s="1"/>
      <c r="AA2636" s="1"/>
      <c r="AB2636" s="1"/>
      <c r="AC2636" s="1"/>
      <c r="AD2636" s="1"/>
      <c r="AE2636" s="1"/>
      <c r="AF2636" s="1"/>
    </row>
    <row r="2637" spans="7:32" x14ac:dyDescent="0.2">
      <c r="G2637" s="2"/>
      <c r="H2637" s="1"/>
      <c r="I2637" s="1"/>
      <c r="J2637" s="1"/>
      <c r="K2637" s="1"/>
      <c r="L2637" s="1"/>
      <c r="M2637" s="1"/>
      <c r="N2637" s="1"/>
      <c r="O2637" s="1"/>
      <c r="P2637" s="1"/>
      <c r="Q2637" s="1"/>
      <c r="R2637" s="1"/>
      <c r="S2637" s="1"/>
      <c r="T2637" s="1"/>
      <c r="U2637" s="1"/>
      <c r="V2637" s="1"/>
      <c r="W2637" s="1"/>
      <c r="X2637" s="1"/>
      <c r="Y2637" s="1"/>
      <c r="Z2637" s="1"/>
      <c r="AA2637" s="1"/>
      <c r="AB2637" s="1"/>
      <c r="AC2637" s="1"/>
      <c r="AD2637" s="1"/>
      <c r="AE2637" s="1"/>
      <c r="AF2637" s="1"/>
    </row>
    <row r="2638" spans="7:32" x14ac:dyDescent="0.2">
      <c r="G2638" s="2"/>
      <c r="H2638" s="1"/>
      <c r="I2638" s="1"/>
      <c r="J2638" s="1"/>
      <c r="K2638" s="1"/>
      <c r="L2638" s="1"/>
      <c r="M2638" s="1"/>
      <c r="N2638" s="1"/>
      <c r="O2638" s="1"/>
      <c r="P2638" s="1"/>
      <c r="Q2638" s="1"/>
      <c r="R2638" s="1"/>
      <c r="S2638" s="1"/>
      <c r="T2638" s="1"/>
      <c r="U2638" s="1"/>
      <c r="V2638" s="1"/>
      <c r="W2638" s="1"/>
      <c r="X2638" s="1"/>
      <c r="Y2638" s="1"/>
      <c r="Z2638" s="1"/>
      <c r="AA2638" s="1"/>
      <c r="AB2638" s="1"/>
      <c r="AC2638" s="1"/>
      <c r="AD2638" s="1"/>
      <c r="AE2638" s="1"/>
      <c r="AF2638" s="1"/>
    </row>
    <row r="2639" spans="7:32" x14ac:dyDescent="0.2">
      <c r="G2639" s="2"/>
      <c r="H2639" s="1"/>
      <c r="I2639" s="1"/>
      <c r="J2639" s="1"/>
      <c r="K2639" s="1"/>
      <c r="L2639" s="1"/>
      <c r="M2639" s="1"/>
      <c r="N2639" s="1"/>
      <c r="O2639" s="1"/>
      <c r="P2639" s="1"/>
      <c r="Q2639" s="1"/>
      <c r="R2639" s="1"/>
      <c r="S2639" s="1"/>
      <c r="T2639" s="1"/>
      <c r="U2639" s="1"/>
      <c r="V2639" s="1"/>
      <c r="W2639" s="1"/>
      <c r="X2639" s="1"/>
      <c r="Y2639" s="1"/>
      <c r="Z2639" s="1"/>
      <c r="AA2639" s="1"/>
      <c r="AB2639" s="1"/>
      <c r="AC2639" s="1"/>
      <c r="AD2639" s="1"/>
      <c r="AE2639" s="1"/>
      <c r="AF2639" s="1"/>
    </row>
    <row r="2640" spans="7:32" x14ac:dyDescent="0.2">
      <c r="G2640" s="2"/>
      <c r="H2640" s="1"/>
      <c r="I2640" s="1"/>
      <c r="J2640" s="1"/>
      <c r="K2640" s="1"/>
      <c r="L2640" s="1"/>
      <c r="M2640" s="1"/>
      <c r="N2640" s="1"/>
      <c r="O2640" s="1"/>
      <c r="P2640" s="1"/>
      <c r="Q2640" s="1"/>
      <c r="R2640" s="1"/>
      <c r="S2640" s="1"/>
      <c r="T2640" s="1"/>
      <c r="U2640" s="1"/>
      <c r="V2640" s="1"/>
      <c r="W2640" s="1"/>
      <c r="X2640" s="1"/>
      <c r="Y2640" s="1"/>
      <c r="Z2640" s="1"/>
      <c r="AA2640" s="1"/>
      <c r="AB2640" s="1"/>
      <c r="AC2640" s="1"/>
      <c r="AD2640" s="1"/>
      <c r="AE2640" s="1"/>
      <c r="AF2640" s="1"/>
    </row>
    <row r="2641" spans="7:32" x14ac:dyDescent="0.2">
      <c r="G2641" s="2"/>
      <c r="H2641" s="1"/>
      <c r="I2641" s="1"/>
      <c r="J2641" s="1"/>
      <c r="K2641" s="1"/>
      <c r="L2641" s="1"/>
      <c r="M2641" s="1"/>
      <c r="N2641" s="1"/>
      <c r="O2641" s="1"/>
      <c r="P2641" s="1"/>
      <c r="Q2641" s="1"/>
      <c r="R2641" s="1"/>
      <c r="S2641" s="1"/>
      <c r="T2641" s="1"/>
      <c r="U2641" s="1"/>
      <c r="V2641" s="1"/>
      <c r="W2641" s="1"/>
      <c r="X2641" s="1"/>
      <c r="Y2641" s="1"/>
      <c r="Z2641" s="1"/>
      <c r="AA2641" s="1"/>
      <c r="AB2641" s="1"/>
      <c r="AC2641" s="1"/>
      <c r="AD2641" s="1"/>
      <c r="AE2641" s="1"/>
      <c r="AF2641" s="1"/>
    </row>
    <row r="2642" spans="7:32" x14ac:dyDescent="0.2">
      <c r="G2642" s="2"/>
      <c r="H2642" s="1"/>
      <c r="I2642" s="1"/>
      <c r="J2642" s="1"/>
      <c r="K2642" s="1"/>
      <c r="L2642" s="1"/>
      <c r="M2642" s="1"/>
      <c r="N2642" s="1"/>
      <c r="O2642" s="1"/>
      <c r="P2642" s="1"/>
      <c r="Q2642" s="1"/>
      <c r="R2642" s="1"/>
      <c r="S2642" s="1"/>
      <c r="T2642" s="1"/>
      <c r="U2642" s="1"/>
      <c r="V2642" s="1"/>
      <c r="W2642" s="1"/>
      <c r="X2642" s="1"/>
      <c r="Y2642" s="1"/>
      <c r="Z2642" s="1"/>
      <c r="AA2642" s="1"/>
      <c r="AB2642" s="1"/>
      <c r="AC2642" s="1"/>
      <c r="AD2642" s="1"/>
      <c r="AE2642" s="1"/>
      <c r="AF2642" s="1"/>
    </row>
    <row r="2643" spans="7:32" x14ac:dyDescent="0.2">
      <c r="G2643" s="2"/>
      <c r="H2643" s="1"/>
      <c r="I2643" s="1"/>
      <c r="J2643" s="1"/>
      <c r="K2643" s="1"/>
      <c r="L2643" s="1"/>
      <c r="M2643" s="1"/>
      <c r="N2643" s="1"/>
      <c r="O2643" s="1"/>
      <c r="P2643" s="1"/>
      <c r="Q2643" s="1"/>
      <c r="R2643" s="1"/>
      <c r="S2643" s="1"/>
      <c r="T2643" s="1"/>
      <c r="U2643" s="1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</row>
    <row r="2644" spans="7:32" x14ac:dyDescent="0.2">
      <c r="G2644" s="2"/>
      <c r="H2644" s="1"/>
      <c r="I2644" s="1"/>
      <c r="J2644" s="1"/>
      <c r="K2644" s="1"/>
      <c r="L2644" s="1"/>
      <c r="M2644" s="1"/>
      <c r="N2644" s="1"/>
      <c r="O2644" s="1"/>
      <c r="P2644" s="1"/>
      <c r="Q2644" s="1"/>
      <c r="R2644" s="1"/>
      <c r="S2644" s="1"/>
      <c r="T2644" s="1"/>
      <c r="U2644" s="1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</row>
    <row r="2645" spans="7:32" x14ac:dyDescent="0.2">
      <c r="G2645" s="2"/>
      <c r="H2645" s="1"/>
      <c r="I2645" s="1"/>
      <c r="J2645" s="1"/>
      <c r="K2645" s="1"/>
      <c r="L2645" s="1"/>
      <c r="M2645" s="1"/>
      <c r="N2645" s="1"/>
      <c r="O2645" s="1"/>
      <c r="P2645" s="1"/>
      <c r="Q2645" s="1"/>
      <c r="R2645" s="1"/>
      <c r="S2645" s="1"/>
      <c r="T2645" s="1"/>
      <c r="U2645" s="1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</row>
    <row r="2646" spans="7:32" x14ac:dyDescent="0.2">
      <c r="G2646" s="2"/>
      <c r="H2646" s="1"/>
      <c r="I2646" s="1"/>
      <c r="J2646" s="1"/>
      <c r="K2646" s="1"/>
      <c r="L2646" s="1"/>
      <c r="M2646" s="1"/>
      <c r="N2646" s="1"/>
      <c r="O2646" s="1"/>
      <c r="P2646" s="1"/>
      <c r="Q2646" s="1"/>
      <c r="R2646" s="1"/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</row>
    <row r="2647" spans="7:32" x14ac:dyDescent="0.2">
      <c r="G2647" s="2"/>
      <c r="H2647" s="1"/>
      <c r="I2647" s="1"/>
      <c r="J2647" s="1"/>
      <c r="K2647" s="1"/>
      <c r="L2647" s="1"/>
      <c r="M2647" s="1"/>
      <c r="N2647" s="1"/>
      <c r="O2647" s="1"/>
      <c r="P2647" s="1"/>
      <c r="Q2647" s="1"/>
      <c r="R2647" s="1"/>
      <c r="S2647" s="1"/>
      <c r="T2647" s="1"/>
      <c r="U2647" s="1"/>
      <c r="V2647" s="1"/>
      <c r="W2647" s="1"/>
      <c r="X2647" s="1"/>
      <c r="Y2647" s="1"/>
      <c r="Z2647" s="1"/>
      <c r="AA2647" s="1"/>
      <c r="AB2647" s="1"/>
      <c r="AC2647" s="1"/>
      <c r="AD2647" s="1"/>
      <c r="AE2647" s="1"/>
      <c r="AF2647" s="1"/>
    </row>
    <row r="2648" spans="7:32" x14ac:dyDescent="0.2">
      <c r="G2648" s="2"/>
      <c r="H2648" s="1"/>
      <c r="I2648" s="1"/>
      <c r="J2648" s="1"/>
      <c r="K2648" s="1"/>
      <c r="L2648" s="1"/>
      <c r="M2648" s="1"/>
      <c r="N2648" s="1"/>
      <c r="O2648" s="1"/>
      <c r="P2648" s="1"/>
      <c r="Q2648" s="1"/>
      <c r="R2648" s="1"/>
      <c r="S2648" s="1"/>
      <c r="T2648" s="1"/>
      <c r="U2648" s="1"/>
      <c r="V2648" s="1"/>
      <c r="W2648" s="1"/>
      <c r="X2648" s="1"/>
      <c r="Y2648" s="1"/>
      <c r="Z2648" s="1"/>
      <c r="AA2648" s="1"/>
      <c r="AB2648" s="1"/>
      <c r="AC2648" s="1"/>
      <c r="AD2648" s="1"/>
      <c r="AE2648" s="1"/>
      <c r="AF2648" s="1"/>
    </row>
    <row r="2649" spans="7:32" x14ac:dyDescent="0.2">
      <c r="G2649" s="2"/>
      <c r="H2649" s="1"/>
      <c r="I2649" s="1"/>
      <c r="J2649" s="1"/>
      <c r="K2649" s="1"/>
      <c r="L2649" s="1"/>
      <c r="M2649" s="1"/>
      <c r="N2649" s="1"/>
      <c r="O2649" s="1"/>
      <c r="P2649" s="1"/>
      <c r="Q2649" s="1"/>
      <c r="R2649" s="1"/>
      <c r="S2649" s="1"/>
      <c r="T2649" s="1"/>
      <c r="U2649" s="1"/>
      <c r="V2649" s="1"/>
      <c r="W2649" s="1"/>
      <c r="X2649" s="1"/>
      <c r="Y2649" s="1"/>
      <c r="Z2649" s="1"/>
      <c r="AA2649" s="1"/>
      <c r="AB2649" s="1"/>
      <c r="AC2649" s="1"/>
      <c r="AD2649" s="1"/>
      <c r="AE2649" s="1"/>
      <c r="AF2649" s="1"/>
    </row>
    <row r="2650" spans="7:32" x14ac:dyDescent="0.2">
      <c r="G2650" s="2"/>
      <c r="H2650" s="1"/>
      <c r="I2650" s="1"/>
      <c r="J2650" s="1"/>
      <c r="K2650" s="1"/>
      <c r="L2650" s="1"/>
      <c r="M2650" s="1"/>
      <c r="N2650" s="1"/>
      <c r="O2650" s="1"/>
      <c r="P2650" s="1"/>
      <c r="Q2650" s="1"/>
      <c r="R2650" s="1"/>
      <c r="S2650" s="1"/>
      <c r="T2650" s="1"/>
      <c r="U2650" s="1"/>
      <c r="V2650" s="1"/>
      <c r="W2650" s="1"/>
      <c r="X2650" s="1"/>
      <c r="Y2650" s="1"/>
      <c r="Z2650" s="1"/>
      <c r="AA2650" s="1"/>
      <c r="AB2650" s="1"/>
      <c r="AC2650" s="1"/>
      <c r="AD2650" s="1"/>
      <c r="AE2650" s="1"/>
      <c r="AF2650" s="1"/>
    </row>
    <row r="2651" spans="7:32" x14ac:dyDescent="0.2">
      <c r="G2651" s="2"/>
      <c r="H2651" s="1"/>
      <c r="I2651" s="1"/>
      <c r="J2651" s="1"/>
      <c r="K2651" s="1"/>
      <c r="L2651" s="1"/>
      <c r="M2651" s="1"/>
      <c r="N2651" s="1"/>
      <c r="O2651" s="1"/>
      <c r="P2651" s="1"/>
      <c r="Q2651" s="1"/>
      <c r="R2651" s="1"/>
      <c r="S2651" s="1"/>
      <c r="T2651" s="1"/>
      <c r="U2651" s="1"/>
      <c r="V2651" s="1"/>
      <c r="W2651" s="1"/>
      <c r="X2651" s="1"/>
      <c r="Y2651" s="1"/>
      <c r="Z2651" s="1"/>
      <c r="AA2651" s="1"/>
      <c r="AB2651" s="1"/>
      <c r="AC2651" s="1"/>
      <c r="AD2651" s="1"/>
      <c r="AE2651" s="1"/>
      <c r="AF2651" s="1"/>
    </row>
    <row r="2652" spans="7:32" x14ac:dyDescent="0.2">
      <c r="G2652" s="2"/>
      <c r="H2652" s="1"/>
      <c r="I2652" s="1"/>
      <c r="J2652" s="1"/>
      <c r="K2652" s="1"/>
      <c r="L2652" s="1"/>
      <c r="M2652" s="1"/>
      <c r="N2652" s="1"/>
      <c r="O2652" s="1"/>
      <c r="P2652" s="1"/>
      <c r="Q2652" s="1"/>
      <c r="R2652" s="1"/>
      <c r="S2652" s="1"/>
      <c r="T2652" s="1"/>
      <c r="U2652" s="1"/>
      <c r="V2652" s="1"/>
      <c r="W2652" s="1"/>
      <c r="X2652" s="1"/>
      <c r="Y2652" s="1"/>
      <c r="Z2652" s="1"/>
      <c r="AA2652" s="1"/>
      <c r="AB2652" s="1"/>
      <c r="AC2652" s="1"/>
      <c r="AD2652" s="1"/>
      <c r="AE2652" s="1"/>
      <c r="AF2652" s="1"/>
    </row>
    <row r="2653" spans="7:32" x14ac:dyDescent="0.2">
      <c r="G2653" s="2"/>
      <c r="H2653" s="1"/>
      <c r="I2653" s="1"/>
      <c r="J2653" s="1"/>
      <c r="K2653" s="1"/>
      <c r="L2653" s="1"/>
      <c r="M2653" s="1"/>
      <c r="N2653" s="1"/>
      <c r="O2653" s="1"/>
      <c r="P2653" s="1"/>
      <c r="Q2653" s="1"/>
      <c r="R2653" s="1"/>
      <c r="S2653" s="1"/>
      <c r="T2653" s="1"/>
      <c r="U2653" s="1"/>
      <c r="V2653" s="1"/>
      <c r="W2653" s="1"/>
      <c r="X2653" s="1"/>
      <c r="Y2653" s="1"/>
      <c r="Z2653" s="1"/>
      <c r="AA2653" s="1"/>
      <c r="AB2653" s="1"/>
      <c r="AC2653" s="1"/>
      <c r="AD2653" s="1"/>
      <c r="AE2653" s="1"/>
      <c r="AF2653" s="1"/>
    </row>
    <row r="2654" spans="7:32" x14ac:dyDescent="0.2">
      <c r="G2654" s="2"/>
      <c r="H2654" s="1"/>
      <c r="I2654" s="1"/>
      <c r="J2654" s="1"/>
      <c r="K2654" s="1"/>
      <c r="L2654" s="1"/>
      <c r="M2654" s="1"/>
      <c r="N2654" s="1"/>
      <c r="O2654" s="1"/>
      <c r="P2654" s="1"/>
      <c r="Q2654" s="1"/>
      <c r="R2654" s="1"/>
      <c r="S2654" s="1"/>
      <c r="T2654" s="1"/>
      <c r="U2654" s="1"/>
      <c r="V2654" s="1"/>
      <c r="W2654" s="1"/>
      <c r="X2654" s="1"/>
      <c r="Y2654" s="1"/>
      <c r="Z2654" s="1"/>
      <c r="AA2654" s="1"/>
      <c r="AB2654" s="1"/>
      <c r="AC2654" s="1"/>
      <c r="AD2654" s="1"/>
      <c r="AE2654" s="1"/>
      <c r="AF2654" s="1"/>
    </row>
    <row r="2655" spans="7:32" x14ac:dyDescent="0.2">
      <c r="G2655" s="2"/>
      <c r="H2655" s="1"/>
      <c r="I2655" s="1"/>
      <c r="J2655" s="1"/>
      <c r="K2655" s="1"/>
      <c r="L2655" s="1"/>
      <c r="M2655" s="1"/>
      <c r="N2655" s="1"/>
      <c r="O2655" s="1"/>
      <c r="P2655" s="1"/>
      <c r="Q2655" s="1"/>
      <c r="R2655" s="1"/>
      <c r="S2655" s="1"/>
      <c r="T2655" s="1"/>
      <c r="U2655" s="1"/>
      <c r="V2655" s="1"/>
      <c r="W2655" s="1"/>
      <c r="X2655" s="1"/>
      <c r="Y2655" s="1"/>
      <c r="Z2655" s="1"/>
      <c r="AA2655" s="1"/>
      <c r="AB2655" s="1"/>
      <c r="AC2655" s="1"/>
      <c r="AD2655" s="1"/>
      <c r="AE2655" s="1"/>
      <c r="AF2655" s="1"/>
    </row>
    <row r="2656" spans="7:32" x14ac:dyDescent="0.2">
      <c r="G2656" s="2"/>
      <c r="H2656" s="1"/>
      <c r="I2656" s="1"/>
      <c r="J2656" s="1"/>
      <c r="K2656" s="1"/>
      <c r="L2656" s="1"/>
      <c r="M2656" s="1"/>
      <c r="N2656" s="1"/>
      <c r="O2656" s="1"/>
      <c r="P2656" s="1"/>
      <c r="Q2656" s="1"/>
      <c r="R2656" s="1"/>
      <c r="S2656" s="1"/>
      <c r="T2656" s="1"/>
      <c r="U2656" s="1"/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</row>
    <row r="2657" spans="7:32" x14ac:dyDescent="0.2">
      <c r="G2657" s="2"/>
      <c r="H2657" s="1"/>
      <c r="I2657" s="1"/>
      <c r="J2657" s="1"/>
      <c r="K2657" s="1"/>
      <c r="L2657" s="1"/>
      <c r="M2657" s="1"/>
      <c r="N2657" s="1"/>
      <c r="O2657" s="1"/>
      <c r="P2657" s="1"/>
      <c r="Q2657" s="1"/>
      <c r="R2657" s="1"/>
      <c r="S2657" s="1"/>
      <c r="T2657" s="1"/>
      <c r="U2657" s="1"/>
      <c r="V2657" s="1"/>
      <c r="W2657" s="1"/>
      <c r="X2657" s="1"/>
      <c r="Y2657" s="1"/>
      <c r="Z2657" s="1"/>
      <c r="AA2657" s="1"/>
      <c r="AB2657" s="1"/>
      <c r="AC2657" s="1"/>
      <c r="AD2657" s="1"/>
      <c r="AE2657" s="1"/>
      <c r="AF2657" s="1"/>
    </row>
    <row r="2658" spans="7:32" x14ac:dyDescent="0.2">
      <c r="G2658" s="2"/>
      <c r="H2658" s="1"/>
      <c r="I2658" s="1"/>
      <c r="J2658" s="1"/>
      <c r="K2658" s="1"/>
      <c r="L2658" s="1"/>
      <c r="M2658" s="1"/>
      <c r="N2658" s="1"/>
      <c r="O2658" s="1"/>
      <c r="P2658" s="1"/>
      <c r="Q2658" s="1"/>
      <c r="R2658" s="1"/>
      <c r="S2658" s="1"/>
      <c r="T2658" s="1"/>
      <c r="U2658" s="1"/>
      <c r="V2658" s="1"/>
      <c r="W2658" s="1"/>
      <c r="X2658" s="1"/>
      <c r="Y2658" s="1"/>
      <c r="Z2658" s="1"/>
      <c r="AA2658" s="1"/>
      <c r="AB2658" s="1"/>
      <c r="AC2658" s="1"/>
      <c r="AD2658" s="1"/>
      <c r="AE2658" s="1"/>
      <c r="AF2658" s="1"/>
    </row>
    <row r="2659" spans="7:32" x14ac:dyDescent="0.2">
      <c r="G2659" s="2"/>
      <c r="H2659" s="1"/>
      <c r="I2659" s="1"/>
      <c r="J2659" s="1"/>
      <c r="K2659" s="1"/>
      <c r="L2659" s="1"/>
      <c r="M2659" s="1"/>
      <c r="N2659" s="1"/>
      <c r="O2659" s="1"/>
      <c r="P2659" s="1"/>
      <c r="Q2659" s="1"/>
      <c r="R2659" s="1"/>
      <c r="S2659" s="1"/>
      <c r="T2659" s="1"/>
      <c r="U2659" s="1"/>
      <c r="V2659" s="1"/>
      <c r="W2659" s="1"/>
      <c r="X2659" s="1"/>
      <c r="Y2659" s="1"/>
      <c r="Z2659" s="1"/>
      <c r="AA2659" s="1"/>
      <c r="AB2659" s="1"/>
      <c r="AC2659" s="1"/>
      <c r="AD2659" s="1"/>
      <c r="AE2659" s="1"/>
      <c r="AF2659" s="1"/>
    </row>
    <row r="2660" spans="7:32" x14ac:dyDescent="0.2">
      <c r="G2660" s="2"/>
      <c r="H2660" s="1"/>
      <c r="I2660" s="1"/>
      <c r="J2660" s="1"/>
      <c r="K2660" s="1"/>
      <c r="L2660" s="1"/>
      <c r="M2660" s="1"/>
      <c r="N2660" s="1"/>
      <c r="O2660" s="1"/>
      <c r="P2660" s="1"/>
      <c r="Q2660" s="1"/>
      <c r="R2660" s="1"/>
      <c r="S2660" s="1"/>
      <c r="T2660" s="1"/>
      <c r="U2660" s="1"/>
      <c r="V2660" s="1"/>
      <c r="W2660" s="1"/>
      <c r="X2660" s="1"/>
      <c r="Y2660" s="1"/>
      <c r="Z2660" s="1"/>
      <c r="AA2660" s="1"/>
      <c r="AB2660" s="1"/>
      <c r="AC2660" s="1"/>
      <c r="AD2660" s="1"/>
      <c r="AE2660" s="1"/>
      <c r="AF2660" s="1"/>
    </row>
    <row r="2661" spans="7:32" x14ac:dyDescent="0.2">
      <c r="G2661" s="2"/>
      <c r="H2661" s="1"/>
      <c r="I2661" s="1"/>
      <c r="J2661" s="1"/>
      <c r="K2661" s="1"/>
      <c r="L2661" s="1"/>
      <c r="M2661" s="1"/>
      <c r="N2661" s="1"/>
      <c r="O2661" s="1"/>
      <c r="P2661" s="1"/>
      <c r="Q2661" s="1"/>
      <c r="R2661" s="1"/>
      <c r="S2661" s="1"/>
      <c r="T2661" s="1"/>
      <c r="U2661" s="1"/>
      <c r="V2661" s="1"/>
      <c r="W2661" s="1"/>
      <c r="X2661" s="1"/>
      <c r="Y2661" s="1"/>
      <c r="Z2661" s="1"/>
      <c r="AA2661" s="1"/>
      <c r="AB2661" s="1"/>
      <c r="AC2661" s="1"/>
      <c r="AD2661" s="1"/>
      <c r="AE2661" s="1"/>
      <c r="AF2661" s="1"/>
    </row>
    <row r="2662" spans="7:32" x14ac:dyDescent="0.2">
      <c r="G2662" s="2"/>
      <c r="H2662" s="1"/>
      <c r="I2662" s="1"/>
      <c r="J2662" s="1"/>
      <c r="K2662" s="1"/>
      <c r="L2662" s="1"/>
      <c r="M2662" s="1"/>
      <c r="N2662" s="1"/>
      <c r="O2662" s="1"/>
      <c r="P2662" s="1"/>
      <c r="Q2662" s="1"/>
      <c r="R2662" s="1"/>
      <c r="S2662" s="1"/>
      <c r="T2662" s="1"/>
      <c r="U2662" s="1"/>
      <c r="V2662" s="1"/>
      <c r="W2662" s="1"/>
      <c r="X2662" s="1"/>
      <c r="Y2662" s="1"/>
      <c r="Z2662" s="1"/>
      <c r="AA2662" s="1"/>
      <c r="AB2662" s="1"/>
      <c r="AC2662" s="1"/>
      <c r="AD2662" s="1"/>
      <c r="AE2662" s="1"/>
      <c r="AF2662" s="1"/>
    </row>
    <row r="2663" spans="7:32" x14ac:dyDescent="0.2">
      <c r="G2663" s="2"/>
      <c r="H2663" s="1"/>
      <c r="I2663" s="1"/>
      <c r="J2663" s="1"/>
      <c r="K2663" s="1"/>
      <c r="L2663" s="1"/>
      <c r="M2663" s="1"/>
      <c r="N2663" s="1"/>
      <c r="O2663" s="1"/>
      <c r="P2663" s="1"/>
      <c r="Q2663" s="1"/>
      <c r="R2663" s="1"/>
      <c r="S2663" s="1"/>
      <c r="T2663" s="1"/>
      <c r="U2663" s="1"/>
      <c r="V2663" s="1"/>
      <c r="W2663" s="1"/>
      <c r="X2663" s="1"/>
      <c r="Y2663" s="1"/>
      <c r="Z2663" s="1"/>
      <c r="AA2663" s="1"/>
      <c r="AB2663" s="1"/>
      <c r="AC2663" s="1"/>
      <c r="AD2663" s="1"/>
      <c r="AE2663" s="1"/>
      <c r="AF2663" s="1"/>
    </row>
    <row r="2664" spans="7:32" x14ac:dyDescent="0.2">
      <c r="G2664" s="2"/>
      <c r="H2664" s="1"/>
      <c r="I2664" s="1"/>
      <c r="J2664" s="1"/>
      <c r="K2664" s="1"/>
      <c r="L2664" s="1"/>
      <c r="M2664" s="1"/>
      <c r="N2664" s="1"/>
      <c r="O2664" s="1"/>
      <c r="P2664" s="1"/>
      <c r="Q2664" s="1"/>
      <c r="R2664" s="1"/>
      <c r="S2664" s="1"/>
      <c r="T2664" s="1"/>
      <c r="U2664" s="1"/>
      <c r="V2664" s="1"/>
      <c r="W2664" s="1"/>
      <c r="X2664" s="1"/>
      <c r="Y2664" s="1"/>
      <c r="Z2664" s="1"/>
      <c r="AA2664" s="1"/>
      <c r="AB2664" s="1"/>
      <c r="AC2664" s="1"/>
      <c r="AD2664" s="1"/>
      <c r="AE2664" s="1"/>
      <c r="AF2664" s="1"/>
    </row>
    <row r="2665" spans="7:32" x14ac:dyDescent="0.2">
      <c r="G2665" s="2"/>
      <c r="H2665" s="1"/>
      <c r="I2665" s="1"/>
      <c r="J2665" s="1"/>
      <c r="K2665" s="1"/>
      <c r="L2665" s="1"/>
      <c r="M2665" s="1"/>
      <c r="N2665" s="1"/>
      <c r="O2665" s="1"/>
      <c r="P2665" s="1"/>
      <c r="Q2665" s="1"/>
      <c r="R2665" s="1"/>
      <c r="S2665" s="1"/>
      <c r="T2665" s="1"/>
      <c r="U2665" s="1"/>
      <c r="V2665" s="1"/>
      <c r="W2665" s="1"/>
      <c r="X2665" s="1"/>
      <c r="Y2665" s="1"/>
      <c r="Z2665" s="1"/>
      <c r="AA2665" s="1"/>
      <c r="AB2665" s="1"/>
      <c r="AC2665" s="1"/>
      <c r="AD2665" s="1"/>
      <c r="AE2665" s="1"/>
      <c r="AF2665" s="1"/>
    </row>
    <row r="2666" spans="7:32" x14ac:dyDescent="0.2">
      <c r="G2666" s="2"/>
      <c r="H2666" s="1"/>
      <c r="I2666" s="1"/>
      <c r="J2666" s="1"/>
      <c r="K2666" s="1"/>
      <c r="L2666" s="1"/>
      <c r="M2666" s="1"/>
      <c r="N2666" s="1"/>
      <c r="O2666" s="1"/>
      <c r="P2666" s="1"/>
      <c r="Q2666" s="1"/>
      <c r="R2666" s="1"/>
      <c r="S2666" s="1"/>
      <c r="T2666" s="1"/>
      <c r="U2666" s="1"/>
      <c r="V2666" s="1"/>
      <c r="W2666" s="1"/>
      <c r="X2666" s="1"/>
      <c r="Y2666" s="1"/>
      <c r="Z2666" s="1"/>
      <c r="AA2666" s="1"/>
      <c r="AB2666" s="1"/>
      <c r="AC2666" s="1"/>
      <c r="AD2666" s="1"/>
      <c r="AE2666" s="1"/>
      <c r="AF2666" s="1"/>
    </row>
    <row r="2667" spans="7:32" x14ac:dyDescent="0.2">
      <c r="G2667" s="2"/>
      <c r="H2667" s="1"/>
      <c r="I2667" s="1"/>
      <c r="J2667" s="1"/>
      <c r="K2667" s="1"/>
      <c r="L2667" s="1"/>
      <c r="M2667" s="1"/>
      <c r="N2667" s="1"/>
      <c r="O2667" s="1"/>
      <c r="P2667" s="1"/>
      <c r="Q2667" s="1"/>
      <c r="R2667" s="1"/>
      <c r="S2667" s="1"/>
      <c r="T2667" s="1"/>
      <c r="U2667" s="1"/>
      <c r="V2667" s="1"/>
      <c r="W2667" s="1"/>
      <c r="X2667" s="1"/>
      <c r="Y2667" s="1"/>
      <c r="Z2667" s="1"/>
      <c r="AA2667" s="1"/>
      <c r="AB2667" s="1"/>
      <c r="AC2667" s="1"/>
      <c r="AD2667" s="1"/>
      <c r="AE2667" s="1"/>
      <c r="AF2667" s="1"/>
    </row>
    <row r="2668" spans="7:32" x14ac:dyDescent="0.2">
      <c r="G2668" s="2"/>
      <c r="H2668" s="1"/>
      <c r="I2668" s="1"/>
      <c r="J2668" s="1"/>
      <c r="K2668" s="1"/>
      <c r="L2668" s="1"/>
      <c r="M2668" s="1"/>
      <c r="N2668" s="1"/>
      <c r="O2668" s="1"/>
      <c r="P2668" s="1"/>
      <c r="Q2668" s="1"/>
      <c r="R2668" s="1"/>
      <c r="S2668" s="1"/>
      <c r="T2668" s="1"/>
      <c r="U2668" s="1"/>
      <c r="V2668" s="1"/>
      <c r="W2668" s="1"/>
      <c r="X2668" s="1"/>
      <c r="Y2668" s="1"/>
      <c r="Z2668" s="1"/>
      <c r="AA2668" s="1"/>
      <c r="AB2668" s="1"/>
      <c r="AC2668" s="1"/>
      <c r="AD2668" s="1"/>
      <c r="AE2668" s="1"/>
      <c r="AF2668" s="1"/>
    </row>
    <row r="2669" spans="7:32" x14ac:dyDescent="0.2">
      <c r="G2669" s="2"/>
      <c r="H2669" s="1"/>
      <c r="I2669" s="1"/>
      <c r="J2669" s="1"/>
      <c r="K2669" s="1"/>
      <c r="L2669" s="1"/>
      <c r="M2669" s="1"/>
      <c r="N2669" s="1"/>
      <c r="O2669" s="1"/>
      <c r="P2669" s="1"/>
      <c r="Q2669" s="1"/>
      <c r="R2669" s="1"/>
      <c r="S2669" s="1"/>
      <c r="T2669" s="1"/>
      <c r="U2669" s="1"/>
      <c r="V2669" s="1"/>
      <c r="W2669" s="1"/>
      <c r="X2669" s="1"/>
      <c r="Y2669" s="1"/>
      <c r="Z2669" s="1"/>
      <c r="AA2669" s="1"/>
      <c r="AB2669" s="1"/>
      <c r="AC2669" s="1"/>
      <c r="AD2669" s="1"/>
      <c r="AE2669" s="1"/>
      <c r="AF2669" s="1"/>
    </row>
    <row r="2670" spans="7:32" x14ac:dyDescent="0.2">
      <c r="G2670" s="2"/>
      <c r="H2670" s="1"/>
      <c r="I2670" s="1"/>
      <c r="J2670" s="1"/>
      <c r="K2670" s="1"/>
      <c r="L2670" s="1"/>
      <c r="M2670" s="1"/>
      <c r="N2670" s="1"/>
      <c r="O2670" s="1"/>
      <c r="P2670" s="1"/>
      <c r="Q2670" s="1"/>
      <c r="R2670" s="1"/>
      <c r="S2670" s="1"/>
      <c r="T2670" s="1"/>
      <c r="U2670" s="1"/>
      <c r="V2670" s="1"/>
      <c r="W2670" s="1"/>
      <c r="X2670" s="1"/>
      <c r="Y2670" s="1"/>
      <c r="Z2670" s="1"/>
      <c r="AA2670" s="1"/>
      <c r="AB2670" s="1"/>
      <c r="AC2670" s="1"/>
      <c r="AD2670" s="1"/>
      <c r="AE2670" s="1"/>
      <c r="AF2670" s="1"/>
    </row>
    <row r="2671" spans="7:32" x14ac:dyDescent="0.2">
      <c r="G2671" s="2"/>
      <c r="H2671" s="1"/>
      <c r="I2671" s="1"/>
      <c r="J2671" s="1"/>
      <c r="K2671" s="1"/>
      <c r="L2671" s="1"/>
      <c r="M2671" s="1"/>
      <c r="N2671" s="1"/>
      <c r="O2671" s="1"/>
      <c r="P2671" s="1"/>
      <c r="Q2671" s="1"/>
      <c r="R2671" s="1"/>
      <c r="S2671" s="1"/>
      <c r="T2671" s="1"/>
      <c r="U2671" s="1"/>
      <c r="V2671" s="1"/>
      <c r="W2671" s="1"/>
      <c r="X2671" s="1"/>
      <c r="Y2671" s="1"/>
      <c r="Z2671" s="1"/>
      <c r="AA2671" s="1"/>
      <c r="AB2671" s="1"/>
      <c r="AC2671" s="1"/>
      <c r="AD2671" s="1"/>
      <c r="AE2671" s="1"/>
      <c r="AF2671" s="1"/>
    </row>
    <row r="2672" spans="7:32" x14ac:dyDescent="0.2">
      <c r="G2672" s="2"/>
      <c r="H2672" s="1"/>
      <c r="I2672" s="1"/>
      <c r="J2672" s="1"/>
      <c r="K2672" s="1"/>
      <c r="L2672" s="1"/>
      <c r="M2672" s="1"/>
      <c r="N2672" s="1"/>
      <c r="O2672" s="1"/>
      <c r="P2672" s="1"/>
      <c r="Q2672" s="1"/>
      <c r="R2672" s="1"/>
      <c r="S2672" s="1"/>
      <c r="T2672" s="1"/>
      <c r="U2672" s="1"/>
      <c r="V2672" s="1"/>
      <c r="W2672" s="1"/>
      <c r="X2672" s="1"/>
      <c r="Y2672" s="1"/>
      <c r="Z2672" s="1"/>
      <c r="AA2672" s="1"/>
      <c r="AB2672" s="1"/>
      <c r="AC2672" s="1"/>
      <c r="AD2672" s="1"/>
      <c r="AE2672" s="1"/>
      <c r="AF2672" s="1"/>
    </row>
    <row r="2673" spans="7:32" x14ac:dyDescent="0.2">
      <c r="G2673" s="2"/>
      <c r="H2673" s="1"/>
      <c r="I2673" s="1"/>
      <c r="J2673" s="1"/>
      <c r="K2673" s="1"/>
      <c r="L2673" s="1"/>
      <c r="M2673" s="1"/>
      <c r="N2673" s="1"/>
      <c r="O2673" s="1"/>
      <c r="P2673" s="1"/>
      <c r="Q2673" s="1"/>
      <c r="R2673" s="1"/>
      <c r="S2673" s="1"/>
      <c r="T2673" s="1"/>
      <c r="U2673" s="1"/>
      <c r="V2673" s="1"/>
      <c r="W2673" s="1"/>
      <c r="X2673" s="1"/>
      <c r="Y2673" s="1"/>
      <c r="Z2673" s="1"/>
      <c r="AA2673" s="1"/>
      <c r="AB2673" s="1"/>
      <c r="AC2673" s="1"/>
      <c r="AD2673" s="1"/>
      <c r="AE2673" s="1"/>
      <c r="AF2673" s="1"/>
    </row>
    <row r="2674" spans="7:32" x14ac:dyDescent="0.2">
      <c r="G2674" s="2"/>
      <c r="H2674" s="1"/>
      <c r="I2674" s="1"/>
      <c r="J2674" s="1"/>
      <c r="K2674" s="1"/>
      <c r="L2674" s="1"/>
      <c r="M2674" s="1"/>
      <c r="N2674" s="1"/>
      <c r="O2674" s="1"/>
      <c r="P2674" s="1"/>
      <c r="Q2674" s="1"/>
      <c r="R2674" s="1"/>
      <c r="S2674" s="1"/>
      <c r="T2674" s="1"/>
      <c r="U2674" s="1"/>
      <c r="V2674" s="1"/>
      <c r="W2674" s="1"/>
      <c r="X2674" s="1"/>
      <c r="Y2674" s="1"/>
      <c r="Z2674" s="1"/>
      <c r="AA2674" s="1"/>
      <c r="AB2674" s="1"/>
      <c r="AC2674" s="1"/>
      <c r="AD2674" s="1"/>
      <c r="AE2674" s="1"/>
      <c r="AF2674" s="1"/>
    </row>
    <row r="2675" spans="7:32" x14ac:dyDescent="0.2">
      <c r="G2675" s="2"/>
      <c r="H2675" s="1"/>
      <c r="I2675" s="1"/>
      <c r="J2675" s="1"/>
      <c r="K2675" s="1"/>
      <c r="L2675" s="1"/>
      <c r="M2675" s="1"/>
      <c r="N2675" s="1"/>
      <c r="O2675" s="1"/>
      <c r="P2675" s="1"/>
      <c r="Q2675" s="1"/>
      <c r="R2675" s="1"/>
      <c r="S2675" s="1"/>
      <c r="T2675" s="1"/>
      <c r="U2675" s="1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</row>
    <row r="2676" spans="7:32" x14ac:dyDescent="0.2">
      <c r="G2676" s="2"/>
      <c r="H2676" s="1"/>
      <c r="I2676" s="1"/>
      <c r="J2676" s="1"/>
      <c r="K2676" s="1"/>
      <c r="L2676" s="1"/>
      <c r="M2676" s="1"/>
      <c r="N2676" s="1"/>
      <c r="O2676" s="1"/>
      <c r="P2676" s="1"/>
      <c r="Q2676" s="1"/>
      <c r="R2676" s="1"/>
      <c r="S2676" s="1"/>
      <c r="T2676" s="1"/>
      <c r="U2676" s="1"/>
      <c r="V2676" s="1"/>
      <c r="W2676" s="1"/>
      <c r="X2676" s="1"/>
      <c r="Y2676" s="1"/>
      <c r="Z2676" s="1"/>
      <c r="AA2676" s="1"/>
      <c r="AB2676" s="1"/>
      <c r="AC2676" s="1"/>
      <c r="AD2676" s="1"/>
      <c r="AE2676" s="1"/>
      <c r="AF2676" s="1"/>
    </row>
    <row r="2677" spans="7:32" x14ac:dyDescent="0.2">
      <c r="G2677" s="2"/>
      <c r="H2677" s="1"/>
      <c r="I2677" s="1"/>
      <c r="J2677" s="1"/>
      <c r="K2677" s="1"/>
      <c r="L2677" s="1"/>
      <c r="M2677" s="1"/>
      <c r="N2677" s="1"/>
      <c r="O2677" s="1"/>
      <c r="P2677" s="1"/>
      <c r="Q2677" s="1"/>
      <c r="R2677" s="1"/>
      <c r="S2677" s="1"/>
      <c r="T2677" s="1"/>
      <c r="U2677" s="1"/>
      <c r="V2677" s="1"/>
      <c r="W2677" s="1"/>
      <c r="X2677" s="1"/>
      <c r="Y2677" s="1"/>
      <c r="Z2677" s="1"/>
      <c r="AA2677" s="1"/>
      <c r="AB2677" s="1"/>
      <c r="AC2677" s="1"/>
      <c r="AD2677" s="1"/>
      <c r="AE2677" s="1"/>
      <c r="AF2677" s="1"/>
    </row>
    <row r="2678" spans="7:32" x14ac:dyDescent="0.2">
      <c r="G2678" s="2"/>
      <c r="H2678" s="1"/>
      <c r="I2678" s="1"/>
      <c r="J2678" s="1"/>
      <c r="K2678" s="1"/>
      <c r="L2678" s="1"/>
      <c r="M2678" s="1"/>
      <c r="N2678" s="1"/>
      <c r="O2678" s="1"/>
      <c r="P2678" s="1"/>
      <c r="Q2678" s="1"/>
      <c r="R2678" s="1"/>
      <c r="S2678" s="1"/>
      <c r="T2678" s="1"/>
      <c r="U2678" s="1"/>
      <c r="V2678" s="1"/>
      <c r="W2678" s="1"/>
      <c r="X2678" s="1"/>
      <c r="Y2678" s="1"/>
      <c r="Z2678" s="1"/>
      <c r="AA2678" s="1"/>
      <c r="AB2678" s="1"/>
      <c r="AC2678" s="1"/>
      <c r="AD2678" s="1"/>
      <c r="AE2678" s="1"/>
      <c r="AF2678" s="1"/>
    </row>
    <row r="2679" spans="7:32" x14ac:dyDescent="0.2">
      <c r="G2679" s="2"/>
      <c r="H2679" s="1"/>
      <c r="I2679" s="1"/>
      <c r="J2679" s="1"/>
      <c r="K2679" s="1"/>
      <c r="L2679" s="1"/>
      <c r="M2679" s="1"/>
      <c r="N2679" s="1"/>
      <c r="O2679" s="1"/>
      <c r="P2679" s="1"/>
      <c r="Q2679" s="1"/>
      <c r="R2679" s="1"/>
      <c r="S2679" s="1"/>
      <c r="T2679" s="1"/>
      <c r="U2679" s="1"/>
      <c r="V2679" s="1"/>
      <c r="W2679" s="1"/>
      <c r="X2679" s="1"/>
      <c r="Y2679" s="1"/>
      <c r="Z2679" s="1"/>
      <c r="AA2679" s="1"/>
      <c r="AB2679" s="1"/>
      <c r="AC2679" s="1"/>
      <c r="AD2679" s="1"/>
      <c r="AE2679" s="1"/>
      <c r="AF2679" s="1"/>
    </row>
    <row r="2680" spans="7:32" x14ac:dyDescent="0.2">
      <c r="G2680" s="2"/>
      <c r="H2680" s="1"/>
      <c r="I2680" s="1"/>
      <c r="J2680" s="1"/>
      <c r="K2680" s="1"/>
      <c r="L2680" s="1"/>
      <c r="M2680" s="1"/>
      <c r="N2680" s="1"/>
      <c r="O2680" s="1"/>
      <c r="P2680" s="1"/>
      <c r="Q2680" s="1"/>
      <c r="R2680" s="1"/>
      <c r="S2680" s="1"/>
      <c r="T2680" s="1"/>
      <c r="U2680" s="1"/>
      <c r="V2680" s="1"/>
      <c r="W2680" s="1"/>
      <c r="X2680" s="1"/>
      <c r="Y2680" s="1"/>
      <c r="Z2680" s="1"/>
      <c r="AA2680" s="1"/>
      <c r="AB2680" s="1"/>
      <c r="AC2680" s="1"/>
      <c r="AD2680" s="1"/>
      <c r="AE2680" s="1"/>
      <c r="AF2680" s="1"/>
    </row>
    <row r="2681" spans="7:32" x14ac:dyDescent="0.2">
      <c r="G2681" s="2"/>
      <c r="H2681" s="1"/>
      <c r="I2681" s="1"/>
      <c r="J2681" s="1"/>
      <c r="K2681" s="1"/>
      <c r="L2681" s="1"/>
      <c r="M2681" s="1"/>
      <c r="N2681" s="1"/>
      <c r="O2681" s="1"/>
      <c r="P2681" s="1"/>
      <c r="Q2681" s="1"/>
      <c r="R2681" s="1"/>
      <c r="S2681" s="1"/>
      <c r="T2681" s="1"/>
      <c r="U2681" s="1"/>
      <c r="V2681" s="1"/>
      <c r="W2681" s="1"/>
      <c r="X2681" s="1"/>
      <c r="Y2681" s="1"/>
      <c r="Z2681" s="1"/>
      <c r="AA2681" s="1"/>
      <c r="AB2681" s="1"/>
      <c r="AC2681" s="1"/>
      <c r="AD2681" s="1"/>
      <c r="AE2681" s="1"/>
      <c r="AF2681" s="1"/>
    </row>
    <row r="2682" spans="7:32" x14ac:dyDescent="0.2">
      <c r="G2682" s="2"/>
      <c r="H2682" s="1"/>
      <c r="I2682" s="1"/>
      <c r="J2682" s="1"/>
      <c r="K2682" s="1"/>
      <c r="L2682" s="1"/>
      <c r="M2682" s="1"/>
      <c r="N2682" s="1"/>
      <c r="O2682" s="1"/>
      <c r="P2682" s="1"/>
      <c r="Q2682" s="1"/>
      <c r="R2682" s="1"/>
      <c r="S2682" s="1"/>
      <c r="T2682" s="1"/>
      <c r="U2682" s="1"/>
      <c r="V2682" s="1"/>
      <c r="W2682" s="1"/>
      <c r="X2682" s="1"/>
      <c r="Y2682" s="1"/>
      <c r="Z2682" s="1"/>
      <c r="AA2682" s="1"/>
      <c r="AB2682" s="1"/>
      <c r="AC2682" s="1"/>
      <c r="AD2682" s="1"/>
      <c r="AE2682" s="1"/>
      <c r="AF2682" s="1"/>
    </row>
    <row r="2683" spans="7:32" x14ac:dyDescent="0.2">
      <c r="G2683" s="2"/>
      <c r="H2683" s="1"/>
      <c r="I2683" s="1"/>
      <c r="J2683" s="1"/>
      <c r="K2683" s="1"/>
      <c r="L2683" s="1"/>
      <c r="M2683" s="1"/>
      <c r="N2683" s="1"/>
      <c r="O2683" s="1"/>
      <c r="P2683" s="1"/>
      <c r="Q2683" s="1"/>
      <c r="R2683" s="1"/>
      <c r="S2683" s="1"/>
      <c r="T2683" s="1"/>
      <c r="U2683" s="1"/>
      <c r="V2683" s="1"/>
      <c r="W2683" s="1"/>
      <c r="X2683" s="1"/>
      <c r="Y2683" s="1"/>
      <c r="Z2683" s="1"/>
      <c r="AA2683" s="1"/>
      <c r="AB2683" s="1"/>
      <c r="AC2683" s="1"/>
      <c r="AD2683" s="1"/>
      <c r="AE2683" s="1"/>
      <c r="AF2683" s="1"/>
    </row>
    <row r="2684" spans="7:32" x14ac:dyDescent="0.2">
      <c r="G2684" s="2"/>
      <c r="H2684" s="1"/>
      <c r="I2684" s="1"/>
      <c r="J2684" s="1"/>
      <c r="K2684" s="1"/>
      <c r="L2684" s="1"/>
      <c r="M2684" s="1"/>
      <c r="N2684" s="1"/>
      <c r="O2684" s="1"/>
      <c r="P2684" s="1"/>
      <c r="Q2684" s="1"/>
      <c r="R2684" s="1"/>
      <c r="S2684" s="1"/>
      <c r="T2684" s="1"/>
      <c r="U2684" s="1"/>
      <c r="V2684" s="1"/>
      <c r="W2684" s="1"/>
      <c r="X2684" s="1"/>
      <c r="Y2684" s="1"/>
      <c r="Z2684" s="1"/>
      <c r="AA2684" s="1"/>
      <c r="AB2684" s="1"/>
      <c r="AC2684" s="1"/>
      <c r="AD2684" s="1"/>
      <c r="AE2684" s="1"/>
      <c r="AF2684" s="1"/>
    </row>
    <row r="2685" spans="7:32" x14ac:dyDescent="0.2">
      <c r="G2685" s="2"/>
      <c r="H2685" s="1"/>
      <c r="I2685" s="1"/>
      <c r="J2685" s="1"/>
      <c r="K2685" s="1"/>
      <c r="L2685" s="1"/>
      <c r="M2685" s="1"/>
      <c r="N2685" s="1"/>
      <c r="O2685" s="1"/>
      <c r="P2685" s="1"/>
      <c r="Q2685" s="1"/>
      <c r="R2685" s="1"/>
      <c r="S2685" s="1"/>
      <c r="T2685" s="1"/>
      <c r="U2685" s="1"/>
      <c r="V2685" s="1"/>
      <c r="W2685" s="1"/>
      <c r="X2685" s="1"/>
      <c r="Y2685" s="1"/>
      <c r="Z2685" s="1"/>
      <c r="AA2685" s="1"/>
      <c r="AB2685" s="1"/>
      <c r="AC2685" s="1"/>
      <c r="AD2685" s="1"/>
      <c r="AE2685" s="1"/>
      <c r="AF2685" s="1"/>
    </row>
    <row r="2686" spans="7:32" x14ac:dyDescent="0.2">
      <c r="G2686" s="2"/>
      <c r="H2686" s="1"/>
      <c r="I2686" s="1"/>
      <c r="J2686" s="1"/>
      <c r="K2686" s="1"/>
      <c r="L2686" s="1"/>
      <c r="M2686" s="1"/>
      <c r="N2686" s="1"/>
      <c r="O2686" s="1"/>
      <c r="P2686" s="1"/>
      <c r="Q2686" s="1"/>
      <c r="R2686" s="1"/>
      <c r="S2686" s="1"/>
      <c r="T2686" s="1"/>
      <c r="U2686" s="1"/>
      <c r="V2686" s="1"/>
      <c r="W2686" s="1"/>
      <c r="X2686" s="1"/>
      <c r="Y2686" s="1"/>
      <c r="Z2686" s="1"/>
      <c r="AA2686" s="1"/>
      <c r="AB2686" s="1"/>
      <c r="AC2686" s="1"/>
      <c r="AD2686" s="1"/>
      <c r="AE2686" s="1"/>
      <c r="AF2686" s="1"/>
    </row>
    <row r="2687" spans="7:32" x14ac:dyDescent="0.2">
      <c r="G2687" s="2"/>
      <c r="H2687" s="1"/>
      <c r="I2687" s="1"/>
      <c r="J2687" s="1"/>
      <c r="K2687" s="1"/>
      <c r="L2687" s="1"/>
      <c r="M2687" s="1"/>
      <c r="N2687" s="1"/>
      <c r="O2687" s="1"/>
      <c r="P2687" s="1"/>
      <c r="Q2687" s="1"/>
      <c r="R2687" s="1"/>
      <c r="S2687" s="1"/>
      <c r="T2687" s="1"/>
      <c r="U2687" s="1"/>
      <c r="V2687" s="1"/>
      <c r="W2687" s="1"/>
      <c r="X2687" s="1"/>
      <c r="Y2687" s="1"/>
      <c r="Z2687" s="1"/>
      <c r="AA2687" s="1"/>
      <c r="AB2687" s="1"/>
      <c r="AC2687" s="1"/>
      <c r="AD2687" s="1"/>
      <c r="AE2687" s="1"/>
      <c r="AF2687" s="1"/>
    </row>
    <row r="2688" spans="7:32" x14ac:dyDescent="0.2">
      <c r="G2688" s="2"/>
      <c r="H2688" s="1"/>
      <c r="I2688" s="1"/>
      <c r="J2688" s="1"/>
      <c r="K2688" s="1"/>
      <c r="L2688" s="1"/>
      <c r="M2688" s="1"/>
      <c r="N2688" s="1"/>
      <c r="O2688" s="1"/>
      <c r="P2688" s="1"/>
      <c r="Q2688" s="1"/>
      <c r="R2688" s="1"/>
      <c r="S2688" s="1"/>
      <c r="T2688" s="1"/>
      <c r="U2688" s="1"/>
      <c r="V2688" s="1"/>
      <c r="W2688" s="1"/>
      <c r="X2688" s="1"/>
      <c r="Y2688" s="1"/>
      <c r="Z2688" s="1"/>
      <c r="AA2688" s="1"/>
      <c r="AB2688" s="1"/>
      <c r="AC2688" s="1"/>
      <c r="AD2688" s="1"/>
      <c r="AE2688" s="1"/>
      <c r="AF2688" s="1"/>
    </row>
    <row r="2689" spans="7:32" x14ac:dyDescent="0.2">
      <c r="G2689" s="2"/>
      <c r="H2689" s="1"/>
      <c r="I2689" s="1"/>
      <c r="J2689" s="1"/>
      <c r="K2689" s="1"/>
      <c r="L2689" s="1"/>
      <c r="M2689" s="1"/>
      <c r="N2689" s="1"/>
      <c r="O2689" s="1"/>
      <c r="P2689" s="1"/>
      <c r="Q2689" s="1"/>
      <c r="R2689" s="1"/>
      <c r="S2689" s="1"/>
      <c r="T2689" s="1"/>
      <c r="U2689" s="1"/>
      <c r="V2689" s="1"/>
      <c r="W2689" s="1"/>
      <c r="X2689" s="1"/>
      <c r="Y2689" s="1"/>
      <c r="Z2689" s="1"/>
      <c r="AA2689" s="1"/>
      <c r="AB2689" s="1"/>
      <c r="AC2689" s="1"/>
      <c r="AD2689" s="1"/>
      <c r="AE2689" s="1"/>
      <c r="AF2689" s="1"/>
    </row>
    <row r="2690" spans="7:32" x14ac:dyDescent="0.2">
      <c r="G2690" s="2"/>
      <c r="H2690" s="1"/>
      <c r="I2690" s="1"/>
      <c r="J2690" s="1"/>
      <c r="K2690" s="1"/>
      <c r="L2690" s="1"/>
      <c r="M2690" s="1"/>
      <c r="N2690" s="1"/>
      <c r="O2690" s="1"/>
      <c r="P2690" s="1"/>
      <c r="Q2690" s="1"/>
      <c r="R2690" s="1"/>
      <c r="S2690" s="1"/>
      <c r="T2690" s="1"/>
      <c r="U2690" s="1"/>
      <c r="V2690" s="1"/>
      <c r="W2690" s="1"/>
      <c r="X2690" s="1"/>
      <c r="Y2690" s="1"/>
      <c r="Z2690" s="1"/>
      <c r="AA2690" s="1"/>
      <c r="AB2690" s="1"/>
      <c r="AC2690" s="1"/>
      <c r="AD2690" s="1"/>
      <c r="AE2690" s="1"/>
      <c r="AF2690" s="1"/>
    </row>
    <row r="2691" spans="7:32" x14ac:dyDescent="0.2">
      <c r="G2691" s="2"/>
      <c r="H2691" s="1"/>
      <c r="I2691" s="1"/>
      <c r="J2691" s="1"/>
      <c r="K2691" s="1"/>
      <c r="L2691" s="1"/>
      <c r="M2691" s="1"/>
      <c r="N2691" s="1"/>
      <c r="O2691" s="1"/>
      <c r="P2691" s="1"/>
      <c r="Q2691" s="1"/>
      <c r="R2691" s="1"/>
      <c r="S2691" s="1"/>
      <c r="T2691" s="1"/>
      <c r="U2691" s="1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</row>
    <row r="2692" spans="7:32" x14ac:dyDescent="0.2">
      <c r="G2692" s="2"/>
      <c r="H2692" s="1"/>
      <c r="I2692" s="1"/>
      <c r="J2692" s="1"/>
      <c r="K2692" s="1"/>
      <c r="L2692" s="1"/>
      <c r="M2692" s="1"/>
      <c r="N2692" s="1"/>
      <c r="O2692" s="1"/>
      <c r="P2692" s="1"/>
      <c r="Q2692" s="1"/>
      <c r="R2692" s="1"/>
      <c r="S2692" s="1"/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</row>
    <row r="2693" spans="7:32" x14ac:dyDescent="0.2">
      <c r="G2693" s="2"/>
      <c r="H2693" s="1"/>
      <c r="I2693" s="1"/>
      <c r="J2693" s="1"/>
      <c r="K2693" s="1"/>
      <c r="L2693" s="1"/>
      <c r="M2693" s="1"/>
      <c r="N2693" s="1"/>
      <c r="O2693" s="1"/>
      <c r="P2693" s="1"/>
      <c r="Q2693" s="1"/>
      <c r="R2693" s="1"/>
      <c r="S2693" s="1"/>
      <c r="T2693" s="1"/>
      <c r="U2693" s="1"/>
      <c r="V2693" s="1"/>
      <c r="W2693" s="1"/>
      <c r="X2693" s="1"/>
      <c r="Y2693" s="1"/>
      <c r="Z2693" s="1"/>
      <c r="AA2693" s="1"/>
      <c r="AB2693" s="1"/>
      <c r="AC2693" s="1"/>
      <c r="AD2693" s="1"/>
      <c r="AE2693" s="1"/>
      <c r="AF2693" s="1"/>
    </row>
    <row r="2694" spans="7:32" x14ac:dyDescent="0.2">
      <c r="G2694" s="2"/>
      <c r="H2694" s="1"/>
      <c r="I2694" s="1"/>
      <c r="J2694" s="1"/>
      <c r="K2694" s="1"/>
      <c r="L2694" s="1"/>
      <c r="M2694" s="1"/>
      <c r="N2694" s="1"/>
      <c r="O2694" s="1"/>
      <c r="P2694" s="1"/>
      <c r="Q2694" s="1"/>
      <c r="R2694" s="1"/>
      <c r="S2694" s="1"/>
      <c r="T2694" s="1"/>
      <c r="U2694" s="1"/>
      <c r="V2694" s="1"/>
      <c r="W2694" s="1"/>
      <c r="X2694" s="1"/>
      <c r="Y2694" s="1"/>
      <c r="Z2694" s="1"/>
      <c r="AA2694" s="1"/>
      <c r="AB2694" s="1"/>
      <c r="AC2694" s="1"/>
      <c r="AD2694" s="1"/>
      <c r="AE2694" s="1"/>
      <c r="AF2694" s="1"/>
    </row>
    <row r="2695" spans="7:32" x14ac:dyDescent="0.2">
      <c r="G2695" s="2"/>
      <c r="H2695" s="1"/>
      <c r="I2695" s="1"/>
      <c r="J2695" s="1"/>
      <c r="K2695" s="1"/>
      <c r="L2695" s="1"/>
      <c r="M2695" s="1"/>
      <c r="N2695" s="1"/>
      <c r="O2695" s="1"/>
      <c r="P2695" s="1"/>
      <c r="Q2695" s="1"/>
      <c r="R2695" s="1"/>
      <c r="S2695" s="1"/>
      <c r="T2695" s="1"/>
      <c r="U2695" s="1"/>
      <c r="V2695" s="1"/>
      <c r="W2695" s="1"/>
      <c r="X2695" s="1"/>
      <c r="Y2695" s="1"/>
      <c r="Z2695" s="1"/>
      <c r="AA2695" s="1"/>
      <c r="AB2695" s="1"/>
      <c r="AC2695" s="1"/>
      <c r="AD2695" s="1"/>
      <c r="AE2695" s="1"/>
      <c r="AF2695" s="1"/>
    </row>
    <row r="2696" spans="7:32" x14ac:dyDescent="0.2">
      <c r="G2696" s="2"/>
      <c r="H2696" s="1"/>
      <c r="I2696" s="1"/>
      <c r="J2696" s="1"/>
      <c r="K2696" s="1"/>
      <c r="L2696" s="1"/>
      <c r="M2696" s="1"/>
      <c r="N2696" s="1"/>
      <c r="O2696" s="1"/>
      <c r="P2696" s="1"/>
      <c r="Q2696" s="1"/>
      <c r="R2696" s="1"/>
      <c r="S2696" s="1"/>
      <c r="T2696" s="1"/>
      <c r="U2696" s="1"/>
      <c r="V2696" s="1"/>
      <c r="W2696" s="1"/>
      <c r="X2696" s="1"/>
      <c r="Y2696" s="1"/>
      <c r="Z2696" s="1"/>
      <c r="AA2696" s="1"/>
      <c r="AB2696" s="1"/>
      <c r="AC2696" s="1"/>
      <c r="AD2696" s="1"/>
      <c r="AE2696" s="1"/>
      <c r="AF2696" s="1"/>
    </row>
    <row r="2697" spans="7:32" x14ac:dyDescent="0.2">
      <c r="G2697" s="2"/>
      <c r="H2697" s="1"/>
      <c r="I2697" s="1"/>
      <c r="J2697" s="1"/>
      <c r="K2697" s="1"/>
      <c r="L2697" s="1"/>
      <c r="M2697" s="1"/>
      <c r="N2697" s="1"/>
      <c r="O2697" s="1"/>
      <c r="P2697" s="1"/>
      <c r="Q2697" s="1"/>
      <c r="R2697" s="1"/>
      <c r="S2697" s="1"/>
      <c r="T2697" s="1"/>
      <c r="U2697" s="1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</row>
    <row r="2698" spans="7:32" x14ac:dyDescent="0.2">
      <c r="G2698" s="2"/>
      <c r="H2698" s="1"/>
      <c r="I2698" s="1"/>
      <c r="J2698" s="1"/>
      <c r="K2698" s="1"/>
      <c r="L2698" s="1"/>
      <c r="M2698" s="1"/>
      <c r="N2698" s="1"/>
      <c r="O2698" s="1"/>
      <c r="P2698" s="1"/>
      <c r="Q2698" s="1"/>
      <c r="R2698" s="1"/>
      <c r="S2698" s="1"/>
      <c r="T2698" s="1"/>
      <c r="U2698" s="1"/>
      <c r="V2698" s="1"/>
      <c r="W2698" s="1"/>
      <c r="X2698" s="1"/>
      <c r="Y2698" s="1"/>
      <c r="Z2698" s="1"/>
      <c r="AA2698" s="1"/>
      <c r="AB2698" s="1"/>
      <c r="AC2698" s="1"/>
      <c r="AD2698" s="1"/>
      <c r="AE2698" s="1"/>
      <c r="AF2698" s="1"/>
    </row>
    <row r="2699" spans="7:32" x14ac:dyDescent="0.2">
      <c r="G2699" s="2"/>
      <c r="H2699" s="1"/>
      <c r="I2699" s="1"/>
      <c r="J2699" s="1"/>
      <c r="K2699" s="1"/>
      <c r="L2699" s="1"/>
      <c r="M2699" s="1"/>
      <c r="N2699" s="1"/>
      <c r="O2699" s="1"/>
      <c r="P2699" s="1"/>
      <c r="Q2699" s="1"/>
      <c r="R2699" s="1"/>
      <c r="S2699" s="1"/>
      <c r="T2699" s="1"/>
      <c r="U2699" s="1"/>
      <c r="V2699" s="1"/>
      <c r="W2699" s="1"/>
      <c r="X2699" s="1"/>
      <c r="Y2699" s="1"/>
      <c r="Z2699" s="1"/>
      <c r="AA2699" s="1"/>
      <c r="AB2699" s="1"/>
      <c r="AC2699" s="1"/>
      <c r="AD2699" s="1"/>
      <c r="AE2699" s="1"/>
      <c r="AF2699" s="1"/>
    </row>
    <row r="2700" spans="7:32" x14ac:dyDescent="0.2">
      <c r="G2700" s="2"/>
      <c r="H2700" s="1"/>
      <c r="I2700" s="1"/>
      <c r="J2700" s="1"/>
      <c r="K2700" s="1"/>
      <c r="L2700" s="1"/>
      <c r="M2700" s="1"/>
      <c r="N2700" s="1"/>
      <c r="O2700" s="1"/>
      <c r="P2700" s="1"/>
      <c r="Q2700" s="1"/>
      <c r="R2700" s="1"/>
      <c r="S2700" s="1"/>
      <c r="T2700" s="1"/>
      <c r="U2700" s="1"/>
      <c r="V2700" s="1"/>
      <c r="W2700" s="1"/>
      <c r="X2700" s="1"/>
      <c r="Y2700" s="1"/>
      <c r="Z2700" s="1"/>
      <c r="AA2700" s="1"/>
      <c r="AB2700" s="1"/>
      <c r="AC2700" s="1"/>
      <c r="AD2700" s="1"/>
      <c r="AE2700" s="1"/>
      <c r="AF2700" s="1"/>
    </row>
    <row r="2701" spans="7:32" x14ac:dyDescent="0.2">
      <c r="G2701" s="2"/>
      <c r="H2701" s="1"/>
      <c r="I2701" s="1"/>
      <c r="J2701" s="1"/>
      <c r="K2701" s="1"/>
      <c r="L2701" s="1"/>
      <c r="M2701" s="1"/>
      <c r="N2701" s="1"/>
      <c r="O2701" s="1"/>
      <c r="P2701" s="1"/>
      <c r="Q2701" s="1"/>
      <c r="R2701" s="1"/>
      <c r="S2701" s="1"/>
      <c r="T2701" s="1"/>
      <c r="U2701" s="1"/>
      <c r="V2701" s="1"/>
      <c r="W2701" s="1"/>
      <c r="X2701" s="1"/>
      <c r="Y2701" s="1"/>
      <c r="Z2701" s="1"/>
      <c r="AA2701" s="1"/>
      <c r="AB2701" s="1"/>
      <c r="AC2701" s="1"/>
      <c r="AD2701" s="1"/>
      <c r="AE2701" s="1"/>
      <c r="AF2701" s="1"/>
    </row>
    <row r="2702" spans="7:32" x14ac:dyDescent="0.2">
      <c r="G2702" s="2"/>
      <c r="H2702" s="1"/>
      <c r="I2702" s="1"/>
      <c r="J2702" s="1"/>
      <c r="K2702" s="1"/>
      <c r="L2702" s="1"/>
      <c r="M2702" s="1"/>
      <c r="N2702" s="1"/>
      <c r="O2702" s="1"/>
      <c r="P2702" s="1"/>
      <c r="Q2702" s="1"/>
      <c r="R2702" s="1"/>
      <c r="S2702" s="1"/>
      <c r="T2702" s="1"/>
      <c r="U2702" s="1"/>
      <c r="V2702" s="1"/>
      <c r="W2702" s="1"/>
      <c r="X2702" s="1"/>
      <c r="Y2702" s="1"/>
      <c r="Z2702" s="1"/>
      <c r="AA2702" s="1"/>
      <c r="AB2702" s="1"/>
      <c r="AC2702" s="1"/>
      <c r="AD2702" s="1"/>
      <c r="AE2702" s="1"/>
      <c r="AF2702" s="1"/>
    </row>
    <row r="2703" spans="7:32" x14ac:dyDescent="0.2">
      <c r="G2703" s="2"/>
      <c r="H2703" s="1"/>
      <c r="I2703" s="1"/>
      <c r="J2703" s="1"/>
      <c r="K2703" s="1"/>
      <c r="L2703" s="1"/>
      <c r="M2703" s="1"/>
      <c r="N2703" s="1"/>
      <c r="O2703" s="1"/>
      <c r="P2703" s="1"/>
      <c r="Q2703" s="1"/>
      <c r="R2703" s="1"/>
      <c r="S2703" s="1"/>
      <c r="T2703" s="1"/>
      <c r="U2703" s="1"/>
      <c r="V2703" s="1"/>
      <c r="W2703" s="1"/>
      <c r="X2703" s="1"/>
      <c r="Y2703" s="1"/>
      <c r="Z2703" s="1"/>
      <c r="AA2703" s="1"/>
      <c r="AB2703" s="1"/>
      <c r="AC2703" s="1"/>
      <c r="AD2703" s="1"/>
      <c r="AE2703" s="1"/>
      <c r="AF2703" s="1"/>
    </row>
    <row r="2704" spans="7:32" x14ac:dyDescent="0.2">
      <c r="G2704" s="2"/>
      <c r="H2704" s="1"/>
      <c r="I2704" s="1"/>
      <c r="J2704" s="1"/>
      <c r="K2704" s="1"/>
      <c r="L2704" s="1"/>
      <c r="M2704" s="1"/>
      <c r="N2704" s="1"/>
      <c r="O2704" s="1"/>
      <c r="P2704" s="1"/>
      <c r="Q2704" s="1"/>
      <c r="R2704" s="1"/>
      <c r="S2704" s="1"/>
      <c r="T2704" s="1"/>
      <c r="U2704" s="1"/>
      <c r="V2704" s="1"/>
      <c r="W2704" s="1"/>
      <c r="X2704" s="1"/>
      <c r="Y2704" s="1"/>
      <c r="Z2704" s="1"/>
      <c r="AA2704" s="1"/>
      <c r="AB2704" s="1"/>
      <c r="AC2704" s="1"/>
      <c r="AD2704" s="1"/>
      <c r="AE2704" s="1"/>
      <c r="AF2704" s="1"/>
    </row>
    <row r="2705" spans="7:32" x14ac:dyDescent="0.2">
      <c r="G2705" s="2"/>
      <c r="H2705" s="1"/>
      <c r="I2705" s="1"/>
      <c r="J2705" s="1"/>
      <c r="K2705" s="1"/>
      <c r="L2705" s="1"/>
      <c r="M2705" s="1"/>
      <c r="N2705" s="1"/>
      <c r="O2705" s="1"/>
      <c r="P2705" s="1"/>
      <c r="Q2705" s="1"/>
      <c r="R2705" s="1"/>
      <c r="S2705" s="1"/>
      <c r="T2705" s="1"/>
      <c r="U2705" s="1"/>
      <c r="V2705" s="1"/>
      <c r="W2705" s="1"/>
      <c r="X2705" s="1"/>
      <c r="Y2705" s="1"/>
      <c r="Z2705" s="1"/>
      <c r="AA2705" s="1"/>
      <c r="AB2705" s="1"/>
      <c r="AC2705" s="1"/>
      <c r="AD2705" s="1"/>
      <c r="AE2705" s="1"/>
      <c r="AF2705" s="1"/>
    </row>
    <row r="2706" spans="7:32" x14ac:dyDescent="0.2">
      <c r="G2706" s="2"/>
      <c r="H2706" s="1"/>
      <c r="I2706" s="1"/>
      <c r="J2706" s="1"/>
      <c r="K2706" s="1"/>
      <c r="L2706" s="1"/>
      <c r="M2706" s="1"/>
      <c r="N2706" s="1"/>
      <c r="O2706" s="1"/>
      <c r="P2706" s="1"/>
      <c r="Q2706" s="1"/>
      <c r="R2706" s="1"/>
      <c r="S2706" s="1"/>
      <c r="T2706" s="1"/>
      <c r="U2706" s="1"/>
      <c r="V2706" s="1"/>
      <c r="W2706" s="1"/>
      <c r="X2706" s="1"/>
      <c r="Y2706" s="1"/>
      <c r="Z2706" s="1"/>
      <c r="AA2706" s="1"/>
      <c r="AB2706" s="1"/>
      <c r="AC2706" s="1"/>
      <c r="AD2706" s="1"/>
      <c r="AE2706" s="1"/>
      <c r="AF2706" s="1"/>
    </row>
    <row r="2707" spans="7:32" x14ac:dyDescent="0.2">
      <c r="G2707" s="2"/>
      <c r="H2707" s="1"/>
      <c r="I2707" s="1"/>
      <c r="J2707" s="1"/>
      <c r="K2707" s="1"/>
      <c r="L2707" s="1"/>
      <c r="M2707" s="1"/>
      <c r="N2707" s="1"/>
      <c r="O2707" s="1"/>
      <c r="P2707" s="1"/>
      <c r="Q2707" s="1"/>
      <c r="R2707" s="1"/>
      <c r="S2707" s="1"/>
      <c r="T2707" s="1"/>
      <c r="U2707" s="1"/>
      <c r="V2707" s="1"/>
      <c r="W2707" s="1"/>
      <c r="X2707" s="1"/>
      <c r="Y2707" s="1"/>
      <c r="Z2707" s="1"/>
      <c r="AA2707" s="1"/>
      <c r="AB2707" s="1"/>
      <c r="AC2707" s="1"/>
      <c r="AD2707" s="1"/>
      <c r="AE2707" s="1"/>
      <c r="AF2707" s="1"/>
    </row>
    <row r="2708" spans="7:32" x14ac:dyDescent="0.2">
      <c r="G2708" s="2"/>
      <c r="H2708" s="1"/>
      <c r="I2708" s="1"/>
      <c r="J2708" s="1"/>
      <c r="K2708" s="1"/>
      <c r="L2708" s="1"/>
      <c r="M2708" s="1"/>
      <c r="N2708" s="1"/>
      <c r="O2708" s="1"/>
      <c r="P2708" s="1"/>
      <c r="Q2708" s="1"/>
      <c r="R2708" s="1"/>
      <c r="S2708" s="1"/>
      <c r="T2708" s="1"/>
      <c r="U2708" s="1"/>
      <c r="V2708" s="1"/>
      <c r="W2708" s="1"/>
      <c r="X2708" s="1"/>
      <c r="Y2708" s="1"/>
      <c r="Z2708" s="1"/>
      <c r="AA2708" s="1"/>
      <c r="AB2708" s="1"/>
      <c r="AC2708" s="1"/>
      <c r="AD2708" s="1"/>
      <c r="AE2708" s="1"/>
      <c r="AF2708" s="1"/>
    </row>
    <row r="2709" spans="7:32" x14ac:dyDescent="0.2">
      <c r="G2709" s="2"/>
      <c r="H2709" s="1"/>
      <c r="I2709" s="1"/>
      <c r="J2709" s="1"/>
      <c r="K2709" s="1"/>
      <c r="L2709" s="1"/>
      <c r="M2709" s="1"/>
      <c r="N2709" s="1"/>
      <c r="O2709" s="1"/>
      <c r="P2709" s="1"/>
      <c r="Q2709" s="1"/>
      <c r="R2709" s="1"/>
      <c r="S2709" s="1"/>
      <c r="T2709" s="1"/>
      <c r="U2709" s="1"/>
      <c r="V2709" s="1"/>
      <c r="W2709" s="1"/>
      <c r="X2709" s="1"/>
      <c r="Y2709" s="1"/>
      <c r="Z2709" s="1"/>
      <c r="AA2709" s="1"/>
      <c r="AB2709" s="1"/>
      <c r="AC2709" s="1"/>
      <c r="AD2709" s="1"/>
      <c r="AE2709" s="1"/>
      <c r="AF2709" s="1"/>
    </row>
    <row r="2710" spans="7:32" x14ac:dyDescent="0.2">
      <c r="G2710" s="2"/>
      <c r="H2710" s="1"/>
      <c r="I2710" s="1"/>
      <c r="J2710" s="1"/>
      <c r="K2710" s="1"/>
      <c r="L2710" s="1"/>
      <c r="M2710" s="1"/>
      <c r="N2710" s="1"/>
      <c r="O2710" s="1"/>
      <c r="P2710" s="1"/>
      <c r="Q2710" s="1"/>
      <c r="R2710" s="1"/>
      <c r="S2710" s="1"/>
      <c r="T2710" s="1"/>
      <c r="U2710" s="1"/>
      <c r="V2710" s="1"/>
      <c r="W2710" s="1"/>
      <c r="X2710" s="1"/>
      <c r="Y2710" s="1"/>
      <c r="Z2710" s="1"/>
      <c r="AA2710" s="1"/>
      <c r="AB2710" s="1"/>
      <c r="AC2710" s="1"/>
      <c r="AD2710" s="1"/>
      <c r="AE2710" s="1"/>
      <c r="AF2710" s="1"/>
    </row>
    <row r="2711" spans="7:32" x14ac:dyDescent="0.2">
      <c r="G2711" s="2"/>
      <c r="H2711" s="1"/>
      <c r="I2711" s="1"/>
      <c r="J2711" s="1"/>
      <c r="K2711" s="1"/>
      <c r="L2711" s="1"/>
      <c r="M2711" s="1"/>
      <c r="N2711" s="1"/>
      <c r="O2711" s="1"/>
      <c r="P2711" s="1"/>
      <c r="Q2711" s="1"/>
      <c r="R2711" s="1"/>
      <c r="S2711" s="1"/>
      <c r="T2711" s="1"/>
      <c r="U2711" s="1"/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</row>
    <row r="2712" spans="7:32" x14ac:dyDescent="0.2">
      <c r="G2712" s="2"/>
      <c r="H2712" s="1"/>
      <c r="I2712" s="1"/>
      <c r="J2712" s="1"/>
      <c r="K2712" s="1"/>
      <c r="L2712" s="1"/>
      <c r="M2712" s="1"/>
      <c r="N2712" s="1"/>
      <c r="O2712" s="1"/>
      <c r="P2712" s="1"/>
      <c r="Q2712" s="1"/>
      <c r="R2712" s="1"/>
      <c r="S2712" s="1"/>
      <c r="T2712" s="1"/>
      <c r="U2712" s="1"/>
      <c r="V2712" s="1"/>
      <c r="W2712" s="1"/>
      <c r="X2712" s="1"/>
      <c r="Y2712" s="1"/>
      <c r="Z2712" s="1"/>
      <c r="AA2712" s="1"/>
      <c r="AB2712" s="1"/>
      <c r="AC2712" s="1"/>
      <c r="AD2712" s="1"/>
      <c r="AE2712" s="1"/>
      <c r="AF2712" s="1"/>
    </row>
    <row r="2713" spans="7:32" x14ac:dyDescent="0.2">
      <c r="G2713" s="2"/>
      <c r="H2713" s="1"/>
      <c r="I2713" s="1"/>
      <c r="J2713" s="1"/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/>
      <c r="W2713" s="1"/>
      <c r="X2713" s="1"/>
      <c r="Y2713" s="1"/>
      <c r="Z2713" s="1"/>
      <c r="AA2713" s="1"/>
      <c r="AB2713" s="1"/>
      <c r="AC2713" s="1"/>
      <c r="AD2713" s="1"/>
      <c r="AE2713" s="1"/>
      <c r="AF2713" s="1"/>
    </row>
    <row r="2714" spans="7:32" x14ac:dyDescent="0.2">
      <c r="G2714" s="2"/>
      <c r="H2714" s="1"/>
      <c r="I2714" s="1"/>
      <c r="J2714" s="1"/>
      <c r="K2714" s="1"/>
      <c r="L2714" s="1"/>
      <c r="M2714" s="1"/>
      <c r="N2714" s="1"/>
      <c r="O2714" s="1"/>
      <c r="P2714" s="1"/>
      <c r="Q2714" s="1"/>
      <c r="R2714" s="1"/>
      <c r="S2714" s="1"/>
      <c r="T2714" s="1"/>
      <c r="U2714" s="1"/>
      <c r="V2714" s="1"/>
      <c r="W2714" s="1"/>
      <c r="X2714" s="1"/>
      <c r="Y2714" s="1"/>
      <c r="Z2714" s="1"/>
      <c r="AA2714" s="1"/>
      <c r="AB2714" s="1"/>
      <c r="AC2714" s="1"/>
      <c r="AD2714" s="1"/>
      <c r="AE2714" s="1"/>
      <c r="AF2714" s="1"/>
    </row>
    <row r="2715" spans="7:32" x14ac:dyDescent="0.2">
      <c r="G2715" s="2"/>
      <c r="H2715" s="1"/>
      <c r="I2715" s="1"/>
      <c r="J2715" s="1"/>
      <c r="K2715" s="1"/>
      <c r="L2715" s="1"/>
      <c r="M2715" s="1"/>
      <c r="N2715" s="1"/>
      <c r="O2715" s="1"/>
      <c r="P2715" s="1"/>
      <c r="Q2715" s="1"/>
      <c r="R2715" s="1"/>
      <c r="S2715" s="1"/>
      <c r="T2715" s="1"/>
      <c r="U2715" s="1"/>
      <c r="V2715" s="1"/>
      <c r="W2715" s="1"/>
      <c r="X2715" s="1"/>
      <c r="Y2715" s="1"/>
      <c r="Z2715" s="1"/>
      <c r="AA2715" s="1"/>
      <c r="AB2715" s="1"/>
      <c r="AC2715" s="1"/>
      <c r="AD2715" s="1"/>
      <c r="AE2715" s="1"/>
      <c r="AF2715" s="1"/>
    </row>
    <row r="2716" spans="7:32" x14ac:dyDescent="0.2">
      <c r="G2716" s="2"/>
      <c r="H2716" s="1"/>
      <c r="I2716" s="1"/>
      <c r="J2716" s="1"/>
      <c r="K2716" s="1"/>
      <c r="L2716" s="1"/>
      <c r="M2716" s="1"/>
      <c r="N2716" s="1"/>
      <c r="O2716" s="1"/>
      <c r="P2716" s="1"/>
      <c r="Q2716" s="1"/>
      <c r="R2716" s="1"/>
      <c r="S2716" s="1"/>
      <c r="T2716" s="1"/>
      <c r="U2716" s="1"/>
      <c r="V2716" s="1"/>
      <c r="W2716" s="1"/>
      <c r="X2716" s="1"/>
      <c r="Y2716" s="1"/>
      <c r="Z2716" s="1"/>
      <c r="AA2716" s="1"/>
      <c r="AB2716" s="1"/>
      <c r="AC2716" s="1"/>
      <c r="AD2716" s="1"/>
      <c r="AE2716" s="1"/>
      <c r="AF2716" s="1"/>
    </row>
    <row r="2717" spans="7:32" x14ac:dyDescent="0.2">
      <c r="G2717" s="2"/>
      <c r="H2717" s="1"/>
      <c r="I2717" s="1"/>
      <c r="J2717" s="1"/>
      <c r="K2717" s="1"/>
      <c r="L2717" s="1"/>
      <c r="M2717" s="1"/>
      <c r="N2717" s="1"/>
      <c r="O2717" s="1"/>
      <c r="P2717" s="1"/>
      <c r="Q2717" s="1"/>
      <c r="R2717" s="1"/>
      <c r="S2717" s="1"/>
      <c r="T2717" s="1"/>
      <c r="U2717" s="1"/>
      <c r="V2717" s="1"/>
      <c r="W2717" s="1"/>
      <c r="X2717" s="1"/>
      <c r="Y2717" s="1"/>
      <c r="Z2717" s="1"/>
      <c r="AA2717" s="1"/>
      <c r="AB2717" s="1"/>
      <c r="AC2717" s="1"/>
      <c r="AD2717" s="1"/>
      <c r="AE2717" s="1"/>
      <c r="AF2717" s="1"/>
    </row>
    <row r="2718" spans="7:32" x14ac:dyDescent="0.2">
      <c r="G2718" s="2"/>
      <c r="H2718" s="1"/>
      <c r="I2718" s="1"/>
      <c r="J2718" s="1"/>
      <c r="K2718" s="1"/>
      <c r="L2718" s="1"/>
      <c r="M2718" s="1"/>
      <c r="N2718" s="1"/>
      <c r="O2718" s="1"/>
      <c r="P2718" s="1"/>
      <c r="Q2718" s="1"/>
      <c r="R2718" s="1"/>
      <c r="S2718" s="1"/>
      <c r="T2718" s="1"/>
      <c r="U2718" s="1"/>
      <c r="V2718" s="1"/>
      <c r="W2718" s="1"/>
      <c r="X2718" s="1"/>
      <c r="Y2718" s="1"/>
      <c r="Z2718" s="1"/>
      <c r="AA2718" s="1"/>
      <c r="AB2718" s="1"/>
      <c r="AC2718" s="1"/>
      <c r="AD2718" s="1"/>
      <c r="AE2718" s="1"/>
      <c r="AF2718" s="1"/>
    </row>
    <row r="2719" spans="7:32" x14ac:dyDescent="0.2">
      <c r="G2719" s="2"/>
      <c r="H2719" s="1"/>
      <c r="I2719" s="1"/>
      <c r="J2719" s="1"/>
      <c r="K2719" s="1"/>
      <c r="L2719" s="1"/>
      <c r="M2719" s="1"/>
      <c r="N2719" s="1"/>
      <c r="O2719" s="1"/>
      <c r="P2719" s="1"/>
      <c r="Q2719" s="1"/>
      <c r="R2719" s="1"/>
      <c r="S2719" s="1"/>
      <c r="T2719" s="1"/>
      <c r="U2719" s="1"/>
      <c r="V2719" s="1"/>
      <c r="W2719" s="1"/>
      <c r="X2719" s="1"/>
      <c r="Y2719" s="1"/>
      <c r="Z2719" s="1"/>
      <c r="AA2719" s="1"/>
      <c r="AB2719" s="1"/>
      <c r="AC2719" s="1"/>
      <c r="AD2719" s="1"/>
      <c r="AE2719" s="1"/>
      <c r="AF2719" s="1"/>
    </row>
    <row r="2720" spans="7:32" x14ac:dyDescent="0.2">
      <c r="G2720" s="2"/>
      <c r="H2720" s="1"/>
      <c r="I2720" s="1"/>
      <c r="J2720" s="1"/>
      <c r="K2720" s="1"/>
      <c r="L2720" s="1"/>
      <c r="M2720" s="1"/>
      <c r="N2720" s="1"/>
      <c r="O2720" s="1"/>
      <c r="P2720" s="1"/>
      <c r="Q2720" s="1"/>
      <c r="R2720" s="1"/>
      <c r="S2720" s="1"/>
      <c r="T2720" s="1"/>
      <c r="U2720" s="1"/>
      <c r="V2720" s="1"/>
      <c r="W2720" s="1"/>
      <c r="X2720" s="1"/>
      <c r="Y2720" s="1"/>
      <c r="Z2720" s="1"/>
      <c r="AA2720" s="1"/>
      <c r="AB2720" s="1"/>
      <c r="AC2720" s="1"/>
      <c r="AD2720" s="1"/>
      <c r="AE2720" s="1"/>
      <c r="AF2720" s="1"/>
    </row>
    <row r="2721" spans="7:32" x14ac:dyDescent="0.2">
      <c r="G2721" s="2"/>
      <c r="H2721" s="1"/>
      <c r="I2721" s="1"/>
      <c r="J2721" s="1"/>
      <c r="K2721" s="1"/>
      <c r="L2721" s="1"/>
      <c r="M2721" s="1"/>
      <c r="N2721" s="1"/>
      <c r="O2721" s="1"/>
      <c r="P2721" s="1"/>
      <c r="Q2721" s="1"/>
      <c r="R2721" s="1"/>
      <c r="S2721" s="1"/>
      <c r="T2721" s="1"/>
      <c r="U2721" s="1"/>
      <c r="V2721" s="1"/>
      <c r="W2721" s="1"/>
      <c r="X2721" s="1"/>
      <c r="Y2721" s="1"/>
      <c r="Z2721" s="1"/>
      <c r="AA2721" s="1"/>
      <c r="AB2721" s="1"/>
      <c r="AC2721" s="1"/>
      <c r="AD2721" s="1"/>
      <c r="AE2721" s="1"/>
      <c r="AF2721" s="1"/>
    </row>
    <row r="2722" spans="7:32" x14ac:dyDescent="0.2">
      <c r="G2722" s="2"/>
      <c r="H2722" s="1"/>
      <c r="I2722" s="1"/>
      <c r="J2722" s="1"/>
      <c r="K2722" s="1"/>
      <c r="L2722" s="1"/>
      <c r="M2722" s="1"/>
      <c r="N2722" s="1"/>
      <c r="O2722" s="1"/>
      <c r="P2722" s="1"/>
      <c r="Q2722" s="1"/>
      <c r="R2722" s="1"/>
      <c r="S2722" s="1"/>
      <c r="T2722" s="1"/>
      <c r="U2722" s="1"/>
      <c r="V2722" s="1"/>
      <c r="W2722" s="1"/>
      <c r="X2722" s="1"/>
      <c r="Y2722" s="1"/>
      <c r="Z2722" s="1"/>
      <c r="AA2722" s="1"/>
      <c r="AB2722" s="1"/>
      <c r="AC2722" s="1"/>
      <c r="AD2722" s="1"/>
      <c r="AE2722" s="1"/>
      <c r="AF2722" s="1"/>
    </row>
    <row r="2723" spans="7:32" x14ac:dyDescent="0.2">
      <c r="G2723" s="2"/>
      <c r="H2723" s="1"/>
      <c r="I2723" s="1"/>
      <c r="J2723" s="1"/>
      <c r="K2723" s="1"/>
      <c r="L2723" s="1"/>
      <c r="M2723" s="1"/>
      <c r="N2723" s="1"/>
      <c r="O2723" s="1"/>
      <c r="P2723" s="1"/>
      <c r="Q2723" s="1"/>
      <c r="R2723" s="1"/>
      <c r="S2723" s="1"/>
      <c r="T2723" s="1"/>
      <c r="U2723" s="1"/>
      <c r="V2723" s="1"/>
      <c r="W2723" s="1"/>
      <c r="X2723" s="1"/>
      <c r="Y2723" s="1"/>
      <c r="Z2723" s="1"/>
      <c r="AA2723" s="1"/>
      <c r="AB2723" s="1"/>
      <c r="AC2723" s="1"/>
      <c r="AD2723" s="1"/>
      <c r="AE2723" s="1"/>
      <c r="AF2723" s="1"/>
    </row>
    <row r="2724" spans="7:32" x14ac:dyDescent="0.2">
      <c r="G2724" s="2"/>
      <c r="H2724" s="1"/>
      <c r="I2724" s="1"/>
      <c r="J2724" s="1"/>
      <c r="K2724" s="1"/>
      <c r="L2724" s="1"/>
      <c r="M2724" s="1"/>
      <c r="N2724" s="1"/>
      <c r="O2724" s="1"/>
      <c r="P2724" s="1"/>
      <c r="Q2724" s="1"/>
      <c r="R2724" s="1"/>
      <c r="S2724" s="1"/>
      <c r="T2724" s="1"/>
      <c r="U2724" s="1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</row>
    <row r="2725" spans="7:32" x14ac:dyDescent="0.2">
      <c r="G2725" s="2"/>
      <c r="H2725" s="1"/>
      <c r="I2725" s="1"/>
      <c r="J2725" s="1"/>
      <c r="K2725" s="1"/>
      <c r="L2725" s="1"/>
      <c r="M2725" s="1"/>
      <c r="N2725" s="1"/>
      <c r="O2725" s="1"/>
      <c r="P2725" s="1"/>
      <c r="Q2725" s="1"/>
      <c r="R2725" s="1"/>
      <c r="S2725" s="1"/>
      <c r="T2725" s="1"/>
      <c r="U2725" s="1"/>
      <c r="V2725" s="1"/>
      <c r="W2725" s="1"/>
      <c r="X2725" s="1"/>
      <c r="Y2725" s="1"/>
      <c r="Z2725" s="1"/>
      <c r="AA2725" s="1"/>
      <c r="AB2725" s="1"/>
      <c r="AC2725" s="1"/>
      <c r="AD2725" s="1"/>
      <c r="AE2725" s="1"/>
      <c r="AF2725" s="1"/>
    </row>
    <row r="2726" spans="7:32" x14ac:dyDescent="0.2">
      <c r="G2726" s="2"/>
      <c r="H2726" s="1"/>
      <c r="I2726" s="1"/>
      <c r="J2726" s="1"/>
      <c r="K2726" s="1"/>
      <c r="L2726" s="1"/>
      <c r="M2726" s="1"/>
      <c r="N2726" s="1"/>
      <c r="O2726" s="1"/>
      <c r="P2726" s="1"/>
      <c r="Q2726" s="1"/>
      <c r="R2726" s="1"/>
      <c r="S2726" s="1"/>
      <c r="T2726" s="1"/>
      <c r="U2726" s="1"/>
      <c r="V2726" s="1"/>
      <c r="W2726" s="1"/>
      <c r="X2726" s="1"/>
      <c r="Y2726" s="1"/>
      <c r="Z2726" s="1"/>
      <c r="AA2726" s="1"/>
      <c r="AB2726" s="1"/>
      <c r="AC2726" s="1"/>
      <c r="AD2726" s="1"/>
      <c r="AE2726" s="1"/>
      <c r="AF2726" s="1"/>
    </row>
    <row r="2727" spans="7:32" x14ac:dyDescent="0.2">
      <c r="G2727" s="2"/>
      <c r="H2727" s="1"/>
      <c r="I2727" s="1"/>
      <c r="J2727" s="1"/>
      <c r="K2727" s="1"/>
      <c r="L2727" s="1"/>
      <c r="M2727" s="1"/>
      <c r="N2727" s="1"/>
      <c r="O2727" s="1"/>
      <c r="P2727" s="1"/>
      <c r="Q2727" s="1"/>
      <c r="R2727" s="1"/>
      <c r="S2727" s="1"/>
      <c r="T2727" s="1"/>
      <c r="U2727" s="1"/>
      <c r="V2727" s="1"/>
      <c r="W2727" s="1"/>
      <c r="X2727" s="1"/>
      <c r="Y2727" s="1"/>
      <c r="Z2727" s="1"/>
      <c r="AA2727" s="1"/>
      <c r="AB2727" s="1"/>
      <c r="AC2727" s="1"/>
      <c r="AD2727" s="1"/>
      <c r="AE2727" s="1"/>
      <c r="AF2727" s="1"/>
    </row>
    <row r="2728" spans="7:32" x14ac:dyDescent="0.2">
      <c r="G2728" s="2"/>
      <c r="H2728" s="1"/>
      <c r="I2728" s="1"/>
      <c r="J2728" s="1"/>
      <c r="K2728" s="1"/>
      <c r="L2728" s="1"/>
      <c r="M2728" s="1"/>
      <c r="N2728" s="1"/>
      <c r="O2728" s="1"/>
      <c r="P2728" s="1"/>
      <c r="Q2728" s="1"/>
      <c r="R2728" s="1"/>
      <c r="S2728" s="1"/>
      <c r="T2728" s="1"/>
      <c r="U2728" s="1"/>
      <c r="V2728" s="1"/>
      <c r="W2728" s="1"/>
      <c r="X2728" s="1"/>
      <c r="Y2728" s="1"/>
      <c r="Z2728" s="1"/>
      <c r="AA2728" s="1"/>
      <c r="AB2728" s="1"/>
      <c r="AC2728" s="1"/>
      <c r="AD2728" s="1"/>
      <c r="AE2728" s="1"/>
      <c r="AF2728" s="1"/>
    </row>
    <row r="2729" spans="7:32" x14ac:dyDescent="0.2">
      <c r="G2729" s="2"/>
      <c r="H2729" s="1"/>
      <c r="I2729" s="1"/>
      <c r="J2729" s="1"/>
      <c r="K2729" s="1"/>
      <c r="L2729" s="1"/>
      <c r="M2729" s="1"/>
      <c r="N2729" s="1"/>
      <c r="O2729" s="1"/>
      <c r="P2729" s="1"/>
      <c r="Q2729" s="1"/>
      <c r="R2729" s="1"/>
      <c r="S2729" s="1"/>
      <c r="T2729" s="1"/>
      <c r="U2729" s="1"/>
      <c r="V2729" s="1"/>
      <c r="W2729" s="1"/>
      <c r="X2729" s="1"/>
      <c r="Y2729" s="1"/>
      <c r="Z2729" s="1"/>
      <c r="AA2729" s="1"/>
      <c r="AB2729" s="1"/>
      <c r="AC2729" s="1"/>
      <c r="AD2729" s="1"/>
      <c r="AE2729" s="1"/>
      <c r="AF2729" s="1"/>
    </row>
    <row r="2730" spans="7:32" x14ac:dyDescent="0.2">
      <c r="G2730" s="2"/>
      <c r="H2730" s="1"/>
      <c r="I2730" s="1"/>
      <c r="J2730" s="1"/>
      <c r="K2730" s="1"/>
      <c r="L2730" s="1"/>
      <c r="M2730" s="1"/>
      <c r="N2730" s="1"/>
      <c r="O2730" s="1"/>
      <c r="P2730" s="1"/>
      <c r="Q2730" s="1"/>
      <c r="R2730" s="1"/>
      <c r="S2730" s="1"/>
      <c r="T2730" s="1"/>
      <c r="U2730" s="1"/>
      <c r="V2730" s="1"/>
      <c r="W2730" s="1"/>
      <c r="X2730" s="1"/>
      <c r="Y2730" s="1"/>
      <c r="Z2730" s="1"/>
      <c r="AA2730" s="1"/>
      <c r="AB2730" s="1"/>
      <c r="AC2730" s="1"/>
      <c r="AD2730" s="1"/>
      <c r="AE2730" s="1"/>
      <c r="AF2730" s="1"/>
    </row>
    <row r="2731" spans="7:32" x14ac:dyDescent="0.2">
      <c r="G2731" s="2"/>
      <c r="H2731" s="1"/>
      <c r="I2731" s="1"/>
      <c r="J2731" s="1"/>
      <c r="K2731" s="1"/>
      <c r="L2731" s="1"/>
      <c r="M2731" s="1"/>
      <c r="N2731" s="1"/>
      <c r="O2731" s="1"/>
      <c r="P2731" s="1"/>
      <c r="Q2731" s="1"/>
      <c r="R2731" s="1"/>
      <c r="S2731" s="1"/>
      <c r="T2731" s="1"/>
      <c r="U2731" s="1"/>
      <c r="V2731" s="1"/>
      <c r="W2731" s="1"/>
      <c r="X2731" s="1"/>
      <c r="Y2731" s="1"/>
      <c r="Z2731" s="1"/>
      <c r="AA2731" s="1"/>
      <c r="AB2731" s="1"/>
      <c r="AC2731" s="1"/>
      <c r="AD2731" s="1"/>
      <c r="AE2731" s="1"/>
      <c r="AF2731" s="1"/>
    </row>
    <row r="2732" spans="7:32" x14ac:dyDescent="0.2">
      <c r="G2732" s="2"/>
      <c r="H2732" s="1"/>
      <c r="I2732" s="1"/>
      <c r="J2732" s="1"/>
      <c r="K2732" s="1"/>
      <c r="L2732" s="1"/>
      <c r="M2732" s="1"/>
      <c r="N2732" s="1"/>
      <c r="O2732" s="1"/>
      <c r="P2732" s="1"/>
      <c r="Q2732" s="1"/>
      <c r="R2732" s="1"/>
      <c r="S2732" s="1"/>
      <c r="T2732" s="1"/>
      <c r="U2732" s="1"/>
      <c r="V2732" s="1"/>
      <c r="W2732" s="1"/>
      <c r="X2732" s="1"/>
      <c r="Y2732" s="1"/>
      <c r="Z2732" s="1"/>
      <c r="AA2732" s="1"/>
      <c r="AB2732" s="1"/>
      <c r="AC2732" s="1"/>
      <c r="AD2732" s="1"/>
      <c r="AE2732" s="1"/>
      <c r="AF2732" s="1"/>
    </row>
    <row r="2733" spans="7:32" x14ac:dyDescent="0.2">
      <c r="G2733" s="2"/>
      <c r="H2733" s="1"/>
      <c r="I2733" s="1"/>
      <c r="J2733" s="1"/>
      <c r="K2733" s="1"/>
      <c r="L2733" s="1"/>
      <c r="M2733" s="1"/>
      <c r="N2733" s="1"/>
      <c r="O2733" s="1"/>
      <c r="P2733" s="1"/>
      <c r="Q2733" s="1"/>
      <c r="R2733" s="1"/>
      <c r="S2733" s="1"/>
      <c r="T2733" s="1"/>
      <c r="U2733" s="1"/>
      <c r="V2733" s="1"/>
      <c r="W2733" s="1"/>
      <c r="X2733" s="1"/>
      <c r="Y2733" s="1"/>
      <c r="Z2733" s="1"/>
      <c r="AA2733" s="1"/>
      <c r="AB2733" s="1"/>
      <c r="AC2733" s="1"/>
      <c r="AD2733" s="1"/>
      <c r="AE2733" s="1"/>
      <c r="AF2733" s="1"/>
    </row>
    <row r="2734" spans="7:32" x14ac:dyDescent="0.2">
      <c r="G2734" s="2"/>
      <c r="H2734" s="1"/>
      <c r="I2734" s="1"/>
      <c r="J2734" s="1"/>
      <c r="K2734" s="1"/>
      <c r="L2734" s="1"/>
      <c r="M2734" s="1"/>
      <c r="N2734" s="1"/>
      <c r="O2734" s="1"/>
      <c r="P2734" s="1"/>
      <c r="Q2734" s="1"/>
      <c r="R2734" s="1"/>
      <c r="S2734" s="1"/>
      <c r="T2734" s="1"/>
      <c r="U2734" s="1"/>
      <c r="V2734" s="1"/>
      <c r="W2734" s="1"/>
      <c r="X2734" s="1"/>
      <c r="Y2734" s="1"/>
      <c r="Z2734" s="1"/>
      <c r="AA2734" s="1"/>
      <c r="AB2734" s="1"/>
      <c r="AC2734" s="1"/>
      <c r="AD2734" s="1"/>
      <c r="AE2734" s="1"/>
      <c r="AF2734" s="1"/>
    </row>
    <row r="2735" spans="7:32" x14ac:dyDescent="0.2">
      <c r="G2735" s="2"/>
      <c r="H2735" s="1"/>
      <c r="I2735" s="1"/>
      <c r="J2735" s="1"/>
      <c r="K2735" s="1"/>
      <c r="L2735" s="1"/>
      <c r="M2735" s="1"/>
      <c r="N2735" s="1"/>
      <c r="O2735" s="1"/>
      <c r="P2735" s="1"/>
      <c r="Q2735" s="1"/>
      <c r="R2735" s="1"/>
      <c r="S2735" s="1"/>
      <c r="T2735" s="1"/>
      <c r="U2735" s="1"/>
      <c r="V2735" s="1"/>
      <c r="W2735" s="1"/>
      <c r="X2735" s="1"/>
      <c r="Y2735" s="1"/>
      <c r="Z2735" s="1"/>
      <c r="AA2735" s="1"/>
      <c r="AB2735" s="1"/>
      <c r="AC2735" s="1"/>
      <c r="AD2735" s="1"/>
      <c r="AE2735" s="1"/>
      <c r="AF2735" s="1"/>
    </row>
    <row r="2736" spans="7:32" x14ac:dyDescent="0.2">
      <c r="G2736" s="2"/>
      <c r="H2736" s="1"/>
      <c r="I2736" s="1"/>
      <c r="J2736" s="1"/>
      <c r="K2736" s="1"/>
      <c r="L2736" s="1"/>
      <c r="M2736" s="1"/>
      <c r="N2736" s="1"/>
      <c r="O2736" s="1"/>
      <c r="P2736" s="1"/>
      <c r="Q2736" s="1"/>
      <c r="R2736" s="1"/>
      <c r="S2736" s="1"/>
      <c r="T2736" s="1"/>
      <c r="U2736" s="1"/>
      <c r="V2736" s="1"/>
      <c r="W2736" s="1"/>
      <c r="X2736" s="1"/>
      <c r="Y2736" s="1"/>
      <c r="Z2736" s="1"/>
      <c r="AA2736" s="1"/>
      <c r="AB2736" s="1"/>
      <c r="AC2736" s="1"/>
      <c r="AD2736" s="1"/>
      <c r="AE2736" s="1"/>
      <c r="AF2736" s="1"/>
    </row>
    <row r="2737" spans="7:32" x14ac:dyDescent="0.2">
      <c r="G2737" s="2"/>
      <c r="H2737" s="1"/>
      <c r="I2737" s="1"/>
      <c r="J2737" s="1"/>
      <c r="K2737" s="1"/>
      <c r="L2737" s="1"/>
      <c r="M2737" s="1"/>
      <c r="N2737" s="1"/>
      <c r="O2737" s="1"/>
      <c r="P2737" s="1"/>
      <c r="Q2737" s="1"/>
      <c r="R2737" s="1"/>
      <c r="S2737" s="1"/>
      <c r="T2737" s="1"/>
      <c r="U2737" s="1"/>
      <c r="V2737" s="1"/>
      <c r="W2737" s="1"/>
      <c r="X2737" s="1"/>
      <c r="Y2737" s="1"/>
      <c r="Z2737" s="1"/>
      <c r="AA2737" s="1"/>
      <c r="AB2737" s="1"/>
      <c r="AC2737" s="1"/>
      <c r="AD2737" s="1"/>
      <c r="AE2737" s="1"/>
      <c r="AF2737" s="1"/>
    </row>
    <row r="2738" spans="7:32" x14ac:dyDescent="0.2">
      <c r="G2738" s="2"/>
      <c r="H2738" s="1"/>
      <c r="I2738" s="1"/>
      <c r="J2738" s="1"/>
      <c r="K2738" s="1"/>
      <c r="L2738" s="1"/>
      <c r="M2738" s="1"/>
      <c r="N2738" s="1"/>
      <c r="O2738" s="1"/>
      <c r="P2738" s="1"/>
      <c r="Q2738" s="1"/>
      <c r="R2738" s="1"/>
      <c r="S2738" s="1"/>
      <c r="T2738" s="1"/>
      <c r="U2738" s="1"/>
      <c r="V2738" s="1"/>
      <c r="W2738" s="1"/>
      <c r="X2738" s="1"/>
      <c r="Y2738" s="1"/>
      <c r="Z2738" s="1"/>
      <c r="AA2738" s="1"/>
      <c r="AB2738" s="1"/>
      <c r="AC2738" s="1"/>
      <c r="AD2738" s="1"/>
      <c r="AE2738" s="1"/>
      <c r="AF2738" s="1"/>
    </row>
    <row r="2739" spans="7:32" x14ac:dyDescent="0.2">
      <c r="G2739" s="2"/>
      <c r="H2739" s="1"/>
      <c r="I2739" s="1"/>
      <c r="J2739" s="1"/>
      <c r="K2739" s="1"/>
      <c r="L2739" s="1"/>
      <c r="M2739" s="1"/>
      <c r="N2739" s="1"/>
      <c r="O2739" s="1"/>
      <c r="P2739" s="1"/>
      <c r="Q2739" s="1"/>
      <c r="R2739" s="1"/>
      <c r="S2739" s="1"/>
      <c r="T2739" s="1"/>
      <c r="U2739" s="1"/>
      <c r="V2739" s="1"/>
      <c r="W2739" s="1"/>
      <c r="X2739" s="1"/>
      <c r="Y2739" s="1"/>
      <c r="Z2739" s="1"/>
      <c r="AA2739" s="1"/>
      <c r="AB2739" s="1"/>
      <c r="AC2739" s="1"/>
      <c r="AD2739" s="1"/>
      <c r="AE2739" s="1"/>
      <c r="AF2739" s="1"/>
    </row>
    <row r="2740" spans="7:32" x14ac:dyDescent="0.2">
      <c r="G2740" s="2"/>
      <c r="H2740" s="1"/>
      <c r="I2740" s="1"/>
      <c r="J2740" s="1"/>
      <c r="K2740" s="1"/>
      <c r="L2740" s="1"/>
      <c r="M2740" s="1"/>
      <c r="N2740" s="1"/>
      <c r="O2740" s="1"/>
      <c r="P2740" s="1"/>
      <c r="Q2740" s="1"/>
      <c r="R2740" s="1"/>
      <c r="S2740" s="1"/>
      <c r="T2740" s="1"/>
      <c r="U2740" s="1"/>
      <c r="V2740" s="1"/>
      <c r="W2740" s="1"/>
      <c r="X2740" s="1"/>
      <c r="Y2740" s="1"/>
      <c r="Z2740" s="1"/>
      <c r="AA2740" s="1"/>
      <c r="AB2740" s="1"/>
      <c r="AC2740" s="1"/>
      <c r="AD2740" s="1"/>
      <c r="AE2740" s="1"/>
      <c r="AF2740" s="1"/>
    </row>
    <row r="2741" spans="7:32" x14ac:dyDescent="0.2">
      <c r="G2741" s="2"/>
      <c r="H2741" s="1"/>
      <c r="I2741" s="1"/>
      <c r="J2741" s="1"/>
      <c r="K2741" s="1"/>
      <c r="L2741" s="1"/>
      <c r="M2741" s="1"/>
      <c r="N2741" s="1"/>
      <c r="O2741" s="1"/>
      <c r="P2741" s="1"/>
      <c r="Q2741" s="1"/>
      <c r="R2741" s="1"/>
      <c r="S2741" s="1"/>
      <c r="T2741" s="1"/>
      <c r="U2741" s="1"/>
      <c r="V2741" s="1"/>
      <c r="W2741" s="1"/>
      <c r="X2741" s="1"/>
      <c r="Y2741" s="1"/>
      <c r="Z2741" s="1"/>
      <c r="AA2741" s="1"/>
      <c r="AB2741" s="1"/>
      <c r="AC2741" s="1"/>
      <c r="AD2741" s="1"/>
      <c r="AE2741" s="1"/>
      <c r="AF2741" s="1"/>
    </row>
    <row r="2742" spans="7:32" x14ac:dyDescent="0.2">
      <c r="G2742" s="2"/>
      <c r="H2742" s="1"/>
      <c r="I2742" s="1"/>
      <c r="J2742" s="1"/>
      <c r="K2742" s="1"/>
      <c r="L2742" s="1"/>
      <c r="M2742" s="1"/>
      <c r="N2742" s="1"/>
      <c r="O2742" s="1"/>
      <c r="P2742" s="1"/>
      <c r="Q2742" s="1"/>
      <c r="R2742" s="1"/>
      <c r="S2742" s="1"/>
      <c r="T2742" s="1"/>
      <c r="U2742" s="1"/>
      <c r="V2742" s="1"/>
      <c r="W2742" s="1"/>
      <c r="X2742" s="1"/>
      <c r="Y2742" s="1"/>
      <c r="Z2742" s="1"/>
      <c r="AA2742" s="1"/>
      <c r="AB2742" s="1"/>
      <c r="AC2742" s="1"/>
      <c r="AD2742" s="1"/>
      <c r="AE2742" s="1"/>
      <c r="AF2742" s="1"/>
    </row>
    <row r="2743" spans="7:32" x14ac:dyDescent="0.2">
      <c r="G2743" s="2"/>
      <c r="H2743" s="1"/>
      <c r="I2743" s="1"/>
      <c r="J2743" s="1"/>
      <c r="K2743" s="1"/>
      <c r="L2743" s="1"/>
      <c r="M2743" s="1"/>
      <c r="N2743" s="1"/>
      <c r="O2743" s="1"/>
      <c r="P2743" s="1"/>
      <c r="Q2743" s="1"/>
      <c r="R2743" s="1"/>
      <c r="S2743" s="1"/>
      <c r="T2743" s="1"/>
      <c r="U2743" s="1"/>
      <c r="V2743" s="1"/>
      <c r="W2743" s="1"/>
      <c r="X2743" s="1"/>
      <c r="Y2743" s="1"/>
      <c r="Z2743" s="1"/>
      <c r="AA2743" s="1"/>
      <c r="AB2743" s="1"/>
      <c r="AC2743" s="1"/>
      <c r="AD2743" s="1"/>
      <c r="AE2743" s="1"/>
      <c r="AF2743" s="1"/>
    </row>
    <row r="2744" spans="7:32" x14ac:dyDescent="0.2">
      <c r="G2744" s="2"/>
      <c r="H2744" s="1"/>
      <c r="I2744" s="1"/>
      <c r="J2744" s="1"/>
      <c r="K2744" s="1"/>
      <c r="L2744" s="1"/>
      <c r="M2744" s="1"/>
      <c r="N2744" s="1"/>
      <c r="O2744" s="1"/>
      <c r="P2744" s="1"/>
      <c r="Q2744" s="1"/>
      <c r="R2744" s="1"/>
      <c r="S2744" s="1"/>
      <c r="T2744" s="1"/>
      <c r="U2744" s="1"/>
      <c r="V2744" s="1"/>
      <c r="W2744" s="1"/>
      <c r="X2744" s="1"/>
      <c r="Y2744" s="1"/>
      <c r="Z2744" s="1"/>
      <c r="AA2744" s="1"/>
      <c r="AB2744" s="1"/>
      <c r="AC2744" s="1"/>
      <c r="AD2744" s="1"/>
      <c r="AE2744" s="1"/>
      <c r="AF2744" s="1"/>
    </row>
    <row r="2745" spans="7:32" x14ac:dyDescent="0.2">
      <c r="G2745" s="2"/>
      <c r="H2745" s="1"/>
      <c r="I2745" s="1"/>
      <c r="J2745" s="1"/>
      <c r="K2745" s="1"/>
      <c r="L2745" s="1"/>
      <c r="M2745" s="1"/>
      <c r="N2745" s="1"/>
      <c r="O2745" s="1"/>
      <c r="P2745" s="1"/>
      <c r="Q2745" s="1"/>
      <c r="R2745" s="1"/>
      <c r="S2745" s="1"/>
      <c r="T2745" s="1"/>
      <c r="U2745" s="1"/>
      <c r="V2745" s="1"/>
      <c r="W2745" s="1"/>
      <c r="X2745" s="1"/>
      <c r="Y2745" s="1"/>
      <c r="Z2745" s="1"/>
      <c r="AA2745" s="1"/>
      <c r="AB2745" s="1"/>
      <c r="AC2745" s="1"/>
      <c r="AD2745" s="1"/>
      <c r="AE2745" s="1"/>
      <c r="AF2745" s="1"/>
    </row>
    <row r="2746" spans="7:32" x14ac:dyDescent="0.2">
      <c r="G2746" s="2"/>
      <c r="H2746" s="1"/>
      <c r="I2746" s="1"/>
      <c r="J2746" s="1"/>
      <c r="K2746" s="1"/>
      <c r="L2746" s="1"/>
      <c r="M2746" s="1"/>
      <c r="N2746" s="1"/>
      <c r="O2746" s="1"/>
      <c r="P2746" s="1"/>
      <c r="Q2746" s="1"/>
      <c r="R2746" s="1"/>
      <c r="S2746" s="1"/>
      <c r="T2746" s="1"/>
      <c r="U2746" s="1"/>
      <c r="V2746" s="1"/>
      <c r="W2746" s="1"/>
      <c r="X2746" s="1"/>
      <c r="Y2746" s="1"/>
      <c r="Z2746" s="1"/>
      <c r="AA2746" s="1"/>
      <c r="AB2746" s="1"/>
      <c r="AC2746" s="1"/>
      <c r="AD2746" s="1"/>
      <c r="AE2746" s="1"/>
      <c r="AF2746" s="1"/>
    </row>
    <row r="2747" spans="7:32" x14ac:dyDescent="0.2">
      <c r="G2747" s="2"/>
      <c r="H2747" s="1"/>
      <c r="I2747" s="1"/>
      <c r="J2747" s="1"/>
      <c r="K2747" s="1"/>
      <c r="L2747" s="1"/>
      <c r="M2747" s="1"/>
      <c r="N2747" s="1"/>
      <c r="O2747" s="1"/>
      <c r="P2747" s="1"/>
      <c r="Q2747" s="1"/>
      <c r="R2747" s="1"/>
      <c r="S2747" s="1"/>
      <c r="T2747" s="1"/>
      <c r="U2747" s="1"/>
      <c r="V2747" s="1"/>
      <c r="W2747" s="1"/>
      <c r="X2747" s="1"/>
      <c r="Y2747" s="1"/>
      <c r="Z2747" s="1"/>
      <c r="AA2747" s="1"/>
      <c r="AB2747" s="1"/>
      <c r="AC2747" s="1"/>
      <c r="AD2747" s="1"/>
      <c r="AE2747" s="1"/>
      <c r="AF2747" s="1"/>
    </row>
    <row r="2748" spans="7:32" x14ac:dyDescent="0.2">
      <c r="G2748" s="2"/>
      <c r="H2748" s="1"/>
      <c r="I2748" s="1"/>
      <c r="J2748" s="1"/>
      <c r="K2748" s="1"/>
      <c r="L2748" s="1"/>
      <c r="M2748" s="1"/>
      <c r="N2748" s="1"/>
      <c r="O2748" s="1"/>
      <c r="P2748" s="1"/>
      <c r="Q2748" s="1"/>
      <c r="R2748" s="1"/>
      <c r="S2748" s="1"/>
      <c r="T2748" s="1"/>
      <c r="U2748" s="1"/>
      <c r="V2748" s="1"/>
      <c r="W2748" s="1"/>
      <c r="X2748" s="1"/>
      <c r="Y2748" s="1"/>
      <c r="Z2748" s="1"/>
      <c r="AA2748" s="1"/>
      <c r="AB2748" s="1"/>
      <c r="AC2748" s="1"/>
      <c r="AD2748" s="1"/>
      <c r="AE2748" s="1"/>
      <c r="AF2748" s="1"/>
    </row>
    <row r="2749" spans="7:32" x14ac:dyDescent="0.2">
      <c r="G2749" s="2"/>
      <c r="H2749" s="1"/>
      <c r="I2749" s="1"/>
      <c r="J2749" s="1"/>
      <c r="K2749" s="1"/>
      <c r="L2749" s="1"/>
      <c r="M2749" s="1"/>
      <c r="N2749" s="1"/>
      <c r="O2749" s="1"/>
      <c r="P2749" s="1"/>
      <c r="Q2749" s="1"/>
      <c r="R2749" s="1"/>
      <c r="S2749" s="1"/>
      <c r="T2749" s="1"/>
      <c r="U2749" s="1"/>
      <c r="V2749" s="1"/>
      <c r="W2749" s="1"/>
      <c r="X2749" s="1"/>
      <c r="Y2749" s="1"/>
      <c r="Z2749" s="1"/>
      <c r="AA2749" s="1"/>
      <c r="AB2749" s="1"/>
      <c r="AC2749" s="1"/>
      <c r="AD2749" s="1"/>
      <c r="AE2749" s="1"/>
      <c r="AF2749" s="1"/>
    </row>
    <row r="2750" spans="7:32" x14ac:dyDescent="0.2">
      <c r="G2750" s="2"/>
      <c r="H2750" s="1"/>
      <c r="I2750" s="1"/>
      <c r="J2750" s="1"/>
      <c r="K2750" s="1"/>
      <c r="L2750" s="1"/>
      <c r="M2750" s="1"/>
      <c r="N2750" s="1"/>
      <c r="O2750" s="1"/>
      <c r="P2750" s="1"/>
      <c r="Q2750" s="1"/>
      <c r="R2750" s="1"/>
      <c r="S2750" s="1"/>
      <c r="T2750" s="1"/>
      <c r="U2750" s="1"/>
      <c r="V2750" s="1"/>
      <c r="W2750" s="1"/>
      <c r="X2750" s="1"/>
      <c r="Y2750" s="1"/>
      <c r="Z2750" s="1"/>
      <c r="AA2750" s="1"/>
      <c r="AB2750" s="1"/>
      <c r="AC2750" s="1"/>
      <c r="AD2750" s="1"/>
      <c r="AE2750" s="1"/>
      <c r="AF2750" s="1"/>
    </row>
    <row r="2751" spans="7:32" x14ac:dyDescent="0.2">
      <c r="G2751" s="2"/>
      <c r="H2751" s="1"/>
      <c r="I2751" s="1"/>
      <c r="J2751" s="1"/>
      <c r="K2751" s="1"/>
      <c r="L2751" s="1"/>
      <c r="M2751" s="1"/>
      <c r="N2751" s="1"/>
      <c r="O2751" s="1"/>
      <c r="P2751" s="1"/>
      <c r="Q2751" s="1"/>
      <c r="R2751" s="1"/>
      <c r="S2751" s="1"/>
      <c r="T2751" s="1"/>
      <c r="U2751" s="1"/>
      <c r="V2751" s="1"/>
      <c r="W2751" s="1"/>
      <c r="X2751" s="1"/>
      <c r="Y2751" s="1"/>
      <c r="Z2751" s="1"/>
      <c r="AA2751" s="1"/>
      <c r="AB2751" s="1"/>
      <c r="AC2751" s="1"/>
      <c r="AD2751" s="1"/>
      <c r="AE2751" s="1"/>
      <c r="AF2751" s="1"/>
    </row>
    <row r="2752" spans="7:32" x14ac:dyDescent="0.2">
      <c r="G2752" s="2"/>
      <c r="H2752" s="1"/>
      <c r="I2752" s="1"/>
      <c r="J2752" s="1"/>
      <c r="K2752" s="1"/>
      <c r="L2752" s="1"/>
      <c r="M2752" s="1"/>
      <c r="N2752" s="1"/>
      <c r="O2752" s="1"/>
      <c r="P2752" s="1"/>
      <c r="Q2752" s="1"/>
      <c r="R2752" s="1"/>
      <c r="S2752" s="1"/>
      <c r="T2752" s="1"/>
      <c r="U2752" s="1"/>
      <c r="V2752" s="1"/>
      <c r="W2752" s="1"/>
      <c r="X2752" s="1"/>
      <c r="Y2752" s="1"/>
      <c r="Z2752" s="1"/>
      <c r="AA2752" s="1"/>
      <c r="AB2752" s="1"/>
      <c r="AC2752" s="1"/>
      <c r="AD2752" s="1"/>
      <c r="AE2752" s="1"/>
      <c r="AF2752" s="1"/>
    </row>
    <row r="2753" spans="7:32" x14ac:dyDescent="0.2">
      <c r="G2753" s="2"/>
      <c r="H2753" s="1"/>
      <c r="I2753" s="1"/>
      <c r="J2753" s="1"/>
      <c r="K2753" s="1"/>
      <c r="L2753" s="1"/>
      <c r="M2753" s="1"/>
      <c r="N2753" s="1"/>
      <c r="O2753" s="1"/>
      <c r="P2753" s="1"/>
      <c r="Q2753" s="1"/>
      <c r="R2753" s="1"/>
      <c r="S2753" s="1"/>
      <c r="T2753" s="1"/>
      <c r="U2753" s="1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</row>
    <row r="2754" spans="7:32" x14ac:dyDescent="0.2">
      <c r="G2754" s="2"/>
      <c r="H2754" s="1"/>
      <c r="I2754" s="1"/>
      <c r="J2754" s="1"/>
      <c r="K2754" s="1"/>
      <c r="L2754" s="1"/>
      <c r="M2754" s="1"/>
      <c r="N2754" s="1"/>
      <c r="O2754" s="1"/>
      <c r="P2754" s="1"/>
      <c r="Q2754" s="1"/>
      <c r="R2754" s="1"/>
      <c r="S2754" s="1"/>
      <c r="T2754" s="1"/>
      <c r="U2754" s="1"/>
      <c r="V2754" s="1"/>
      <c r="W2754" s="1"/>
      <c r="X2754" s="1"/>
      <c r="Y2754" s="1"/>
      <c r="Z2754" s="1"/>
      <c r="AA2754" s="1"/>
      <c r="AB2754" s="1"/>
      <c r="AC2754" s="1"/>
      <c r="AD2754" s="1"/>
      <c r="AE2754" s="1"/>
      <c r="AF2754" s="1"/>
    </row>
    <row r="2755" spans="7:32" x14ac:dyDescent="0.2">
      <c r="G2755" s="2"/>
      <c r="H2755" s="1"/>
      <c r="I2755" s="1"/>
      <c r="J2755" s="1"/>
      <c r="K2755" s="1"/>
      <c r="L2755" s="1"/>
      <c r="M2755" s="1"/>
      <c r="N2755" s="1"/>
      <c r="O2755" s="1"/>
      <c r="P2755" s="1"/>
      <c r="Q2755" s="1"/>
      <c r="R2755" s="1"/>
      <c r="S2755" s="1"/>
      <c r="T2755" s="1"/>
      <c r="U2755" s="1"/>
      <c r="V2755" s="1"/>
      <c r="W2755" s="1"/>
      <c r="X2755" s="1"/>
      <c r="Y2755" s="1"/>
      <c r="Z2755" s="1"/>
      <c r="AA2755" s="1"/>
      <c r="AB2755" s="1"/>
      <c r="AC2755" s="1"/>
      <c r="AD2755" s="1"/>
      <c r="AE2755" s="1"/>
      <c r="AF2755" s="1"/>
    </row>
    <row r="2756" spans="7:32" x14ac:dyDescent="0.2">
      <c r="G2756" s="2"/>
      <c r="H2756" s="1"/>
      <c r="I2756" s="1"/>
      <c r="J2756" s="1"/>
      <c r="K2756" s="1"/>
      <c r="L2756" s="1"/>
      <c r="M2756" s="1"/>
      <c r="N2756" s="1"/>
      <c r="O2756" s="1"/>
      <c r="P2756" s="1"/>
      <c r="Q2756" s="1"/>
      <c r="R2756" s="1"/>
      <c r="S2756" s="1"/>
      <c r="T2756" s="1"/>
      <c r="U2756" s="1"/>
      <c r="V2756" s="1"/>
      <c r="W2756" s="1"/>
      <c r="X2756" s="1"/>
      <c r="Y2756" s="1"/>
      <c r="Z2756" s="1"/>
      <c r="AA2756" s="1"/>
      <c r="AB2756" s="1"/>
      <c r="AC2756" s="1"/>
      <c r="AD2756" s="1"/>
      <c r="AE2756" s="1"/>
      <c r="AF2756" s="1"/>
    </row>
    <row r="2757" spans="7:32" x14ac:dyDescent="0.2">
      <c r="G2757" s="2"/>
      <c r="H2757" s="1"/>
      <c r="I2757" s="1"/>
      <c r="J2757" s="1"/>
      <c r="K2757" s="1"/>
      <c r="L2757" s="1"/>
      <c r="M2757" s="1"/>
      <c r="N2757" s="1"/>
      <c r="O2757" s="1"/>
      <c r="P2757" s="1"/>
      <c r="Q2757" s="1"/>
      <c r="R2757" s="1"/>
      <c r="S2757" s="1"/>
      <c r="T2757" s="1"/>
      <c r="U2757" s="1"/>
      <c r="V2757" s="1"/>
      <c r="W2757" s="1"/>
      <c r="X2757" s="1"/>
      <c r="Y2757" s="1"/>
      <c r="Z2757" s="1"/>
      <c r="AA2757" s="1"/>
      <c r="AB2757" s="1"/>
      <c r="AC2757" s="1"/>
      <c r="AD2757" s="1"/>
      <c r="AE2757" s="1"/>
      <c r="AF2757" s="1"/>
    </row>
    <row r="2758" spans="7:32" x14ac:dyDescent="0.2">
      <c r="G2758" s="2"/>
      <c r="H2758" s="1"/>
      <c r="I2758" s="1"/>
      <c r="J2758" s="1"/>
      <c r="K2758" s="1"/>
      <c r="L2758" s="1"/>
      <c r="M2758" s="1"/>
      <c r="N2758" s="1"/>
      <c r="O2758" s="1"/>
      <c r="P2758" s="1"/>
      <c r="Q2758" s="1"/>
      <c r="R2758" s="1"/>
      <c r="S2758" s="1"/>
      <c r="T2758" s="1"/>
      <c r="U2758" s="1"/>
      <c r="V2758" s="1"/>
      <c r="W2758" s="1"/>
      <c r="X2758" s="1"/>
      <c r="Y2758" s="1"/>
      <c r="Z2758" s="1"/>
      <c r="AA2758" s="1"/>
      <c r="AB2758" s="1"/>
      <c r="AC2758" s="1"/>
      <c r="AD2758" s="1"/>
      <c r="AE2758" s="1"/>
      <c r="AF2758" s="1"/>
    </row>
    <row r="2759" spans="7:32" x14ac:dyDescent="0.2">
      <c r="G2759" s="2"/>
      <c r="H2759" s="1"/>
      <c r="I2759" s="1"/>
      <c r="J2759" s="1"/>
      <c r="K2759" s="1"/>
      <c r="L2759" s="1"/>
      <c r="M2759" s="1"/>
      <c r="N2759" s="1"/>
      <c r="O2759" s="1"/>
      <c r="P2759" s="1"/>
      <c r="Q2759" s="1"/>
      <c r="R2759" s="1"/>
      <c r="S2759" s="1"/>
      <c r="T2759" s="1"/>
      <c r="U2759" s="1"/>
      <c r="V2759" s="1"/>
      <c r="W2759" s="1"/>
      <c r="X2759" s="1"/>
      <c r="Y2759" s="1"/>
      <c r="Z2759" s="1"/>
      <c r="AA2759" s="1"/>
      <c r="AB2759" s="1"/>
      <c r="AC2759" s="1"/>
      <c r="AD2759" s="1"/>
      <c r="AE2759" s="1"/>
      <c r="AF2759" s="1"/>
    </row>
    <row r="2760" spans="7:32" x14ac:dyDescent="0.2">
      <c r="G2760" s="2"/>
      <c r="H2760" s="1"/>
      <c r="I2760" s="1"/>
      <c r="J2760" s="1"/>
      <c r="K2760" s="1"/>
      <c r="L2760" s="1"/>
      <c r="M2760" s="1"/>
      <c r="N2760" s="1"/>
      <c r="O2760" s="1"/>
      <c r="P2760" s="1"/>
      <c r="Q2760" s="1"/>
      <c r="R2760" s="1"/>
      <c r="S2760" s="1"/>
      <c r="T2760" s="1"/>
      <c r="U2760" s="1"/>
      <c r="V2760" s="1"/>
      <c r="W2760" s="1"/>
      <c r="X2760" s="1"/>
      <c r="Y2760" s="1"/>
      <c r="Z2760" s="1"/>
      <c r="AA2760" s="1"/>
      <c r="AB2760" s="1"/>
      <c r="AC2760" s="1"/>
      <c r="AD2760" s="1"/>
      <c r="AE2760" s="1"/>
      <c r="AF2760" s="1"/>
    </row>
    <row r="2761" spans="7:32" x14ac:dyDescent="0.2">
      <c r="G2761" s="2"/>
      <c r="H2761" s="1"/>
      <c r="I2761" s="1"/>
      <c r="J2761" s="1"/>
      <c r="K2761" s="1"/>
      <c r="L2761" s="1"/>
      <c r="M2761" s="1"/>
      <c r="N2761" s="1"/>
      <c r="O2761" s="1"/>
      <c r="P2761" s="1"/>
      <c r="Q2761" s="1"/>
      <c r="R2761" s="1"/>
      <c r="S2761" s="1"/>
      <c r="T2761" s="1"/>
      <c r="U2761" s="1"/>
      <c r="V2761" s="1"/>
      <c r="W2761" s="1"/>
      <c r="X2761" s="1"/>
      <c r="Y2761" s="1"/>
      <c r="Z2761" s="1"/>
      <c r="AA2761" s="1"/>
      <c r="AB2761" s="1"/>
      <c r="AC2761" s="1"/>
      <c r="AD2761" s="1"/>
      <c r="AE2761" s="1"/>
      <c r="AF2761" s="1"/>
    </row>
    <row r="2762" spans="7:32" x14ac:dyDescent="0.2">
      <c r="G2762" s="2"/>
      <c r="H2762" s="1"/>
      <c r="I2762" s="1"/>
      <c r="J2762" s="1"/>
      <c r="K2762" s="1"/>
      <c r="L2762" s="1"/>
      <c r="M2762" s="1"/>
      <c r="N2762" s="1"/>
      <c r="O2762" s="1"/>
      <c r="P2762" s="1"/>
      <c r="Q2762" s="1"/>
      <c r="R2762" s="1"/>
      <c r="S2762" s="1"/>
      <c r="T2762" s="1"/>
      <c r="U2762" s="1"/>
      <c r="V2762" s="1"/>
      <c r="W2762" s="1"/>
      <c r="X2762" s="1"/>
      <c r="Y2762" s="1"/>
      <c r="Z2762" s="1"/>
      <c r="AA2762" s="1"/>
      <c r="AB2762" s="1"/>
      <c r="AC2762" s="1"/>
      <c r="AD2762" s="1"/>
      <c r="AE2762" s="1"/>
      <c r="AF2762" s="1"/>
    </row>
    <row r="2763" spans="7:32" x14ac:dyDescent="0.2">
      <c r="G2763" s="2"/>
      <c r="H2763" s="1"/>
      <c r="I2763" s="1"/>
      <c r="J2763" s="1"/>
      <c r="K2763" s="1"/>
      <c r="L2763" s="1"/>
      <c r="M2763" s="1"/>
      <c r="N2763" s="1"/>
      <c r="O2763" s="1"/>
      <c r="P2763" s="1"/>
      <c r="Q2763" s="1"/>
      <c r="R2763" s="1"/>
      <c r="S2763" s="1"/>
      <c r="T2763" s="1"/>
      <c r="U2763" s="1"/>
      <c r="V2763" s="1"/>
      <c r="W2763" s="1"/>
      <c r="X2763" s="1"/>
      <c r="Y2763" s="1"/>
      <c r="Z2763" s="1"/>
      <c r="AA2763" s="1"/>
      <c r="AB2763" s="1"/>
      <c r="AC2763" s="1"/>
      <c r="AD2763" s="1"/>
      <c r="AE2763" s="1"/>
      <c r="AF2763" s="1"/>
    </row>
    <row r="2764" spans="7:32" x14ac:dyDescent="0.2">
      <c r="G2764" s="2"/>
      <c r="H2764" s="1"/>
      <c r="I2764" s="1"/>
      <c r="J2764" s="1"/>
      <c r="K2764" s="1"/>
      <c r="L2764" s="1"/>
      <c r="M2764" s="1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/>
      <c r="Z2764" s="1"/>
      <c r="AA2764" s="1"/>
      <c r="AB2764" s="1"/>
      <c r="AC2764" s="1"/>
      <c r="AD2764" s="1"/>
      <c r="AE2764" s="1"/>
      <c r="AF2764" s="1"/>
    </row>
    <row r="2765" spans="7:32" x14ac:dyDescent="0.2">
      <c r="G2765" s="2"/>
      <c r="H2765" s="1"/>
      <c r="I2765" s="1"/>
      <c r="J2765" s="1"/>
      <c r="K2765" s="1"/>
      <c r="L2765" s="1"/>
      <c r="M2765" s="1"/>
      <c r="N2765" s="1"/>
      <c r="O2765" s="1"/>
      <c r="P2765" s="1"/>
      <c r="Q2765" s="1"/>
      <c r="R2765" s="1"/>
      <c r="S2765" s="1"/>
      <c r="T2765" s="1"/>
      <c r="U2765" s="1"/>
      <c r="V2765" s="1"/>
      <c r="W2765" s="1"/>
      <c r="X2765" s="1"/>
      <c r="Y2765" s="1"/>
      <c r="Z2765" s="1"/>
      <c r="AA2765" s="1"/>
      <c r="AB2765" s="1"/>
      <c r="AC2765" s="1"/>
      <c r="AD2765" s="1"/>
      <c r="AE2765" s="1"/>
      <c r="AF2765" s="1"/>
    </row>
    <row r="2766" spans="7:32" x14ac:dyDescent="0.2">
      <c r="G2766" s="2"/>
      <c r="H2766" s="1"/>
      <c r="I2766" s="1"/>
      <c r="J2766" s="1"/>
      <c r="K2766" s="1"/>
      <c r="L2766" s="1"/>
      <c r="M2766" s="1"/>
      <c r="N2766" s="1"/>
      <c r="O2766" s="1"/>
      <c r="P2766" s="1"/>
      <c r="Q2766" s="1"/>
      <c r="R2766" s="1"/>
      <c r="S2766" s="1"/>
      <c r="T2766" s="1"/>
      <c r="U2766" s="1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</row>
    <row r="2767" spans="7:32" x14ac:dyDescent="0.2">
      <c r="G2767" s="2"/>
      <c r="H2767" s="1"/>
      <c r="I2767" s="1"/>
      <c r="J2767" s="1"/>
      <c r="K2767" s="1"/>
      <c r="L2767" s="1"/>
      <c r="M2767" s="1"/>
      <c r="N2767" s="1"/>
      <c r="O2767" s="1"/>
      <c r="P2767" s="1"/>
      <c r="Q2767" s="1"/>
      <c r="R2767" s="1"/>
      <c r="S2767" s="1"/>
      <c r="T2767" s="1"/>
      <c r="U2767" s="1"/>
      <c r="V2767" s="1"/>
      <c r="W2767" s="1"/>
      <c r="X2767" s="1"/>
      <c r="Y2767" s="1"/>
      <c r="Z2767" s="1"/>
      <c r="AA2767" s="1"/>
      <c r="AB2767" s="1"/>
      <c r="AC2767" s="1"/>
      <c r="AD2767" s="1"/>
      <c r="AE2767" s="1"/>
      <c r="AF2767" s="1"/>
    </row>
    <row r="2768" spans="7:32" x14ac:dyDescent="0.2">
      <c r="G2768" s="2"/>
      <c r="H2768" s="1"/>
      <c r="I2768" s="1"/>
      <c r="J2768" s="1"/>
      <c r="K2768" s="1"/>
      <c r="L2768" s="1"/>
      <c r="M2768" s="1"/>
      <c r="N2768" s="1"/>
      <c r="O2768" s="1"/>
      <c r="P2768" s="1"/>
      <c r="Q2768" s="1"/>
      <c r="R2768" s="1"/>
      <c r="S2768" s="1"/>
      <c r="T2768" s="1"/>
      <c r="U2768" s="1"/>
      <c r="V2768" s="1"/>
      <c r="W2768" s="1"/>
      <c r="X2768" s="1"/>
      <c r="Y2768" s="1"/>
      <c r="Z2768" s="1"/>
      <c r="AA2768" s="1"/>
      <c r="AB2768" s="1"/>
      <c r="AC2768" s="1"/>
      <c r="AD2768" s="1"/>
      <c r="AE2768" s="1"/>
      <c r="AF2768" s="1"/>
    </row>
    <row r="2769" spans="7:32" x14ac:dyDescent="0.2">
      <c r="G2769" s="2"/>
      <c r="H2769" s="1"/>
      <c r="I2769" s="1"/>
      <c r="J2769" s="1"/>
      <c r="K2769" s="1"/>
      <c r="L2769" s="1"/>
      <c r="M2769" s="1"/>
      <c r="N2769" s="1"/>
      <c r="O2769" s="1"/>
      <c r="P2769" s="1"/>
      <c r="Q2769" s="1"/>
      <c r="R2769" s="1"/>
      <c r="S2769" s="1"/>
      <c r="T2769" s="1"/>
      <c r="U2769" s="1"/>
      <c r="V2769" s="1"/>
      <c r="W2769" s="1"/>
      <c r="X2769" s="1"/>
      <c r="Y2769" s="1"/>
      <c r="Z2769" s="1"/>
      <c r="AA2769" s="1"/>
      <c r="AB2769" s="1"/>
      <c r="AC2769" s="1"/>
      <c r="AD2769" s="1"/>
      <c r="AE2769" s="1"/>
      <c r="AF2769" s="1"/>
    </row>
    <row r="2770" spans="7:32" x14ac:dyDescent="0.2">
      <c r="G2770" s="2"/>
      <c r="H2770" s="1"/>
      <c r="I2770" s="1"/>
      <c r="J2770" s="1"/>
      <c r="K2770" s="1"/>
      <c r="L2770" s="1"/>
      <c r="M2770" s="1"/>
      <c r="N2770" s="1"/>
      <c r="O2770" s="1"/>
      <c r="P2770" s="1"/>
      <c r="Q2770" s="1"/>
      <c r="R2770" s="1"/>
      <c r="S2770" s="1"/>
      <c r="T2770" s="1"/>
      <c r="U2770" s="1"/>
      <c r="V2770" s="1"/>
      <c r="W2770" s="1"/>
      <c r="X2770" s="1"/>
      <c r="Y2770" s="1"/>
      <c r="Z2770" s="1"/>
      <c r="AA2770" s="1"/>
      <c r="AB2770" s="1"/>
      <c r="AC2770" s="1"/>
      <c r="AD2770" s="1"/>
      <c r="AE2770" s="1"/>
      <c r="AF2770" s="1"/>
    </row>
    <row r="2771" spans="7:32" x14ac:dyDescent="0.2">
      <c r="G2771" s="2"/>
      <c r="H2771" s="1"/>
      <c r="I2771" s="1"/>
      <c r="J2771" s="1"/>
      <c r="K2771" s="1"/>
      <c r="L2771" s="1"/>
      <c r="M2771" s="1"/>
      <c r="N2771" s="1"/>
      <c r="O2771" s="1"/>
      <c r="P2771" s="1"/>
      <c r="Q2771" s="1"/>
      <c r="R2771" s="1"/>
      <c r="S2771" s="1"/>
      <c r="T2771" s="1"/>
      <c r="U2771" s="1"/>
      <c r="V2771" s="1"/>
      <c r="W2771" s="1"/>
      <c r="X2771" s="1"/>
      <c r="Y2771" s="1"/>
      <c r="Z2771" s="1"/>
      <c r="AA2771" s="1"/>
      <c r="AB2771" s="1"/>
      <c r="AC2771" s="1"/>
      <c r="AD2771" s="1"/>
      <c r="AE2771" s="1"/>
      <c r="AF2771" s="1"/>
    </row>
    <row r="2772" spans="7:32" x14ac:dyDescent="0.2">
      <c r="G2772" s="2"/>
      <c r="H2772" s="1"/>
      <c r="I2772" s="1"/>
      <c r="J2772" s="1"/>
      <c r="K2772" s="1"/>
      <c r="L2772" s="1"/>
      <c r="M2772" s="1"/>
      <c r="N2772" s="1"/>
      <c r="O2772" s="1"/>
      <c r="P2772" s="1"/>
      <c r="Q2772" s="1"/>
      <c r="R2772" s="1"/>
      <c r="S2772" s="1"/>
      <c r="T2772" s="1"/>
      <c r="U2772" s="1"/>
      <c r="V2772" s="1"/>
      <c r="W2772" s="1"/>
      <c r="X2772" s="1"/>
      <c r="Y2772" s="1"/>
      <c r="Z2772" s="1"/>
      <c r="AA2772" s="1"/>
      <c r="AB2772" s="1"/>
      <c r="AC2772" s="1"/>
      <c r="AD2772" s="1"/>
      <c r="AE2772" s="1"/>
      <c r="AF2772" s="1"/>
    </row>
    <row r="2773" spans="7:32" x14ac:dyDescent="0.2">
      <c r="G2773" s="2"/>
      <c r="H2773" s="1"/>
      <c r="I2773" s="1"/>
      <c r="J2773" s="1"/>
      <c r="K2773" s="1"/>
      <c r="L2773" s="1"/>
      <c r="M2773" s="1"/>
      <c r="N2773" s="1"/>
      <c r="O2773" s="1"/>
      <c r="P2773" s="1"/>
      <c r="Q2773" s="1"/>
      <c r="R2773" s="1"/>
      <c r="S2773" s="1"/>
      <c r="T2773" s="1"/>
      <c r="U2773" s="1"/>
      <c r="V2773" s="1"/>
      <c r="W2773" s="1"/>
      <c r="X2773" s="1"/>
      <c r="Y2773" s="1"/>
      <c r="Z2773" s="1"/>
      <c r="AA2773" s="1"/>
      <c r="AB2773" s="1"/>
      <c r="AC2773" s="1"/>
      <c r="AD2773" s="1"/>
      <c r="AE2773" s="1"/>
      <c r="AF2773" s="1"/>
    </row>
    <row r="2774" spans="7:32" x14ac:dyDescent="0.2">
      <c r="G2774" s="2"/>
      <c r="H2774" s="1"/>
      <c r="I2774" s="1"/>
      <c r="J2774" s="1"/>
      <c r="K2774" s="1"/>
      <c r="L2774" s="1"/>
      <c r="M2774" s="1"/>
      <c r="N2774" s="1"/>
      <c r="O2774" s="1"/>
      <c r="P2774" s="1"/>
      <c r="Q2774" s="1"/>
      <c r="R2774" s="1"/>
      <c r="S2774" s="1"/>
      <c r="T2774" s="1"/>
      <c r="U2774" s="1"/>
      <c r="V2774" s="1"/>
      <c r="W2774" s="1"/>
      <c r="X2774" s="1"/>
      <c r="Y2774" s="1"/>
      <c r="Z2774" s="1"/>
      <c r="AA2774" s="1"/>
      <c r="AB2774" s="1"/>
      <c r="AC2774" s="1"/>
      <c r="AD2774" s="1"/>
      <c r="AE2774" s="1"/>
      <c r="AF2774" s="1"/>
    </row>
    <row r="2775" spans="7:32" x14ac:dyDescent="0.2">
      <c r="G2775" s="2"/>
      <c r="H2775" s="1"/>
      <c r="I2775" s="1"/>
      <c r="J2775" s="1"/>
      <c r="K2775" s="1"/>
      <c r="L2775" s="1"/>
      <c r="M2775" s="1"/>
      <c r="N2775" s="1"/>
      <c r="O2775" s="1"/>
      <c r="P2775" s="1"/>
      <c r="Q2775" s="1"/>
      <c r="R2775" s="1"/>
      <c r="S2775" s="1"/>
      <c r="T2775" s="1"/>
      <c r="U2775" s="1"/>
      <c r="V2775" s="1"/>
      <c r="W2775" s="1"/>
      <c r="X2775" s="1"/>
      <c r="Y2775" s="1"/>
      <c r="Z2775" s="1"/>
      <c r="AA2775" s="1"/>
      <c r="AB2775" s="1"/>
      <c r="AC2775" s="1"/>
      <c r="AD2775" s="1"/>
      <c r="AE2775" s="1"/>
      <c r="AF2775" s="1"/>
    </row>
    <row r="2776" spans="7:32" x14ac:dyDescent="0.2">
      <c r="G2776" s="2"/>
      <c r="H2776" s="1"/>
      <c r="I2776" s="1"/>
      <c r="J2776" s="1"/>
      <c r="K2776" s="1"/>
      <c r="L2776" s="1"/>
      <c r="M2776" s="1"/>
      <c r="N2776" s="1"/>
      <c r="O2776" s="1"/>
      <c r="P2776" s="1"/>
      <c r="Q2776" s="1"/>
      <c r="R2776" s="1"/>
      <c r="S2776" s="1"/>
      <c r="T2776" s="1"/>
      <c r="U2776" s="1"/>
      <c r="V2776" s="1"/>
      <c r="W2776" s="1"/>
      <c r="X2776" s="1"/>
      <c r="Y2776" s="1"/>
      <c r="Z2776" s="1"/>
      <c r="AA2776" s="1"/>
      <c r="AB2776" s="1"/>
      <c r="AC2776" s="1"/>
      <c r="AD2776" s="1"/>
      <c r="AE2776" s="1"/>
      <c r="AF2776" s="1"/>
    </row>
    <row r="2777" spans="7:32" x14ac:dyDescent="0.2">
      <c r="G2777" s="2"/>
      <c r="H2777" s="1"/>
      <c r="I2777" s="1"/>
      <c r="J2777" s="1"/>
      <c r="K2777" s="1"/>
      <c r="L2777" s="1"/>
      <c r="M2777" s="1"/>
      <c r="N2777" s="1"/>
      <c r="O2777" s="1"/>
      <c r="P2777" s="1"/>
      <c r="Q2777" s="1"/>
      <c r="R2777" s="1"/>
      <c r="S2777" s="1"/>
      <c r="T2777" s="1"/>
      <c r="U2777" s="1"/>
      <c r="V2777" s="1"/>
      <c r="W2777" s="1"/>
      <c r="X2777" s="1"/>
      <c r="Y2777" s="1"/>
      <c r="Z2777" s="1"/>
      <c r="AA2777" s="1"/>
      <c r="AB2777" s="1"/>
      <c r="AC2777" s="1"/>
      <c r="AD2777" s="1"/>
      <c r="AE2777" s="1"/>
      <c r="AF2777" s="1"/>
    </row>
    <row r="2778" spans="7:32" x14ac:dyDescent="0.2">
      <c r="G2778" s="2"/>
      <c r="H2778" s="1"/>
      <c r="I2778" s="1"/>
      <c r="J2778" s="1"/>
      <c r="K2778" s="1"/>
      <c r="L2778" s="1"/>
      <c r="M2778" s="1"/>
      <c r="N2778" s="1"/>
      <c r="O2778" s="1"/>
      <c r="P2778" s="1"/>
      <c r="Q2778" s="1"/>
      <c r="R2778" s="1"/>
      <c r="S2778" s="1"/>
      <c r="T2778" s="1"/>
      <c r="U2778" s="1"/>
      <c r="V2778" s="1"/>
      <c r="W2778" s="1"/>
      <c r="X2778" s="1"/>
      <c r="Y2778" s="1"/>
      <c r="Z2778" s="1"/>
      <c r="AA2778" s="1"/>
      <c r="AB2778" s="1"/>
      <c r="AC2778" s="1"/>
      <c r="AD2778" s="1"/>
      <c r="AE2778" s="1"/>
      <c r="AF2778" s="1"/>
    </row>
    <row r="2779" spans="7:32" x14ac:dyDescent="0.2">
      <c r="G2779" s="2"/>
      <c r="H2779" s="1"/>
      <c r="I2779" s="1"/>
      <c r="J2779" s="1"/>
      <c r="K2779" s="1"/>
      <c r="L2779" s="1"/>
      <c r="M2779" s="1"/>
      <c r="N2779" s="1"/>
      <c r="O2779" s="1"/>
      <c r="P2779" s="1"/>
      <c r="Q2779" s="1"/>
      <c r="R2779" s="1"/>
      <c r="S2779" s="1"/>
      <c r="T2779" s="1"/>
      <c r="U2779" s="1"/>
      <c r="V2779" s="1"/>
      <c r="W2779" s="1"/>
      <c r="X2779" s="1"/>
      <c r="Y2779" s="1"/>
      <c r="Z2779" s="1"/>
      <c r="AA2779" s="1"/>
      <c r="AB2779" s="1"/>
      <c r="AC2779" s="1"/>
      <c r="AD2779" s="1"/>
      <c r="AE2779" s="1"/>
      <c r="AF2779" s="1"/>
    </row>
    <row r="2780" spans="7:32" x14ac:dyDescent="0.2">
      <c r="G2780" s="2"/>
      <c r="H2780" s="1"/>
      <c r="I2780" s="1"/>
      <c r="J2780" s="1"/>
      <c r="K2780" s="1"/>
      <c r="L2780" s="1"/>
      <c r="M2780" s="1"/>
      <c r="N2780" s="1"/>
      <c r="O2780" s="1"/>
      <c r="P2780" s="1"/>
      <c r="Q2780" s="1"/>
      <c r="R2780" s="1"/>
      <c r="S2780" s="1"/>
      <c r="T2780" s="1"/>
      <c r="U2780" s="1"/>
      <c r="V2780" s="1"/>
      <c r="W2780" s="1"/>
      <c r="X2780" s="1"/>
      <c r="Y2780" s="1"/>
      <c r="Z2780" s="1"/>
      <c r="AA2780" s="1"/>
      <c r="AB2780" s="1"/>
      <c r="AC2780" s="1"/>
      <c r="AD2780" s="1"/>
      <c r="AE2780" s="1"/>
      <c r="AF2780" s="1"/>
    </row>
    <row r="2781" spans="7:32" x14ac:dyDescent="0.2">
      <c r="G2781" s="2"/>
      <c r="H2781" s="1"/>
      <c r="I2781" s="1"/>
      <c r="J2781" s="1"/>
      <c r="K2781" s="1"/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  <c r="X2781" s="1"/>
      <c r="Y2781" s="1"/>
      <c r="Z2781" s="1"/>
      <c r="AA2781" s="1"/>
      <c r="AB2781" s="1"/>
      <c r="AC2781" s="1"/>
      <c r="AD2781" s="1"/>
      <c r="AE2781" s="1"/>
      <c r="AF2781" s="1"/>
    </row>
    <row r="2782" spans="7:32" x14ac:dyDescent="0.2">
      <c r="G2782" s="2"/>
      <c r="H2782" s="1"/>
      <c r="I2782" s="1"/>
      <c r="J2782" s="1"/>
      <c r="K2782" s="1"/>
      <c r="L2782" s="1"/>
      <c r="M2782" s="1"/>
      <c r="N2782" s="1"/>
      <c r="O2782" s="1"/>
      <c r="P2782" s="1"/>
      <c r="Q2782" s="1"/>
      <c r="R2782" s="1"/>
      <c r="S2782" s="1"/>
      <c r="T2782" s="1"/>
      <c r="U2782" s="1"/>
      <c r="V2782" s="1"/>
      <c r="W2782" s="1"/>
      <c r="X2782" s="1"/>
      <c r="Y2782" s="1"/>
      <c r="Z2782" s="1"/>
      <c r="AA2782" s="1"/>
      <c r="AB2782" s="1"/>
      <c r="AC2782" s="1"/>
      <c r="AD2782" s="1"/>
      <c r="AE2782" s="1"/>
      <c r="AF2782" s="1"/>
    </row>
    <row r="2783" spans="7:32" x14ac:dyDescent="0.2">
      <c r="G2783" s="2"/>
      <c r="H2783" s="1"/>
      <c r="I2783" s="1"/>
      <c r="J2783" s="1"/>
      <c r="K2783" s="1"/>
      <c r="L2783" s="1"/>
      <c r="M2783" s="1"/>
      <c r="N2783" s="1"/>
      <c r="O2783" s="1"/>
      <c r="P2783" s="1"/>
      <c r="Q2783" s="1"/>
      <c r="R2783" s="1"/>
      <c r="S2783" s="1"/>
      <c r="T2783" s="1"/>
      <c r="U2783" s="1"/>
      <c r="V2783" s="1"/>
      <c r="W2783" s="1"/>
      <c r="X2783" s="1"/>
      <c r="Y2783" s="1"/>
      <c r="Z2783" s="1"/>
      <c r="AA2783" s="1"/>
      <c r="AB2783" s="1"/>
      <c r="AC2783" s="1"/>
      <c r="AD2783" s="1"/>
      <c r="AE2783" s="1"/>
      <c r="AF2783" s="1"/>
    </row>
    <row r="2784" spans="7:32" x14ac:dyDescent="0.2">
      <c r="G2784" s="2"/>
      <c r="H2784" s="1"/>
      <c r="I2784" s="1"/>
      <c r="J2784" s="1"/>
      <c r="K2784" s="1"/>
      <c r="L2784" s="1"/>
      <c r="M2784" s="1"/>
      <c r="N2784" s="1"/>
      <c r="O2784" s="1"/>
      <c r="P2784" s="1"/>
      <c r="Q2784" s="1"/>
      <c r="R2784" s="1"/>
      <c r="S2784" s="1"/>
      <c r="T2784" s="1"/>
      <c r="U2784" s="1"/>
      <c r="V2784" s="1"/>
      <c r="W2784" s="1"/>
      <c r="X2784" s="1"/>
      <c r="Y2784" s="1"/>
      <c r="Z2784" s="1"/>
      <c r="AA2784" s="1"/>
      <c r="AB2784" s="1"/>
      <c r="AC2784" s="1"/>
      <c r="AD2784" s="1"/>
      <c r="AE2784" s="1"/>
      <c r="AF2784" s="1"/>
    </row>
    <row r="2785" spans="7:32" x14ac:dyDescent="0.2">
      <c r="G2785" s="2"/>
      <c r="H2785" s="1"/>
      <c r="I2785" s="1"/>
      <c r="J2785" s="1"/>
      <c r="K2785" s="1"/>
      <c r="L2785" s="1"/>
      <c r="M2785" s="1"/>
      <c r="N2785" s="1"/>
      <c r="O2785" s="1"/>
      <c r="P2785" s="1"/>
      <c r="Q2785" s="1"/>
      <c r="R2785" s="1"/>
      <c r="S2785" s="1"/>
      <c r="T2785" s="1"/>
      <c r="U2785" s="1"/>
      <c r="V2785" s="1"/>
      <c r="W2785" s="1"/>
      <c r="X2785" s="1"/>
      <c r="Y2785" s="1"/>
      <c r="Z2785" s="1"/>
      <c r="AA2785" s="1"/>
      <c r="AB2785" s="1"/>
      <c r="AC2785" s="1"/>
      <c r="AD2785" s="1"/>
      <c r="AE2785" s="1"/>
      <c r="AF2785" s="1"/>
    </row>
    <row r="2786" spans="7:32" x14ac:dyDescent="0.2">
      <c r="G2786" s="2"/>
      <c r="H2786" s="1"/>
      <c r="I2786" s="1"/>
      <c r="J2786" s="1"/>
      <c r="K2786" s="1"/>
      <c r="L2786" s="1"/>
      <c r="M2786" s="1"/>
      <c r="N2786" s="1"/>
      <c r="O2786" s="1"/>
      <c r="P2786" s="1"/>
      <c r="Q2786" s="1"/>
      <c r="R2786" s="1"/>
      <c r="S2786" s="1"/>
      <c r="T2786" s="1"/>
      <c r="U2786" s="1"/>
      <c r="V2786" s="1"/>
      <c r="W2786" s="1"/>
      <c r="X2786" s="1"/>
      <c r="Y2786" s="1"/>
      <c r="Z2786" s="1"/>
      <c r="AA2786" s="1"/>
      <c r="AB2786" s="1"/>
      <c r="AC2786" s="1"/>
      <c r="AD2786" s="1"/>
      <c r="AE2786" s="1"/>
      <c r="AF2786" s="1"/>
    </row>
    <row r="2787" spans="7:32" x14ac:dyDescent="0.2">
      <c r="G2787" s="2"/>
      <c r="H2787" s="1"/>
      <c r="I2787" s="1"/>
      <c r="J2787" s="1"/>
      <c r="K2787" s="1"/>
      <c r="L2787" s="1"/>
      <c r="M2787" s="1"/>
      <c r="N2787" s="1"/>
      <c r="O2787" s="1"/>
      <c r="P2787" s="1"/>
      <c r="Q2787" s="1"/>
      <c r="R2787" s="1"/>
      <c r="S2787" s="1"/>
      <c r="T2787" s="1"/>
      <c r="U2787" s="1"/>
      <c r="V2787" s="1"/>
      <c r="W2787" s="1"/>
      <c r="X2787" s="1"/>
      <c r="Y2787" s="1"/>
      <c r="Z2787" s="1"/>
      <c r="AA2787" s="1"/>
      <c r="AB2787" s="1"/>
      <c r="AC2787" s="1"/>
      <c r="AD2787" s="1"/>
      <c r="AE2787" s="1"/>
      <c r="AF2787" s="1"/>
    </row>
    <row r="2788" spans="7:32" x14ac:dyDescent="0.2">
      <c r="G2788" s="2"/>
      <c r="H2788" s="1"/>
      <c r="I2788" s="1"/>
      <c r="J2788" s="1"/>
      <c r="K2788" s="1"/>
      <c r="L2788" s="1"/>
      <c r="M2788" s="1"/>
      <c r="N2788" s="1"/>
      <c r="O2788" s="1"/>
      <c r="P2788" s="1"/>
      <c r="Q2788" s="1"/>
      <c r="R2788" s="1"/>
      <c r="S2788" s="1"/>
      <c r="T2788" s="1"/>
      <c r="U2788" s="1"/>
      <c r="V2788" s="1"/>
      <c r="W2788" s="1"/>
      <c r="X2788" s="1"/>
      <c r="Y2788" s="1"/>
      <c r="Z2788" s="1"/>
      <c r="AA2788" s="1"/>
      <c r="AB2788" s="1"/>
      <c r="AC2788" s="1"/>
      <c r="AD2788" s="1"/>
      <c r="AE2788" s="1"/>
      <c r="AF2788" s="1"/>
    </row>
    <row r="2789" spans="7:32" x14ac:dyDescent="0.2">
      <c r="G2789" s="2"/>
      <c r="H2789" s="1"/>
      <c r="I2789" s="1"/>
      <c r="J2789" s="1"/>
      <c r="K2789" s="1"/>
      <c r="L2789" s="1"/>
      <c r="M2789" s="1"/>
      <c r="N2789" s="1"/>
      <c r="O2789" s="1"/>
      <c r="P2789" s="1"/>
      <c r="Q2789" s="1"/>
      <c r="R2789" s="1"/>
      <c r="S2789" s="1"/>
      <c r="T2789" s="1"/>
      <c r="U2789" s="1"/>
      <c r="V2789" s="1"/>
      <c r="W2789" s="1"/>
      <c r="X2789" s="1"/>
      <c r="Y2789" s="1"/>
      <c r="Z2789" s="1"/>
      <c r="AA2789" s="1"/>
      <c r="AB2789" s="1"/>
      <c r="AC2789" s="1"/>
      <c r="AD2789" s="1"/>
      <c r="AE2789" s="1"/>
      <c r="AF2789" s="1"/>
    </row>
    <row r="2790" spans="7:32" x14ac:dyDescent="0.2">
      <c r="G2790" s="2"/>
      <c r="H2790" s="1"/>
      <c r="I2790" s="1"/>
      <c r="J2790" s="1"/>
      <c r="K2790" s="1"/>
      <c r="L2790" s="1"/>
      <c r="M2790" s="1"/>
      <c r="N2790" s="1"/>
      <c r="O2790" s="1"/>
      <c r="P2790" s="1"/>
      <c r="Q2790" s="1"/>
      <c r="R2790" s="1"/>
      <c r="S2790" s="1"/>
      <c r="T2790" s="1"/>
      <c r="U2790" s="1"/>
      <c r="V2790" s="1"/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</row>
    <row r="2791" spans="7:32" x14ac:dyDescent="0.2">
      <c r="G2791" s="2"/>
      <c r="H2791" s="1"/>
      <c r="I2791" s="1"/>
      <c r="J2791" s="1"/>
      <c r="K2791" s="1"/>
      <c r="L2791" s="1"/>
      <c r="M2791" s="1"/>
      <c r="N2791" s="1"/>
      <c r="O2791" s="1"/>
      <c r="P2791" s="1"/>
      <c r="Q2791" s="1"/>
      <c r="R2791" s="1"/>
      <c r="S2791" s="1"/>
      <c r="T2791" s="1"/>
      <c r="U2791" s="1"/>
      <c r="V2791" s="1"/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</row>
    <row r="2792" spans="7:32" x14ac:dyDescent="0.2">
      <c r="G2792" s="2"/>
      <c r="H2792" s="1"/>
      <c r="I2792" s="1"/>
      <c r="J2792" s="1"/>
      <c r="K2792" s="1"/>
      <c r="L2792" s="1"/>
      <c r="M2792" s="1"/>
      <c r="N2792" s="1"/>
      <c r="O2792" s="1"/>
      <c r="P2792" s="1"/>
      <c r="Q2792" s="1"/>
      <c r="R2792" s="1"/>
      <c r="S2792" s="1"/>
      <c r="T2792" s="1"/>
      <c r="U2792" s="1"/>
      <c r="V2792" s="1"/>
      <c r="W2792" s="1"/>
      <c r="X2792" s="1"/>
      <c r="Y2792" s="1"/>
      <c r="Z2792" s="1"/>
      <c r="AA2792" s="1"/>
      <c r="AB2792" s="1"/>
      <c r="AC2792" s="1"/>
      <c r="AD2792" s="1"/>
      <c r="AE2792" s="1"/>
      <c r="AF2792" s="1"/>
    </row>
    <row r="2793" spans="7:32" x14ac:dyDescent="0.2">
      <c r="G2793" s="2"/>
      <c r="H2793" s="1"/>
      <c r="I2793" s="1"/>
      <c r="J2793" s="1"/>
      <c r="K2793" s="1"/>
      <c r="L2793" s="1"/>
      <c r="M2793" s="1"/>
      <c r="N2793" s="1"/>
      <c r="O2793" s="1"/>
      <c r="P2793" s="1"/>
      <c r="Q2793" s="1"/>
      <c r="R2793" s="1"/>
      <c r="S2793" s="1"/>
      <c r="T2793" s="1"/>
      <c r="U2793" s="1"/>
      <c r="V2793" s="1"/>
      <c r="W2793" s="1"/>
      <c r="X2793" s="1"/>
      <c r="Y2793" s="1"/>
      <c r="Z2793" s="1"/>
      <c r="AA2793" s="1"/>
      <c r="AB2793" s="1"/>
      <c r="AC2793" s="1"/>
      <c r="AD2793" s="1"/>
      <c r="AE2793" s="1"/>
      <c r="AF2793" s="1"/>
    </row>
    <row r="2794" spans="7:32" x14ac:dyDescent="0.2">
      <c r="G2794" s="2"/>
      <c r="H2794" s="1"/>
      <c r="I2794" s="1"/>
      <c r="J2794" s="1"/>
      <c r="K2794" s="1"/>
      <c r="L2794" s="1"/>
      <c r="M2794" s="1"/>
      <c r="N2794" s="1"/>
      <c r="O2794" s="1"/>
      <c r="P2794" s="1"/>
      <c r="Q2794" s="1"/>
      <c r="R2794" s="1"/>
      <c r="S2794" s="1"/>
      <c r="T2794" s="1"/>
      <c r="U2794" s="1"/>
      <c r="V2794" s="1"/>
      <c r="W2794" s="1"/>
      <c r="X2794" s="1"/>
      <c r="Y2794" s="1"/>
      <c r="Z2794" s="1"/>
      <c r="AA2794" s="1"/>
      <c r="AB2794" s="1"/>
      <c r="AC2794" s="1"/>
      <c r="AD2794" s="1"/>
      <c r="AE2794" s="1"/>
      <c r="AF2794" s="1"/>
    </row>
    <row r="2795" spans="7:32" x14ac:dyDescent="0.2">
      <c r="G2795" s="2"/>
      <c r="H2795" s="1"/>
      <c r="I2795" s="1"/>
      <c r="J2795" s="1"/>
      <c r="K2795" s="1"/>
      <c r="L2795" s="1"/>
      <c r="M2795" s="1"/>
      <c r="N2795" s="1"/>
      <c r="O2795" s="1"/>
      <c r="P2795" s="1"/>
      <c r="Q2795" s="1"/>
      <c r="R2795" s="1"/>
      <c r="S2795" s="1"/>
      <c r="T2795" s="1"/>
      <c r="U2795" s="1"/>
      <c r="V2795" s="1"/>
      <c r="W2795" s="1"/>
      <c r="X2795" s="1"/>
      <c r="Y2795" s="1"/>
      <c r="Z2795" s="1"/>
      <c r="AA2795" s="1"/>
      <c r="AB2795" s="1"/>
      <c r="AC2795" s="1"/>
      <c r="AD2795" s="1"/>
      <c r="AE2795" s="1"/>
      <c r="AF2795" s="1"/>
    </row>
    <row r="2796" spans="7:32" x14ac:dyDescent="0.2">
      <c r="G2796" s="2"/>
      <c r="H2796" s="1"/>
      <c r="I2796" s="1"/>
      <c r="J2796" s="1"/>
      <c r="K2796" s="1"/>
      <c r="L2796" s="1"/>
      <c r="M2796" s="1"/>
      <c r="N2796" s="1"/>
      <c r="O2796" s="1"/>
      <c r="P2796" s="1"/>
      <c r="Q2796" s="1"/>
      <c r="R2796" s="1"/>
      <c r="S2796" s="1"/>
      <c r="T2796" s="1"/>
      <c r="U2796" s="1"/>
      <c r="V2796" s="1"/>
      <c r="W2796" s="1"/>
      <c r="X2796" s="1"/>
      <c r="Y2796" s="1"/>
      <c r="Z2796" s="1"/>
      <c r="AA2796" s="1"/>
      <c r="AB2796" s="1"/>
      <c r="AC2796" s="1"/>
      <c r="AD2796" s="1"/>
      <c r="AE2796" s="1"/>
      <c r="AF2796" s="1"/>
    </row>
    <row r="2797" spans="7:32" x14ac:dyDescent="0.2">
      <c r="G2797" s="2"/>
      <c r="H2797" s="1"/>
      <c r="I2797" s="1"/>
      <c r="J2797" s="1"/>
      <c r="K2797" s="1"/>
      <c r="L2797" s="1"/>
      <c r="M2797" s="1"/>
      <c r="N2797" s="1"/>
      <c r="O2797" s="1"/>
      <c r="P2797" s="1"/>
      <c r="Q2797" s="1"/>
      <c r="R2797" s="1"/>
      <c r="S2797" s="1"/>
      <c r="T2797" s="1"/>
      <c r="U2797" s="1"/>
      <c r="V2797" s="1"/>
      <c r="W2797" s="1"/>
      <c r="X2797" s="1"/>
      <c r="Y2797" s="1"/>
      <c r="Z2797" s="1"/>
      <c r="AA2797" s="1"/>
      <c r="AB2797" s="1"/>
      <c r="AC2797" s="1"/>
      <c r="AD2797" s="1"/>
      <c r="AE2797" s="1"/>
      <c r="AF2797" s="1"/>
    </row>
    <row r="2798" spans="7:32" x14ac:dyDescent="0.2">
      <c r="G2798" s="2"/>
      <c r="H2798" s="1"/>
      <c r="I2798" s="1"/>
      <c r="J2798" s="1"/>
      <c r="K2798" s="1"/>
      <c r="L2798" s="1"/>
      <c r="M2798" s="1"/>
      <c r="N2798" s="1"/>
      <c r="O2798" s="1"/>
      <c r="P2798" s="1"/>
      <c r="Q2798" s="1"/>
      <c r="R2798" s="1"/>
      <c r="S2798" s="1"/>
      <c r="T2798" s="1"/>
      <c r="U2798" s="1"/>
      <c r="V2798" s="1"/>
      <c r="W2798" s="1"/>
      <c r="X2798" s="1"/>
      <c r="Y2798" s="1"/>
      <c r="Z2798" s="1"/>
      <c r="AA2798" s="1"/>
      <c r="AB2798" s="1"/>
      <c r="AC2798" s="1"/>
      <c r="AD2798" s="1"/>
      <c r="AE2798" s="1"/>
      <c r="AF2798" s="1"/>
    </row>
    <row r="2799" spans="7:32" x14ac:dyDescent="0.2">
      <c r="G2799" s="2"/>
      <c r="H2799" s="1"/>
      <c r="I2799" s="1"/>
      <c r="J2799" s="1"/>
      <c r="K2799" s="1"/>
      <c r="L2799" s="1"/>
      <c r="M2799" s="1"/>
      <c r="N2799" s="1"/>
      <c r="O2799" s="1"/>
      <c r="P2799" s="1"/>
      <c r="Q2799" s="1"/>
      <c r="R2799" s="1"/>
      <c r="S2799" s="1"/>
      <c r="T2799" s="1"/>
      <c r="U2799" s="1"/>
      <c r="V2799" s="1"/>
      <c r="W2799" s="1"/>
      <c r="X2799" s="1"/>
      <c r="Y2799" s="1"/>
      <c r="Z2799" s="1"/>
      <c r="AA2799" s="1"/>
      <c r="AB2799" s="1"/>
      <c r="AC2799" s="1"/>
      <c r="AD2799" s="1"/>
      <c r="AE2799" s="1"/>
      <c r="AF2799" s="1"/>
    </row>
    <row r="2800" spans="7:32" x14ac:dyDescent="0.2">
      <c r="G2800" s="2"/>
      <c r="H2800" s="1"/>
      <c r="I2800" s="1"/>
      <c r="J2800" s="1"/>
      <c r="K2800" s="1"/>
      <c r="L2800" s="1"/>
      <c r="M2800" s="1"/>
      <c r="N2800" s="1"/>
      <c r="O2800" s="1"/>
      <c r="P2800" s="1"/>
      <c r="Q2800" s="1"/>
      <c r="R2800" s="1"/>
      <c r="S2800" s="1"/>
      <c r="T2800" s="1"/>
      <c r="U2800" s="1"/>
      <c r="V2800" s="1"/>
      <c r="W2800" s="1"/>
      <c r="X2800" s="1"/>
      <c r="Y2800" s="1"/>
      <c r="Z2800" s="1"/>
      <c r="AA2800" s="1"/>
      <c r="AB2800" s="1"/>
      <c r="AC2800" s="1"/>
      <c r="AD2800" s="1"/>
      <c r="AE2800" s="1"/>
      <c r="AF2800" s="1"/>
    </row>
    <row r="2801" spans="7:32" x14ac:dyDescent="0.2">
      <c r="G2801" s="2"/>
      <c r="H2801" s="1"/>
      <c r="I2801" s="1"/>
      <c r="J2801" s="1"/>
      <c r="K2801" s="1"/>
      <c r="L2801" s="1"/>
      <c r="M2801" s="1"/>
      <c r="N2801" s="1"/>
      <c r="O2801" s="1"/>
      <c r="P2801" s="1"/>
      <c r="Q2801" s="1"/>
      <c r="R2801" s="1"/>
      <c r="S2801" s="1"/>
      <c r="T2801" s="1"/>
      <c r="U2801" s="1"/>
      <c r="V2801" s="1"/>
      <c r="W2801" s="1"/>
      <c r="X2801" s="1"/>
      <c r="Y2801" s="1"/>
      <c r="Z2801" s="1"/>
      <c r="AA2801" s="1"/>
      <c r="AB2801" s="1"/>
      <c r="AC2801" s="1"/>
      <c r="AD2801" s="1"/>
      <c r="AE2801" s="1"/>
      <c r="AF2801" s="1"/>
    </row>
    <row r="2802" spans="7:32" x14ac:dyDescent="0.2">
      <c r="G2802" s="2"/>
      <c r="H2802" s="1"/>
      <c r="I2802" s="1"/>
      <c r="J2802" s="1"/>
      <c r="K2802" s="1"/>
      <c r="L2802" s="1"/>
      <c r="M2802" s="1"/>
      <c r="N2802" s="1"/>
      <c r="O2802" s="1"/>
      <c r="P2802" s="1"/>
      <c r="Q2802" s="1"/>
      <c r="R2802" s="1"/>
      <c r="S2802" s="1"/>
      <c r="T2802" s="1"/>
      <c r="U2802" s="1"/>
      <c r="V2802" s="1"/>
      <c r="W2802" s="1"/>
      <c r="X2802" s="1"/>
      <c r="Y2802" s="1"/>
      <c r="Z2802" s="1"/>
      <c r="AA2802" s="1"/>
      <c r="AB2802" s="1"/>
      <c r="AC2802" s="1"/>
      <c r="AD2802" s="1"/>
      <c r="AE2802" s="1"/>
      <c r="AF2802" s="1"/>
    </row>
    <row r="2803" spans="7:32" x14ac:dyDescent="0.2">
      <c r="G2803" s="2"/>
      <c r="H2803" s="1"/>
      <c r="I2803" s="1"/>
      <c r="J2803" s="1"/>
      <c r="K2803" s="1"/>
      <c r="L2803" s="1"/>
      <c r="M2803" s="1"/>
      <c r="N2803" s="1"/>
      <c r="O2803" s="1"/>
      <c r="P2803" s="1"/>
      <c r="Q2803" s="1"/>
      <c r="R2803" s="1"/>
      <c r="S2803" s="1"/>
      <c r="T2803" s="1"/>
      <c r="U2803" s="1"/>
      <c r="V2803" s="1"/>
      <c r="W2803" s="1"/>
      <c r="X2803" s="1"/>
      <c r="Y2803" s="1"/>
      <c r="Z2803" s="1"/>
      <c r="AA2803" s="1"/>
      <c r="AB2803" s="1"/>
      <c r="AC2803" s="1"/>
      <c r="AD2803" s="1"/>
      <c r="AE2803" s="1"/>
      <c r="AF2803" s="1"/>
    </row>
    <row r="2804" spans="7:32" x14ac:dyDescent="0.2">
      <c r="G2804" s="2"/>
      <c r="H2804" s="1"/>
      <c r="I2804" s="1"/>
      <c r="J2804" s="1"/>
      <c r="K2804" s="1"/>
      <c r="L2804" s="1"/>
      <c r="M2804" s="1"/>
      <c r="N2804" s="1"/>
      <c r="O2804" s="1"/>
      <c r="P2804" s="1"/>
      <c r="Q2804" s="1"/>
      <c r="R2804" s="1"/>
      <c r="S2804" s="1"/>
      <c r="T2804" s="1"/>
      <c r="U2804" s="1"/>
      <c r="V2804" s="1"/>
      <c r="W2804" s="1"/>
      <c r="X2804" s="1"/>
      <c r="Y2804" s="1"/>
      <c r="Z2804" s="1"/>
      <c r="AA2804" s="1"/>
      <c r="AB2804" s="1"/>
      <c r="AC2804" s="1"/>
      <c r="AD2804" s="1"/>
      <c r="AE2804" s="1"/>
      <c r="AF2804" s="1"/>
    </row>
    <row r="2805" spans="7:32" x14ac:dyDescent="0.2">
      <c r="G2805" s="2"/>
      <c r="H2805" s="1"/>
      <c r="I2805" s="1"/>
      <c r="J2805" s="1"/>
      <c r="K2805" s="1"/>
      <c r="L2805" s="1"/>
      <c r="M2805" s="1"/>
      <c r="N2805" s="1"/>
      <c r="O2805" s="1"/>
      <c r="P2805" s="1"/>
      <c r="Q2805" s="1"/>
      <c r="R2805" s="1"/>
      <c r="S2805" s="1"/>
      <c r="T2805" s="1"/>
      <c r="U2805" s="1"/>
      <c r="V2805" s="1"/>
      <c r="W2805" s="1"/>
      <c r="X2805" s="1"/>
      <c r="Y2805" s="1"/>
      <c r="Z2805" s="1"/>
      <c r="AA2805" s="1"/>
      <c r="AB2805" s="1"/>
      <c r="AC2805" s="1"/>
      <c r="AD2805" s="1"/>
      <c r="AE2805" s="1"/>
      <c r="AF2805" s="1"/>
    </row>
    <row r="2806" spans="7:32" x14ac:dyDescent="0.2">
      <c r="G2806" s="2"/>
      <c r="H2806" s="1"/>
      <c r="I2806" s="1"/>
      <c r="J2806" s="1"/>
      <c r="K2806" s="1"/>
      <c r="L2806" s="1"/>
      <c r="M2806" s="1"/>
      <c r="N2806" s="1"/>
      <c r="O2806" s="1"/>
      <c r="P2806" s="1"/>
      <c r="Q2806" s="1"/>
      <c r="R2806" s="1"/>
      <c r="S2806" s="1"/>
      <c r="T2806" s="1"/>
      <c r="U2806" s="1"/>
      <c r="V2806" s="1"/>
      <c r="W2806" s="1"/>
      <c r="X2806" s="1"/>
      <c r="Y2806" s="1"/>
      <c r="Z2806" s="1"/>
      <c r="AA2806" s="1"/>
      <c r="AB2806" s="1"/>
      <c r="AC2806" s="1"/>
      <c r="AD2806" s="1"/>
      <c r="AE2806" s="1"/>
      <c r="AF2806" s="1"/>
    </row>
    <row r="2807" spans="7:32" x14ac:dyDescent="0.2">
      <c r="G2807" s="2"/>
      <c r="H2807" s="1"/>
      <c r="I2807" s="1"/>
      <c r="J2807" s="1"/>
      <c r="K2807" s="1"/>
      <c r="L2807" s="1"/>
      <c r="M2807" s="1"/>
      <c r="N2807" s="1"/>
      <c r="O2807" s="1"/>
      <c r="P2807" s="1"/>
      <c r="Q2807" s="1"/>
      <c r="R2807" s="1"/>
      <c r="S2807" s="1"/>
      <c r="T2807" s="1"/>
      <c r="U2807" s="1"/>
      <c r="V2807" s="1"/>
      <c r="W2807" s="1"/>
      <c r="X2807" s="1"/>
      <c r="Y2807" s="1"/>
      <c r="Z2807" s="1"/>
      <c r="AA2807" s="1"/>
      <c r="AB2807" s="1"/>
      <c r="AC2807" s="1"/>
      <c r="AD2807" s="1"/>
      <c r="AE2807" s="1"/>
      <c r="AF2807" s="1"/>
    </row>
    <row r="2808" spans="7:32" x14ac:dyDescent="0.2">
      <c r="G2808" s="2"/>
      <c r="H2808" s="1"/>
      <c r="I2808" s="1"/>
      <c r="J2808" s="1"/>
      <c r="K2808" s="1"/>
      <c r="L2808" s="1"/>
      <c r="M2808" s="1"/>
      <c r="N2808" s="1"/>
      <c r="O2808" s="1"/>
      <c r="P2808" s="1"/>
      <c r="Q2808" s="1"/>
      <c r="R2808" s="1"/>
      <c r="S2808" s="1"/>
      <c r="T2808" s="1"/>
      <c r="U2808" s="1"/>
      <c r="V2808" s="1"/>
      <c r="W2808" s="1"/>
      <c r="X2808" s="1"/>
      <c r="Y2808" s="1"/>
      <c r="Z2808" s="1"/>
      <c r="AA2808" s="1"/>
      <c r="AB2808" s="1"/>
      <c r="AC2808" s="1"/>
      <c r="AD2808" s="1"/>
      <c r="AE2808" s="1"/>
      <c r="AF2808" s="1"/>
    </row>
    <row r="2809" spans="7:32" x14ac:dyDescent="0.2">
      <c r="G2809" s="2"/>
      <c r="H2809" s="1"/>
      <c r="I2809" s="1"/>
      <c r="J2809" s="1"/>
      <c r="K2809" s="1"/>
      <c r="L2809" s="1"/>
      <c r="M2809" s="1"/>
      <c r="N2809" s="1"/>
      <c r="O2809" s="1"/>
      <c r="P2809" s="1"/>
      <c r="Q2809" s="1"/>
      <c r="R2809" s="1"/>
      <c r="S2809" s="1"/>
      <c r="T2809" s="1"/>
      <c r="U2809" s="1"/>
      <c r="V2809" s="1"/>
      <c r="W2809" s="1"/>
      <c r="X2809" s="1"/>
      <c r="Y2809" s="1"/>
      <c r="Z2809" s="1"/>
      <c r="AA2809" s="1"/>
      <c r="AB2809" s="1"/>
      <c r="AC2809" s="1"/>
      <c r="AD2809" s="1"/>
      <c r="AE2809" s="1"/>
      <c r="AF2809" s="1"/>
    </row>
    <row r="2810" spans="7:32" x14ac:dyDescent="0.2">
      <c r="G2810" s="2"/>
      <c r="H2810" s="1"/>
      <c r="I2810" s="1"/>
      <c r="J2810" s="1"/>
      <c r="K2810" s="1"/>
      <c r="L2810" s="1"/>
      <c r="M2810" s="1"/>
      <c r="N2810" s="1"/>
      <c r="O2810" s="1"/>
      <c r="P2810" s="1"/>
      <c r="Q2810" s="1"/>
      <c r="R2810" s="1"/>
      <c r="S2810" s="1"/>
      <c r="T2810" s="1"/>
      <c r="U2810" s="1"/>
      <c r="V2810" s="1"/>
      <c r="W2810" s="1"/>
      <c r="X2810" s="1"/>
      <c r="Y2810" s="1"/>
      <c r="Z2810" s="1"/>
      <c r="AA2810" s="1"/>
      <c r="AB2810" s="1"/>
      <c r="AC2810" s="1"/>
      <c r="AD2810" s="1"/>
      <c r="AE2810" s="1"/>
      <c r="AF2810" s="1"/>
    </row>
    <row r="2811" spans="7:32" x14ac:dyDescent="0.2">
      <c r="G2811" s="2"/>
      <c r="H2811" s="1"/>
      <c r="I2811" s="1"/>
      <c r="J2811" s="1"/>
      <c r="K2811" s="1"/>
      <c r="L2811" s="1"/>
      <c r="M2811" s="1"/>
      <c r="N2811" s="1"/>
      <c r="O2811" s="1"/>
      <c r="P2811" s="1"/>
      <c r="Q2811" s="1"/>
      <c r="R2811" s="1"/>
      <c r="S2811" s="1"/>
      <c r="T2811" s="1"/>
      <c r="U2811" s="1"/>
      <c r="V2811" s="1"/>
      <c r="W2811" s="1"/>
      <c r="X2811" s="1"/>
      <c r="Y2811" s="1"/>
      <c r="Z2811" s="1"/>
      <c r="AA2811" s="1"/>
      <c r="AB2811" s="1"/>
      <c r="AC2811" s="1"/>
      <c r="AD2811" s="1"/>
      <c r="AE2811" s="1"/>
      <c r="AF2811" s="1"/>
    </row>
    <row r="2812" spans="7:32" x14ac:dyDescent="0.2">
      <c r="G2812" s="2"/>
      <c r="H2812" s="1"/>
      <c r="I2812" s="1"/>
      <c r="J2812" s="1"/>
      <c r="K2812" s="1"/>
      <c r="L2812" s="1"/>
      <c r="M2812" s="1"/>
      <c r="N2812" s="1"/>
      <c r="O2812" s="1"/>
      <c r="P2812" s="1"/>
      <c r="Q2812" s="1"/>
      <c r="R2812" s="1"/>
      <c r="S2812" s="1"/>
      <c r="T2812" s="1"/>
      <c r="U2812" s="1"/>
      <c r="V2812" s="1"/>
      <c r="W2812" s="1"/>
      <c r="X2812" s="1"/>
      <c r="Y2812" s="1"/>
      <c r="Z2812" s="1"/>
      <c r="AA2812" s="1"/>
      <c r="AB2812" s="1"/>
      <c r="AC2812" s="1"/>
      <c r="AD2812" s="1"/>
      <c r="AE2812" s="1"/>
      <c r="AF2812" s="1"/>
    </row>
    <row r="2813" spans="7:32" x14ac:dyDescent="0.2">
      <c r="G2813" s="2"/>
      <c r="H2813" s="1"/>
      <c r="I2813" s="1"/>
      <c r="J2813" s="1"/>
      <c r="K2813" s="1"/>
      <c r="L2813" s="1"/>
      <c r="M2813" s="1"/>
      <c r="N2813" s="1"/>
      <c r="O2813" s="1"/>
      <c r="P2813" s="1"/>
      <c r="Q2813" s="1"/>
      <c r="R2813" s="1"/>
      <c r="S2813" s="1"/>
      <c r="T2813" s="1"/>
      <c r="U2813" s="1"/>
      <c r="V2813" s="1"/>
      <c r="W2813" s="1"/>
      <c r="X2813" s="1"/>
      <c r="Y2813" s="1"/>
      <c r="Z2813" s="1"/>
      <c r="AA2813" s="1"/>
      <c r="AB2813" s="1"/>
      <c r="AC2813" s="1"/>
      <c r="AD2813" s="1"/>
      <c r="AE2813" s="1"/>
      <c r="AF2813" s="1"/>
    </row>
    <row r="2814" spans="7:32" x14ac:dyDescent="0.2">
      <c r="G2814" s="2"/>
      <c r="H2814" s="1"/>
      <c r="I2814" s="1"/>
      <c r="J2814" s="1"/>
      <c r="K2814" s="1"/>
      <c r="L2814" s="1"/>
      <c r="M2814" s="1"/>
      <c r="N2814" s="1"/>
      <c r="O2814" s="1"/>
      <c r="P2814" s="1"/>
      <c r="Q2814" s="1"/>
      <c r="R2814" s="1"/>
      <c r="S2814" s="1"/>
      <c r="T2814" s="1"/>
      <c r="U2814" s="1"/>
      <c r="V2814" s="1"/>
      <c r="W2814" s="1"/>
      <c r="X2814" s="1"/>
      <c r="Y2814" s="1"/>
      <c r="Z2814" s="1"/>
      <c r="AA2814" s="1"/>
      <c r="AB2814" s="1"/>
      <c r="AC2814" s="1"/>
      <c r="AD2814" s="1"/>
      <c r="AE2814" s="1"/>
      <c r="AF2814" s="1"/>
    </row>
    <row r="2815" spans="7:32" x14ac:dyDescent="0.2">
      <c r="G2815" s="2"/>
      <c r="H2815" s="1"/>
      <c r="I2815" s="1"/>
      <c r="J2815" s="1"/>
      <c r="K2815" s="1"/>
      <c r="L2815" s="1"/>
      <c r="M2815" s="1"/>
      <c r="N2815" s="1"/>
      <c r="O2815" s="1"/>
      <c r="P2815" s="1"/>
      <c r="Q2815" s="1"/>
      <c r="R2815" s="1"/>
      <c r="S2815" s="1"/>
      <c r="T2815" s="1"/>
      <c r="U2815" s="1"/>
      <c r="V2815" s="1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</row>
    <row r="2816" spans="7:32" x14ac:dyDescent="0.2">
      <c r="G2816" s="2"/>
      <c r="H2816" s="1"/>
      <c r="I2816" s="1"/>
      <c r="J2816" s="1"/>
      <c r="K2816" s="1"/>
      <c r="L2816" s="1"/>
      <c r="M2816" s="1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/>
      <c r="Y2816" s="1"/>
      <c r="Z2816" s="1"/>
      <c r="AA2816" s="1"/>
      <c r="AB2816" s="1"/>
      <c r="AC2816" s="1"/>
      <c r="AD2816" s="1"/>
      <c r="AE2816" s="1"/>
      <c r="AF2816" s="1"/>
    </row>
    <row r="2817" spans="7:32" x14ac:dyDescent="0.2">
      <c r="G2817" s="2"/>
      <c r="H2817" s="1"/>
      <c r="I2817" s="1"/>
      <c r="J2817" s="1"/>
      <c r="K2817" s="1"/>
      <c r="L2817" s="1"/>
      <c r="M2817" s="1"/>
      <c r="N2817" s="1"/>
      <c r="O2817" s="1"/>
      <c r="P2817" s="1"/>
      <c r="Q2817" s="1"/>
      <c r="R2817" s="1"/>
      <c r="S2817" s="1"/>
      <c r="T2817" s="1"/>
      <c r="U2817" s="1"/>
      <c r="V2817" s="1"/>
      <c r="W2817" s="1"/>
      <c r="X2817" s="1"/>
      <c r="Y2817" s="1"/>
      <c r="Z2817" s="1"/>
      <c r="AA2817" s="1"/>
      <c r="AB2817" s="1"/>
      <c r="AC2817" s="1"/>
      <c r="AD2817" s="1"/>
      <c r="AE2817" s="1"/>
      <c r="AF2817" s="1"/>
    </row>
    <row r="2818" spans="7:32" x14ac:dyDescent="0.2">
      <c r="G2818" s="2"/>
      <c r="H2818" s="1"/>
      <c r="I2818" s="1"/>
      <c r="J2818" s="1"/>
      <c r="K2818" s="1"/>
      <c r="L2818" s="1"/>
      <c r="M2818" s="1"/>
      <c r="N2818" s="1"/>
      <c r="O2818" s="1"/>
      <c r="P2818" s="1"/>
      <c r="Q2818" s="1"/>
      <c r="R2818" s="1"/>
      <c r="S2818" s="1"/>
      <c r="T2818" s="1"/>
      <c r="U2818" s="1"/>
      <c r="V2818" s="1"/>
      <c r="W2818" s="1"/>
      <c r="X2818" s="1"/>
      <c r="Y2818" s="1"/>
      <c r="Z2818" s="1"/>
      <c r="AA2818" s="1"/>
      <c r="AB2818" s="1"/>
      <c r="AC2818" s="1"/>
      <c r="AD2818" s="1"/>
      <c r="AE2818" s="1"/>
      <c r="AF2818" s="1"/>
    </row>
    <row r="2819" spans="7:32" x14ac:dyDescent="0.2">
      <c r="G2819" s="2"/>
      <c r="H2819" s="1"/>
      <c r="I2819" s="1"/>
      <c r="J2819" s="1"/>
      <c r="K2819" s="1"/>
      <c r="L2819" s="1"/>
      <c r="M2819" s="1"/>
      <c r="N2819" s="1"/>
      <c r="O2819" s="1"/>
      <c r="P2819" s="1"/>
      <c r="Q2819" s="1"/>
      <c r="R2819" s="1"/>
      <c r="S2819" s="1"/>
      <c r="T2819" s="1"/>
      <c r="U2819" s="1"/>
      <c r="V2819" s="1"/>
      <c r="W2819" s="1"/>
      <c r="X2819" s="1"/>
      <c r="Y2819" s="1"/>
      <c r="Z2819" s="1"/>
      <c r="AA2819" s="1"/>
      <c r="AB2819" s="1"/>
      <c r="AC2819" s="1"/>
      <c r="AD2819" s="1"/>
      <c r="AE2819" s="1"/>
      <c r="AF2819" s="1"/>
    </row>
    <row r="2820" spans="7:32" x14ac:dyDescent="0.2">
      <c r="G2820" s="2"/>
      <c r="H2820" s="1"/>
      <c r="I2820" s="1"/>
      <c r="J2820" s="1"/>
      <c r="K2820" s="1"/>
      <c r="L2820" s="1"/>
      <c r="M2820" s="1"/>
      <c r="N2820" s="1"/>
      <c r="O2820" s="1"/>
      <c r="P2820" s="1"/>
      <c r="Q2820" s="1"/>
      <c r="R2820" s="1"/>
      <c r="S2820" s="1"/>
      <c r="T2820" s="1"/>
      <c r="U2820" s="1"/>
      <c r="V2820" s="1"/>
      <c r="W2820" s="1"/>
      <c r="X2820" s="1"/>
      <c r="Y2820" s="1"/>
      <c r="Z2820" s="1"/>
      <c r="AA2820" s="1"/>
      <c r="AB2820" s="1"/>
      <c r="AC2820" s="1"/>
      <c r="AD2820" s="1"/>
      <c r="AE2820" s="1"/>
      <c r="AF2820" s="1"/>
    </row>
    <row r="2821" spans="7:32" x14ac:dyDescent="0.2">
      <c r="G2821" s="2"/>
      <c r="H2821" s="1"/>
      <c r="I2821" s="1"/>
      <c r="J2821" s="1"/>
      <c r="K2821" s="1"/>
      <c r="L2821" s="1"/>
      <c r="M2821" s="1"/>
      <c r="N2821" s="1"/>
      <c r="O2821" s="1"/>
      <c r="P2821" s="1"/>
      <c r="Q2821" s="1"/>
      <c r="R2821" s="1"/>
      <c r="S2821" s="1"/>
      <c r="T2821" s="1"/>
      <c r="U2821" s="1"/>
      <c r="V2821" s="1"/>
      <c r="W2821" s="1"/>
      <c r="X2821" s="1"/>
      <c r="Y2821" s="1"/>
      <c r="Z2821" s="1"/>
      <c r="AA2821" s="1"/>
      <c r="AB2821" s="1"/>
      <c r="AC2821" s="1"/>
      <c r="AD2821" s="1"/>
      <c r="AE2821" s="1"/>
      <c r="AF2821" s="1"/>
    </row>
    <row r="2822" spans="7:32" x14ac:dyDescent="0.2">
      <c r="G2822" s="2"/>
      <c r="H2822" s="1"/>
      <c r="I2822" s="1"/>
      <c r="J2822" s="1"/>
      <c r="K2822" s="1"/>
      <c r="L2822" s="1"/>
      <c r="M2822" s="1"/>
      <c r="N2822" s="1"/>
      <c r="O2822" s="1"/>
      <c r="P2822" s="1"/>
      <c r="Q2822" s="1"/>
      <c r="R2822" s="1"/>
      <c r="S2822" s="1"/>
      <c r="T2822" s="1"/>
      <c r="U2822" s="1"/>
      <c r="V2822" s="1"/>
      <c r="W2822" s="1"/>
      <c r="X2822" s="1"/>
      <c r="Y2822" s="1"/>
      <c r="Z2822" s="1"/>
      <c r="AA2822" s="1"/>
      <c r="AB2822" s="1"/>
      <c r="AC2822" s="1"/>
      <c r="AD2822" s="1"/>
      <c r="AE2822" s="1"/>
      <c r="AF2822" s="1"/>
    </row>
    <row r="2823" spans="7:32" x14ac:dyDescent="0.2">
      <c r="G2823" s="2"/>
      <c r="H2823" s="1"/>
      <c r="I2823" s="1"/>
      <c r="J2823" s="1"/>
      <c r="K2823" s="1"/>
      <c r="L2823" s="1"/>
      <c r="M2823" s="1"/>
      <c r="N2823" s="1"/>
      <c r="O2823" s="1"/>
      <c r="P2823" s="1"/>
      <c r="Q2823" s="1"/>
      <c r="R2823" s="1"/>
      <c r="S2823" s="1"/>
      <c r="T2823" s="1"/>
      <c r="U2823" s="1"/>
      <c r="V2823" s="1"/>
      <c r="W2823" s="1"/>
      <c r="X2823" s="1"/>
      <c r="Y2823" s="1"/>
      <c r="Z2823" s="1"/>
      <c r="AA2823" s="1"/>
      <c r="AB2823" s="1"/>
      <c r="AC2823" s="1"/>
      <c r="AD2823" s="1"/>
      <c r="AE2823" s="1"/>
      <c r="AF2823" s="1"/>
    </row>
    <row r="2824" spans="7:32" x14ac:dyDescent="0.2">
      <c r="G2824" s="2"/>
      <c r="H2824" s="1"/>
      <c r="I2824" s="1"/>
      <c r="J2824" s="1"/>
      <c r="K2824" s="1"/>
      <c r="L2824" s="1"/>
      <c r="M2824" s="1"/>
      <c r="N2824" s="1"/>
      <c r="O2824" s="1"/>
      <c r="P2824" s="1"/>
      <c r="Q2824" s="1"/>
      <c r="R2824" s="1"/>
      <c r="S2824" s="1"/>
      <c r="T2824" s="1"/>
      <c r="U2824" s="1"/>
      <c r="V2824" s="1"/>
      <c r="W2824" s="1"/>
      <c r="X2824" s="1"/>
      <c r="Y2824" s="1"/>
      <c r="Z2824" s="1"/>
      <c r="AA2824" s="1"/>
      <c r="AB2824" s="1"/>
      <c r="AC2824" s="1"/>
      <c r="AD2824" s="1"/>
      <c r="AE2824" s="1"/>
      <c r="AF2824" s="1"/>
    </row>
    <row r="2825" spans="7:32" x14ac:dyDescent="0.2">
      <c r="G2825" s="2"/>
      <c r="H2825" s="1"/>
      <c r="I2825" s="1"/>
      <c r="J2825" s="1"/>
      <c r="K2825" s="1"/>
      <c r="L2825" s="1"/>
      <c r="M2825" s="1"/>
      <c r="N2825" s="1"/>
      <c r="O2825" s="1"/>
      <c r="P2825" s="1"/>
      <c r="Q2825" s="1"/>
      <c r="R2825" s="1"/>
      <c r="S2825" s="1"/>
      <c r="T2825" s="1"/>
      <c r="U2825" s="1"/>
      <c r="V2825" s="1"/>
      <c r="W2825" s="1"/>
      <c r="X2825" s="1"/>
      <c r="Y2825" s="1"/>
      <c r="Z2825" s="1"/>
      <c r="AA2825" s="1"/>
      <c r="AB2825" s="1"/>
      <c r="AC2825" s="1"/>
      <c r="AD2825" s="1"/>
      <c r="AE2825" s="1"/>
      <c r="AF2825" s="1"/>
    </row>
    <row r="2826" spans="7:32" x14ac:dyDescent="0.2">
      <c r="G2826" s="2"/>
      <c r="H2826" s="1"/>
      <c r="I2826" s="1"/>
      <c r="J2826" s="1"/>
      <c r="K2826" s="1"/>
      <c r="L2826" s="1"/>
      <c r="M2826" s="1"/>
      <c r="N2826" s="1"/>
      <c r="O2826" s="1"/>
      <c r="P2826" s="1"/>
      <c r="Q2826" s="1"/>
      <c r="R2826" s="1"/>
      <c r="S2826" s="1"/>
      <c r="T2826" s="1"/>
      <c r="U2826" s="1"/>
      <c r="V2826" s="1"/>
      <c r="W2826" s="1"/>
      <c r="X2826" s="1"/>
      <c r="Y2826" s="1"/>
      <c r="Z2826" s="1"/>
      <c r="AA2826" s="1"/>
      <c r="AB2826" s="1"/>
      <c r="AC2826" s="1"/>
      <c r="AD2826" s="1"/>
      <c r="AE2826" s="1"/>
      <c r="AF2826" s="1"/>
    </row>
    <row r="2827" spans="7:32" x14ac:dyDescent="0.2">
      <c r="G2827" s="2"/>
      <c r="H2827" s="1"/>
      <c r="I2827" s="1"/>
      <c r="J2827" s="1"/>
      <c r="K2827" s="1"/>
      <c r="L2827" s="1"/>
      <c r="M2827" s="1"/>
      <c r="N2827" s="1"/>
      <c r="O2827" s="1"/>
      <c r="P2827" s="1"/>
      <c r="Q2827" s="1"/>
      <c r="R2827" s="1"/>
      <c r="S2827" s="1"/>
      <c r="T2827" s="1"/>
      <c r="U2827" s="1"/>
      <c r="V2827" s="1"/>
      <c r="W2827" s="1"/>
      <c r="X2827" s="1"/>
      <c r="Y2827" s="1"/>
      <c r="Z2827" s="1"/>
      <c r="AA2827" s="1"/>
      <c r="AB2827" s="1"/>
      <c r="AC2827" s="1"/>
      <c r="AD2827" s="1"/>
      <c r="AE2827" s="1"/>
      <c r="AF2827" s="1"/>
    </row>
    <row r="2828" spans="7:32" x14ac:dyDescent="0.2">
      <c r="G2828" s="2"/>
      <c r="H2828" s="1"/>
      <c r="I2828" s="1"/>
      <c r="J2828" s="1"/>
      <c r="K2828" s="1"/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  <c r="X2828" s="1"/>
      <c r="Y2828" s="1"/>
      <c r="Z2828" s="1"/>
      <c r="AA2828" s="1"/>
      <c r="AB2828" s="1"/>
      <c r="AC2828" s="1"/>
      <c r="AD2828" s="1"/>
      <c r="AE2828" s="1"/>
      <c r="AF2828" s="1"/>
    </row>
    <row r="2829" spans="7:32" x14ac:dyDescent="0.2">
      <c r="G2829" s="2"/>
      <c r="H2829" s="1"/>
      <c r="I2829" s="1"/>
      <c r="J2829" s="1"/>
      <c r="K2829" s="1"/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  <c r="X2829" s="1"/>
      <c r="Y2829" s="1"/>
      <c r="Z2829" s="1"/>
      <c r="AA2829" s="1"/>
      <c r="AB2829" s="1"/>
      <c r="AC2829" s="1"/>
      <c r="AD2829" s="1"/>
      <c r="AE2829" s="1"/>
      <c r="AF2829" s="1"/>
    </row>
    <row r="2830" spans="7:32" x14ac:dyDescent="0.2">
      <c r="G2830" s="2"/>
      <c r="H2830" s="1"/>
      <c r="I2830" s="1"/>
      <c r="J2830" s="1"/>
      <c r="K2830" s="1"/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  <c r="X2830" s="1"/>
      <c r="Y2830" s="1"/>
      <c r="Z2830" s="1"/>
      <c r="AA2830" s="1"/>
      <c r="AB2830" s="1"/>
      <c r="AC2830" s="1"/>
      <c r="AD2830" s="1"/>
      <c r="AE2830" s="1"/>
      <c r="AF2830" s="1"/>
    </row>
    <row r="2831" spans="7:32" x14ac:dyDescent="0.2">
      <c r="G2831" s="2"/>
      <c r="H2831" s="1"/>
      <c r="I2831" s="1"/>
      <c r="J2831" s="1"/>
      <c r="K2831" s="1"/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  <c r="X2831" s="1"/>
      <c r="Y2831" s="1"/>
      <c r="Z2831" s="1"/>
      <c r="AA2831" s="1"/>
      <c r="AB2831" s="1"/>
      <c r="AC2831" s="1"/>
      <c r="AD2831" s="1"/>
      <c r="AE2831" s="1"/>
      <c r="AF2831" s="1"/>
    </row>
    <row r="2832" spans="7:32" x14ac:dyDescent="0.2">
      <c r="G2832" s="2"/>
      <c r="H2832" s="1"/>
      <c r="I2832" s="1"/>
      <c r="J2832" s="1"/>
      <c r="K2832" s="1"/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  <c r="X2832" s="1"/>
      <c r="Y2832" s="1"/>
      <c r="Z2832" s="1"/>
      <c r="AA2832" s="1"/>
      <c r="AB2832" s="1"/>
      <c r="AC2832" s="1"/>
      <c r="AD2832" s="1"/>
      <c r="AE2832" s="1"/>
      <c r="AF2832" s="1"/>
    </row>
    <row r="2833" spans="7:32" x14ac:dyDescent="0.2">
      <c r="G2833" s="2"/>
      <c r="H2833" s="1"/>
      <c r="I2833" s="1"/>
      <c r="J2833" s="1"/>
      <c r="K2833" s="1"/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  <c r="X2833" s="1"/>
      <c r="Y2833" s="1"/>
      <c r="Z2833" s="1"/>
      <c r="AA2833" s="1"/>
      <c r="AB2833" s="1"/>
      <c r="AC2833" s="1"/>
      <c r="AD2833" s="1"/>
      <c r="AE2833" s="1"/>
      <c r="AF2833" s="1"/>
    </row>
    <row r="2834" spans="7:32" x14ac:dyDescent="0.2">
      <c r="G2834" s="2"/>
      <c r="H2834" s="1"/>
      <c r="I2834" s="1"/>
      <c r="J2834" s="1"/>
      <c r="K2834" s="1"/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  <c r="X2834" s="1"/>
      <c r="Y2834" s="1"/>
      <c r="Z2834" s="1"/>
      <c r="AA2834" s="1"/>
      <c r="AB2834" s="1"/>
      <c r="AC2834" s="1"/>
      <c r="AD2834" s="1"/>
      <c r="AE2834" s="1"/>
      <c r="AF2834" s="1"/>
    </row>
    <row r="2835" spans="7:32" x14ac:dyDescent="0.2">
      <c r="G2835" s="2"/>
      <c r="H2835" s="1"/>
      <c r="I2835" s="1"/>
      <c r="J2835" s="1"/>
      <c r="K2835" s="1"/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  <c r="X2835" s="1"/>
      <c r="Y2835" s="1"/>
      <c r="Z2835" s="1"/>
      <c r="AA2835" s="1"/>
      <c r="AB2835" s="1"/>
      <c r="AC2835" s="1"/>
      <c r="AD2835" s="1"/>
      <c r="AE2835" s="1"/>
      <c r="AF2835" s="1"/>
    </row>
    <row r="2836" spans="7:32" x14ac:dyDescent="0.2">
      <c r="G2836" s="2"/>
      <c r="H2836" s="1"/>
      <c r="I2836" s="1"/>
      <c r="J2836" s="1"/>
      <c r="K2836" s="1"/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  <c r="X2836" s="1"/>
      <c r="Y2836" s="1"/>
      <c r="Z2836" s="1"/>
      <c r="AA2836" s="1"/>
      <c r="AB2836" s="1"/>
      <c r="AC2836" s="1"/>
      <c r="AD2836" s="1"/>
      <c r="AE2836" s="1"/>
      <c r="AF2836" s="1"/>
    </row>
    <row r="2837" spans="7:32" x14ac:dyDescent="0.2">
      <c r="G2837" s="2"/>
      <c r="H2837" s="1"/>
      <c r="I2837" s="1"/>
      <c r="J2837" s="1"/>
      <c r="K2837" s="1"/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  <c r="X2837" s="1"/>
      <c r="Y2837" s="1"/>
      <c r="Z2837" s="1"/>
      <c r="AA2837" s="1"/>
      <c r="AB2837" s="1"/>
      <c r="AC2837" s="1"/>
      <c r="AD2837" s="1"/>
      <c r="AE2837" s="1"/>
      <c r="AF2837" s="1"/>
    </row>
    <row r="2838" spans="7:32" x14ac:dyDescent="0.2">
      <c r="G2838" s="2"/>
      <c r="H2838" s="1"/>
      <c r="I2838" s="1"/>
      <c r="J2838" s="1"/>
      <c r="K2838" s="1"/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  <c r="X2838" s="1"/>
      <c r="Y2838" s="1"/>
      <c r="Z2838" s="1"/>
      <c r="AA2838" s="1"/>
      <c r="AB2838" s="1"/>
      <c r="AC2838" s="1"/>
      <c r="AD2838" s="1"/>
      <c r="AE2838" s="1"/>
      <c r="AF2838" s="1"/>
    </row>
    <row r="2839" spans="7:32" x14ac:dyDescent="0.2">
      <c r="G2839" s="2"/>
      <c r="H2839" s="1"/>
      <c r="I2839" s="1"/>
      <c r="J2839" s="1"/>
      <c r="K2839" s="1"/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  <c r="X2839" s="1"/>
      <c r="Y2839" s="1"/>
      <c r="Z2839" s="1"/>
      <c r="AA2839" s="1"/>
      <c r="AB2839" s="1"/>
      <c r="AC2839" s="1"/>
      <c r="AD2839" s="1"/>
      <c r="AE2839" s="1"/>
      <c r="AF2839" s="1"/>
    </row>
    <row r="2840" spans="7:32" x14ac:dyDescent="0.2">
      <c r="G2840" s="2"/>
      <c r="H2840" s="1"/>
      <c r="I2840" s="1"/>
      <c r="J2840" s="1"/>
      <c r="K2840" s="1"/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  <c r="X2840" s="1"/>
      <c r="Y2840" s="1"/>
      <c r="Z2840" s="1"/>
      <c r="AA2840" s="1"/>
      <c r="AB2840" s="1"/>
      <c r="AC2840" s="1"/>
      <c r="AD2840" s="1"/>
      <c r="AE2840" s="1"/>
      <c r="AF2840" s="1"/>
    </row>
    <row r="2841" spans="7:32" x14ac:dyDescent="0.2">
      <c r="G2841" s="2"/>
      <c r="H2841" s="1"/>
      <c r="I2841" s="1"/>
      <c r="J2841" s="1"/>
      <c r="K2841" s="1"/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  <c r="X2841" s="1"/>
      <c r="Y2841" s="1"/>
      <c r="Z2841" s="1"/>
      <c r="AA2841" s="1"/>
      <c r="AB2841" s="1"/>
      <c r="AC2841" s="1"/>
      <c r="AD2841" s="1"/>
      <c r="AE2841" s="1"/>
      <c r="AF2841" s="1"/>
    </row>
    <row r="2842" spans="7:32" x14ac:dyDescent="0.2">
      <c r="G2842" s="2"/>
      <c r="H2842" s="1"/>
      <c r="I2842" s="1"/>
      <c r="J2842" s="1"/>
      <c r="K2842" s="1"/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  <c r="X2842" s="1"/>
      <c r="Y2842" s="1"/>
      <c r="Z2842" s="1"/>
      <c r="AA2842" s="1"/>
      <c r="AB2842" s="1"/>
      <c r="AC2842" s="1"/>
      <c r="AD2842" s="1"/>
      <c r="AE2842" s="1"/>
      <c r="AF2842" s="1"/>
    </row>
    <row r="2843" spans="7:32" x14ac:dyDescent="0.2">
      <c r="G2843" s="2"/>
      <c r="H2843" s="1"/>
      <c r="I2843" s="1"/>
      <c r="J2843" s="1"/>
      <c r="K2843" s="1"/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/>
      <c r="X2843" s="1"/>
      <c r="Y2843" s="1"/>
      <c r="Z2843" s="1"/>
      <c r="AA2843" s="1"/>
      <c r="AB2843" s="1"/>
      <c r="AC2843" s="1"/>
      <c r="AD2843" s="1"/>
      <c r="AE2843" s="1"/>
      <c r="AF2843" s="1"/>
    </row>
    <row r="2844" spans="7:32" x14ac:dyDescent="0.2">
      <c r="G2844" s="2"/>
      <c r="H2844" s="1"/>
      <c r="I2844" s="1"/>
      <c r="J2844" s="1"/>
      <c r="K2844" s="1"/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  <c r="X2844" s="1"/>
      <c r="Y2844" s="1"/>
      <c r="Z2844" s="1"/>
      <c r="AA2844" s="1"/>
      <c r="AB2844" s="1"/>
      <c r="AC2844" s="1"/>
      <c r="AD2844" s="1"/>
      <c r="AE2844" s="1"/>
      <c r="AF2844" s="1"/>
    </row>
    <row r="2845" spans="7:32" x14ac:dyDescent="0.2">
      <c r="G2845" s="2"/>
      <c r="H2845" s="1"/>
      <c r="I2845" s="1"/>
      <c r="J2845" s="1"/>
      <c r="K2845" s="1"/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  <c r="X2845" s="1"/>
      <c r="Y2845" s="1"/>
      <c r="Z2845" s="1"/>
      <c r="AA2845" s="1"/>
      <c r="AB2845" s="1"/>
      <c r="AC2845" s="1"/>
      <c r="AD2845" s="1"/>
      <c r="AE2845" s="1"/>
      <c r="AF2845" s="1"/>
    </row>
    <row r="2846" spans="7:32" x14ac:dyDescent="0.2">
      <c r="G2846" s="2"/>
      <c r="H2846" s="1"/>
      <c r="I2846" s="1"/>
      <c r="J2846" s="1"/>
      <c r="K2846" s="1"/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  <c r="X2846" s="1"/>
      <c r="Y2846" s="1"/>
      <c r="Z2846" s="1"/>
      <c r="AA2846" s="1"/>
      <c r="AB2846" s="1"/>
      <c r="AC2846" s="1"/>
      <c r="AD2846" s="1"/>
      <c r="AE2846" s="1"/>
      <c r="AF2846" s="1"/>
    </row>
    <row r="2847" spans="7:32" x14ac:dyDescent="0.2">
      <c r="G2847" s="2"/>
      <c r="H2847" s="1"/>
      <c r="I2847" s="1"/>
      <c r="J2847" s="1"/>
      <c r="K2847" s="1"/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  <c r="X2847" s="1"/>
      <c r="Y2847" s="1"/>
      <c r="Z2847" s="1"/>
      <c r="AA2847" s="1"/>
      <c r="AB2847" s="1"/>
      <c r="AC2847" s="1"/>
      <c r="AD2847" s="1"/>
      <c r="AE2847" s="1"/>
      <c r="AF2847" s="1"/>
    </row>
    <row r="2848" spans="7:32" x14ac:dyDescent="0.2">
      <c r="G2848" s="2"/>
      <c r="H2848" s="1"/>
      <c r="I2848" s="1"/>
      <c r="J2848" s="1"/>
      <c r="K2848" s="1"/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/>
      <c r="X2848" s="1"/>
      <c r="Y2848" s="1"/>
      <c r="Z2848" s="1"/>
      <c r="AA2848" s="1"/>
      <c r="AB2848" s="1"/>
      <c r="AC2848" s="1"/>
      <c r="AD2848" s="1"/>
      <c r="AE2848" s="1"/>
      <c r="AF2848" s="1"/>
    </row>
    <row r="2849" spans="7:32" x14ac:dyDescent="0.2">
      <c r="G2849" s="2"/>
      <c r="H2849" s="1"/>
      <c r="I2849" s="1"/>
      <c r="J2849" s="1"/>
      <c r="K2849" s="1"/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/>
      <c r="X2849" s="1"/>
      <c r="Y2849" s="1"/>
      <c r="Z2849" s="1"/>
      <c r="AA2849" s="1"/>
      <c r="AB2849" s="1"/>
      <c r="AC2849" s="1"/>
      <c r="AD2849" s="1"/>
      <c r="AE2849" s="1"/>
      <c r="AF2849" s="1"/>
    </row>
    <row r="2850" spans="7:32" x14ac:dyDescent="0.2">
      <c r="G2850" s="2"/>
      <c r="H2850" s="1"/>
      <c r="I2850" s="1"/>
      <c r="J2850" s="1"/>
      <c r="K2850" s="1"/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  <c r="X2850" s="1"/>
      <c r="Y2850" s="1"/>
      <c r="Z2850" s="1"/>
      <c r="AA2850" s="1"/>
      <c r="AB2850" s="1"/>
      <c r="AC2850" s="1"/>
      <c r="AD2850" s="1"/>
      <c r="AE2850" s="1"/>
      <c r="AF2850" s="1"/>
    </row>
    <row r="2851" spans="7:32" x14ac:dyDescent="0.2">
      <c r="G2851" s="2"/>
      <c r="H2851" s="1"/>
      <c r="I2851" s="1"/>
      <c r="J2851" s="1"/>
      <c r="K2851" s="1"/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  <c r="X2851" s="1"/>
      <c r="Y2851" s="1"/>
      <c r="Z2851" s="1"/>
      <c r="AA2851" s="1"/>
      <c r="AB2851" s="1"/>
      <c r="AC2851" s="1"/>
      <c r="AD2851" s="1"/>
      <c r="AE2851" s="1"/>
      <c r="AF2851" s="1"/>
    </row>
    <row r="2852" spans="7:32" x14ac:dyDescent="0.2">
      <c r="G2852" s="2"/>
      <c r="H2852" s="1"/>
      <c r="I2852" s="1"/>
      <c r="J2852" s="1"/>
      <c r="K2852" s="1"/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  <c r="X2852" s="1"/>
      <c r="Y2852" s="1"/>
      <c r="Z2852" s="1"/>
      <c r="AA2852" s="1"/>
      <c r="AB2852" s="1"/>
      <c r="AC2852" s="1"/>
      <c r="AD2852" s="1"/>
      <c r="AE2852" s="1"/>
      <c r="AF2852" s="1"/>
    </row>
    <row r="2853" spans="7:32" x14ac:dyDescent="0.2">
      <c r="G2853" s="2"/>
      <c r="H2853" s="1"/>
      <c r="I2853" s="1"/>
      <c r="J2853" s="1"/>
      <c r="K2853" s="1"/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  <c r="X2853" s="1"/>
      <c r="Y2853" s="1"/>
      <c r="Z2853" s="1"/>
      <c r="AA2853" s="1"/>
      <c r="AB2853" s="1"/>
      <c r="AC2853" s="1"/>
      <c r="AD2853" s="1"/>
      <c r="AE2853" s="1"/>
      <c r="AF2853" s="1"/>
    </row>
    <row r="2854" spans="7:32" x14ac:dyDescent="0.2">
      <c r="G2854" s="2"/>
      <c r="H2854" s="1"/>
      <c r="I2854" s="1"/>
      <c r="J2854" s="1"/>
      <c r="K2854" s="1"/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  <c r="X2854" s="1"/>
      <c r="Y2854" s="1"/>
      <c r="Z2854" s="1"/>
      <c r="AA2854" s="1"/>
      <c r="AB2854" s="1"/>
      <c r="AC2854" s="1"/>
      <c r="AD2854" s="1"/>
      <c r="AE2854" s="1"/>
      <c r="AF2854" s="1"/>
    </row>
    <row r="2855" spans="7:32" x14ac:dyDescent="0.2">
      <c r="G2855" s="2"/>
      <c r="H2855" s="1"/>
      <c r="I2855" s="1"/>
      <c r="J2855" s="1"/>
      <c r="K2855" s="1"/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  <c r="X2855" s="1"/>
      <c r="Y2855" s="1"/>
      <c r="Z2855" s="1"/>
      <c r="AA2855" s="1"/>
      <c r="AB2855" s="1"/>
      <c r="AC2855" s="1"/>
      <c r="AD2855" s="1"/>
      <c r="AE2855" s="1"/>
      <c r="AF2855" s="1"/>
    </row>
    <row r="2856" spans="7:32" x14ac:dyDescent="0.2">
      <c r="G2856" s="2"/>
      <c r="H2856" s="1"/>
      <c r="I2856" s="1"/>
      <c r="J2856" s="1"/>
      <c r="K2856" s="1"/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  <c r="X2856" s="1"/>
      <c r="Y2856" s="1"/>
      <c r="Z2856" s="1"/>
      <c r="AA2856" s="1"/>
      <c r="AB2856" s="1"/>
      <c r="AC2856" s="1"/>
      <c r="AD2856" s="1"/>
      <c r="AE2856" s="1"/>
      <c r="AF2856" s="1"/>
    </row>
    <row r="2857" spans="7:32" x14ac:dyDescent="0.2">
      <c r="G2857" s="2"/>
      <c r="H2857" s="1"/>
      <c r="I2857" s="1"/>
      <c r="J2857" s="1"/>
      <c r="K2857" s="1"/>
      <c r="L2857" s="1"/>
      <c r="M2857" s="1"/>
      <c r="N2857" s="1"/>
      <c r="O2857" s="1"/>
      <c r="P2857" s="1"/>
      <c r="Q2857" s="1"/>
      <c r="R2857" s="1"/>
      <c r="S2857" s="1"/>
      <c r="T2857" s="1"/>
      <c r="U2857" s="1"/>
      <c r="V2857" s="1"/>
      <c r="W2857" s="1"/>
      <c r="X2857" s="1"/>
      <c r="Y2857" s="1"/>
      <c r="Z2857" s="1"/>
      <c r="AA2857" s="1"/>
      <c r="AB2857" s="1"/>
      <c r="AC2857" s="1"/>
      <c r="AD2857" s="1"/>
      <c r="AE2857" s="1"/>
      <c r="AF2857" s="1"/>
    </row>
    <row r="2858" spans="7:32" x14ac:dyDescent="0.2">
      <c r="G2858" s="2"/>
      <c r="H2858" s="1"/>
      <c r="I2858" s="1"/>
      <c r="J2858" s="1"/>
      <c r="K2858" s="1"/>
      <c r="L2858" s="1"/>
      <c r="M2858" s="1"/>
      <c r="N2858" s="1"/>
      <c r="O2858" s="1"/>
      <c r="P2858" s="1"/>
      <c r="Q2858" s="1"/>
      <c r="R2858" s="1"/>
      <c r="S2858" s="1"/>
      <c r="T2858" s="1"/>
      <c r="U2858" s="1"/>
      <c r="V2858" s="1"/>
      <c r="W2858" s="1"/>
      <c r="X2858" s="1"/>
      <c r="Y2858" s="1"/>
      <c r="Z2858" s="1"/>
      <c r="AA2858" s="1"/>
      <c r="AB2858" s="1"/>
      <c r="AC2858" s="1"/>
      <c r="AD2858" s="1"/>
      <c r="AE2858" s="1"/>
      <c r="AF2858" s="1"/>
    </row>
    <row r="2859" spans="7:32" x14ac:dyDescent="0.2">
      <c r="G2859" s="2"/>
      <c r="H2859" s="1"/>
      <c r="I2859" s="1"/>
      <c r="J2859" s="1"/>
      <c r="K2859" s="1"/>
      <c r="L2859" s="1"/>
      <c r="M2859" s="1"/>
      <c r="N2859" s="1"/>
      <c r="O2859" s="1"/>
      <c r="P2859" s="1"/>
      <c r="Q2859" s="1"/>
      <c r="R2859" s="1"/>
      <c r="S2859" s="1"/>
      <c r="T2859" s="1"/>
      <c r="U2859" s="1"/>
      <c r="V2859" s="1"/>
      <c r="W2859" s="1"/>
      <c r="X2859" s="1"/>
      <c r="Y2859" s="1"/>
      <c r="Z2859" s="1"/>
      <c r="AA2859" s="1"/>
      <c r="AB2859" s="1"/>
      <c r="AC2859" s="1"/>
      <c r="AD2859" s="1"/>
      <c r="AE2859" s="1"/>
      <c r="AF2859" s="1"/>
    </row>
    <row r="2860" spans="7:32" x14ac:dyDescent="0.2">
      <c r="G2860" s="2"/>
      <c r="H2860" s="1"/>
      <c r="I2860" s="1"/>
      <c r="J2860" s="1"/>
      <c r="K2860" s="1"/>
      <c r="L2860" s="1"/>
      <c r="M2860" s="1"/>
      <c r="N2860" s="1"/>
      <c r="O2860" s="1"/>
      <c r="P2860" s="1"/>
      <c r="Q2860" s="1"/>
      <c r="R2860" s="1"/>
      <c r="S2860" s="1"/>
      <c r="T2860" s="1"/>
      <c r="U2860" s="1"/>
      <c r="V2860" s="1"/>
      <c r="W2860" s="1"/>
      <c r="X2860" s="1"/>
      <c r="Y2860" s="1"/>
      <c r="Z2860" s="1"/>
      <c r="AA2860" s="1"/>
      <c r="AB2860" s="1"/>
      <c r="AC2860" s="1"/>
      <c r="AD2860" s="1"/>
      <c r="AE2860" s="1"/>
      <c r="AF2860" s="1"/>
    </row>
    <row r="2861" spans="7:32" x14ac:dyDescent="0.2">
      <c r="G2861" s="2"/>
      <c r="H2861" s="1"/>
      <c r="I2861" s="1"/>
      <c r="J2861" s="1"/>
      <c r="K2861" s="1"/>
      <c r="L2861" s="1"/>
      <c r="M2861" s="1"/>
      <c r="N2861" s="1"/>
      <c r="O2861" s="1"/>
      <c r="P2861" s="1"/>
      <c r="Q2861" s="1"/>
      <c r="R2861" s="1"/>
      <c r="S2861" s="1"/>
      <c r="T2861" s="1"/>
      <c r="U2861" s="1"/>
      <c r="V2861" s="1"/>
      <c r="W2861" s="1"/>
      <c r="X2861" s="1"/>
      <c r="Y2861" s="1"/>
      <c r="Z2861" s="1"/>
      <c r="AA2861" s="1"/>
      <c r="AB2861" s="1"/>
      <c r="AC2861" s="1"/>
      <c r="AD2861" s="1"/>
      <c r="AE2861" s="1"/>
      <c r="AF2861" s="1"/>
    </row>
    <row r="2862" spans="7:32" x14ac:dyDescent="0.2">
      <c r="G2862" s="2"/>
      <c r="H2862" s="1"/>
      <c r="I2862" s="1"/>
      <c r="J2862" s="1"/>
      <c r="K2862" s="1"/>
      <c r="L2862" s="1"/>
      <c r="M2862" s="1"/>
      <c r="N2862" s="1"/>
      <c r="O2862" s="1"/>
      <c r="P2862" s="1"/>
      <c r="Q2862" s="1"/>
      <c r="R2862" s="1"/>
      <c r="S2862" s="1"/>
      <c r="T2862" s="1"/>
      <c r="U2862" s="1"/>
      <c r="V2862" s="1"/>
      <c r="W2862" s="1"/>
      <c r="X2862" s="1"/>
      <c r="Y2862" s="1"/>
      <c r="Z2862" s="1"/>
      <c r="AA2862" s="1"/>
      <c r="AB2862" s="1"/>
      <c r="AC2862" s="1"/>
      <c r="AD2862" s="1"/>
      <c r="AE2862" s="1"/>
      <c r="AF2862" s="1"/>
    </row>
    <row r="2863" spans="7:32" x14ac:dyDescent="0.2">
      <c r="G2863" s="2"/>
      <c r="H2863" s="1"/>
      <c r="I2863" s="1"/>
      <c r="J2863" s="1"/>
      <c r="K2863" s="1"/>
      <c r="L2863" s="1"/>
      <c r="M2863" s="1"/>
      <c r="N2863" s="1"/>
      <c r="O2863" s="1"/>
      <c r="P2863" s="1"/>
      <c r="Q2863" s="1"/>
      <c r="R2863" s="1"/>
      <c r="S2863" s="1"/>
      <c r="T2863" s="1"/>
      <c r="U2863" s="1"/>
      <c r="V2863" s="1"/>
      <c r="W2863" s="1"/>
      <c r="X2863" s="1"/>
      <c r="Y2863" s="1"/>
      <c r="Z2863" s="1"/>
      <c r="AA2863" s="1"/>
      <c r="AB2863" s="1"/>
      <c r="AC2863" s="1"/>
      <c r="AD2863" s="1"/>
      <c r="AE2863" s="1"/>
      <c r="AF2863" s="1"/>
    </row>
    <row r="2864" spans="7:32" x14ac:dyDescent="0.2">
      <c r="G2864" s="2"/>
      <c r="H2864" s="1"/>
      <c r="I2864" s="1"/>
      <c r="J2864" s="1"/>
      <c r="K2864" s="1"/>
      <c r="L2864" s="1"/>
      <c r="M2864" s="1"/>
      <c r="N2864" s="1"/>
      <c r="O2864" s="1"/>
      <c r="P2864" s="1"/>
      <c r="Q2864" s="1"/>
      <c r="R2864" s="1"/>
      <c r="S2864" s="1"/>
      <c r="T2864" s="1"/>
      <c r="U2864" s="1"/>
      <c r="V2864" s="1"/>
      <c r="W2864" s="1"/>
      <c r="X2864" s="1"/>
      <c r="Y2864" s="1"/>
      <c r="Z2864" s="1"/>
      <c r="AA2864" s="1"/>
      <c r="AB2864" s="1"/>
      <c r="AC2864" s="1"/>
      <c r="AD2864" s="1"/>
      <c r="AE2864" s="1"/>
      <c r="AF2864" s="1"/>
    </row>
    <row r="2865" spans="7:32" x14ac:dyDescent="0.2">
      <c r="G2865" s="2"/>
      <c r="H2865" s="1"/>
      <c r="I2865" s="1"/>
      <c r="J2865" s="1"/>
      <c r="K2865" s="1"/>
      <c r="L2865" s="1"/>
      <c r="M2865" s="1"/>
      <c r="N2865" s="1"/>
      <c r="O2865" s="1"/>
      <c r="P2865" s="1"/>
      <c r="Q2865" s="1"/>
      <c r="R2865" s="1"/>
      <c r="S2865" s="1"/>
      <c r="T2865" s="1"/>
      <c r="U2865" s="1"/>
      <c r="V2865" s="1"/>
      <c r="W2865" s="1"/>
      <c r="X2865" s="1"/>
      <c r="Y2865" s="1"/>
      <c r="Z2865" s="1"/>
      <c r="AA2865" s="1"/>
      <c r="AB2865" s="1"/>
      <c r="AC2865" s="1"/>
      <c r="AD2865" s="1"/>
      <c r="AE2865" s="1"/>
      <c r="AF2865" s="1"/>
    </row>
    <row r="2866" spans="7:32" x14ac:dyDescent="0.2">
      <c r="G2866" s="2"/>
      <c r="H2866" s="1"/>
      <c r="I2866" s="1"/>
      <c r="J2866" s="1"/>
      <c r="K2866" s="1"/>
      <c r="L2866" s="1"/>
      <c r="M2866" s="1"/>
      <c r="N2866" s="1"/>
      <c r="O2866" s="1"/>
      <c r="P2866" s="1"/>
      <c r="Q2866" s="1"/>
      <c r="R2866" s="1"/>
      <c r="S2866" s="1"/>
      <c r="T2866" s="1"/>
      <c r="U2866" s="1"/>
      <c r="V2866" s="1"/>
      <c r="W2866" s="1"/>
      <c r="X2866" s="1"/>
      <c r="Y2866" s="1"/>
      <c r="Z2866" s="1"/>
      <c r="AA2866" s="1"/>
      <c r="AB2866" s="1"/>
      <c r="AC2866" s="1"/>
      <c r="AD2866" s="1"/>
      <c r="AE2866" s="1"/>
      <c r="AF2866" s="1"/>
    </row>
    <row r="2867" spans="7:32" x14ac:dyDescent="0.2">
      <c r="G2867" s="2"/>
      <c r="H2867" s="1"/>
      <c r="I2867" s="1"/>
      <c r="J2867" s="1"/>
      <c r="K2867" s="1"/>
      <c r="L2867" s="1"/>
      <c r="M2867" s="1"/>
      <c r="N2867" s="1"/>
      <c r="O2867" s="1"/>
      <c r="P2867" s="1"/>
      <c r="Q2867" s="1"/>
      <c r="R2867" s="1"/>
      <c r="S2867" s="1"/>
      <c r="T2867" s="1"/>
      <c r="U2867" s="1"/>
      <c r="V2867" s="1"/>
      <c r="W2867" s="1"/>
      <c r="X2867" s="1"/>
      <c r="Y2867" s="1"/>
      <c r="Z2867" s="1"/>
      <c r="AA2867" s="1"/>
      <c r="AB2867" s="1"/>
      <c r="AC2867" s="1"/>
      <c r="AD2867" s="1"/>
      <c r="AE2867" s="1"/>
      <c r="AF2867" s="1"/>
    </row>
    <row r="2868" spans="7:32" x14ac:dyDescent="0.2">
      <c r="G2868" s="2"/>
      <c r="H2868" s="1"/>
      <c r="I2868" s="1"/>
      <c r="J2868" s="1"/>
      <c r="K2868" s="1"/>
      <c r="L2868" s="1"/>
      <c r="M2868" s="1"/>
      <c r="N2868" s="1"/>
      <c r="O2868" s="1"/>
      <c r="P2868" s="1"/>
      <c r="Q2868" s="1"/>
      <c r="R2868" s="1"/>
      <c r="S2868" s="1"/>
      <c r="T2868" s="1"/>
      <c r="U2868" s="1"/>
      <c r="V2868" s="1"/>
      <c r="W2868" s="1"/>
      <c r="X2868" s="1"/>
      <c r="Y2868" s="1"/>
      <c r="Z2868" s="1"/>
      <c r="AA2868" s="1"/>
      <c r="AB2868" s="1"/>
      <c r="AC2868" s="1"/>
      <c r="AD2868" s="1"/>
      <c r="AE2868" s="1"/>
      <c r="AF2868" s="1"/>
    </row>
    <row r="2869" spans="7:32" x14ac:dyDescent="0.2">
      <c r="G2869" s="2"/>
      <c r="H2869" s="1"/>
      <c r="I2869" s="1"/>
      <c r="J2869" s="1"/>
      <c r="K2869" s="1"/>
      <c r="L2869" s="1"/>
      <c r="M2869" s="1"/>
      <c r="N2869" s="1"/>
      <c r="O2869" s="1"/>
      <c r="P2869" s="1"/>
      <c r="Q2869" s="1"/>
      <c r="R2869" s="1"/>
      <c r="S2869" s="1"/>
      <c r="T2869" s="1"/>
      <c r="U2869" s="1"/>
      <c r="V2869" s="1"/>
      <c r="W2869" s="1"/>
      <c r="X2869" s="1"/>
      <c r="Y2869" s="1"/>
      <c r="Z2869" s="1"/>
      <c r="AA2869" s="1"/>
      <c r="AB2869" s="1"/>
      <c r="AC2869" s="1"/>
      <c r="AD2869" s="1"/>
      <c r="AE2869" s="1"/>
      <c r="AF2869" s="1"/>
    </row>
    <row r="2870" spans="7:32" x14ac:dyDescent="0.2">
      <c r="G2870" s="2"/>
      <c r="H2870" s="1"/>
      <c r="I2870" s="1"/>
      <c r="J2870" s="1"/>
      <c r="K2870" s="1"/>
      <c r="L2870" s="1"/>
      <c r="M2870" s="1"/>
      <c r="N2870" s="1"/>
      <c r="O2870" s="1"/>
      <c r="P2870" s="1"/>
      <c r="Q2870" s="1"/>
      <c r="R2870" s="1"/>
      <c r="S2870" s="1"/>
      <c r="T2870" s="1"/>
      <c r="U2870" s="1"/>
      <c r="V2870" s="1"/>
      <c r="W2870" s="1"/>
      <c r="X2870" s="1"/>
      <c r="Y2870" s="1"/>
      <c r="Z2870" s="1"/>
      <c r="AA2870" s="1"/>
      <c r="AB2870" s="1"/>
      <c r="AC2870" s="1"/>
      <c r="AD2870" s="1"/>
      <c r="AE2870" s="1"/>
      <c r="AF2870" s="1"/>
    </row>
    <row r="2871" spans="7:32" x14ac:dyDescent="0.2">
      <c r="G2871" s="2"/>
      <c r="H2871" s="1"/>
      <c r="I2871" s="1"/>
      <c r="J2871" s="1"/>
      <c r="K2871" s="1"/>
      <c r="L2871" s="1"/>
      <c r="M2871" s="1"/>
      <c r="N2871" s="1"/>
      <c r="O2871" s="1"/>
      <c r="P2871" s="1"/>
      <c r="Q2871" s="1"/>
      <c r="R2871" s="1"/>
      <c r="S2871" s="1"/>
      <c r="T2871" s="1"/>
      <c r="U2871" s="1"/>
      <c r="V2871" s="1"/>
      <c r="W2871" s="1"/>
      <c r="X2871" s="1"/>
      <c r="Y2871" s="1"/>
      <c r="Z2871" s="1"/>
      <c r="AA2871" s="1"/>
      <c r="AB2871" s="1"/>
      <c r="AC2871" s="1"/>
      <c r="AD2871" s="1"/>
      <c r="AE2871" s="1"/>
      <c r="AF2871" s="1"/>
    </row>
    <row r="2872" spans="7:32" x14ac:dyDescent="0.2">
      <c r="G2872" s="2"/>
      <c r="H2872" s="1"/>
      <c r="I2872" s="1"/>
      <c r="J2872" s="1"/>
      <c r="K2872" s="1"/>
      <c r="L2872" s="1"/>
      <c r="M2872" s="1"/>
      <c r="N2872" s="1"/>
      <c r="O2872" s="1"/>
      <c r="P2872" s="1"/>
      <c r="Q2872" s="1"/>
      <c r="R2872" s="1"/>
      <c r="S2872" s="1"/>
      <c r="T2872" s="1"/>
      <c r="U2872" s="1"/>
      <c r="V2872" s="1"/>
      <c r="W2872" s="1"/>
      <c r="X2872" s="1"/>
      <c r="Y2872" s="1"/>
      <c r="Z2872" s="1"/>
      <c r="AA2872" s="1"/>
      <c r="AB2872" s="1"/>
      <c r="AC2872" s="1"/>
      <c r="AD2872" s="1"/>
      <c r="AE2872" s="1"/>
      <c r="AF2872" s="1"/>
    </row>
    <row r="2873" spans="7:32" x14ac:dyDescent="0.2">
      <c r="G2873" s="2"/>
      <c r="H2873" s="1"/>
      <c r="I2873" s="1"/>
      <c r="J2873" s="1"/>
      <c r="K2873" s="1"/>
      <c r="L2873" s="1"/>
      <c r="M2873" s="1"/>
      <c r="N2873" s="1"/>
      <c r="O2873" s="1"/>
      <c r="P2873" s="1"/>
      <c r="Q2873" s="1"/>
      <c r="R2873" s="1"/>
      <c r="S2873" s="1"/>
      <c r="T2873" s="1"/>
      <c r="U2873" s="1"/>
      <c r="V2873" s="1"/>
      <c r="W2873" s="1"/>
      <c r="X2873" s="1"/>
      <c r="Y2873" s="1"/>
      <c r="Z2873" s="1"/>
      <c r="AA2873" s="1"/>
      <c r="AB2873" s="1"/>
      <c r="AC2873" s="1"/>
      <c r="AD2873" s="1"/>
      <c r="AE2873" s="1"/>
      <c r="AF2873" s="1"/>
    </row>
    <row r="2874" spans="7:32" x14ac:dyDescent="0.2">
      <c r="G2874" s="2"/>
      <c r="H2874" s="1"/>
      <c r="I2874" s="1"/>
      <c r="J2874" s="1"/>
      <c r="K2874" s="1"/>
      <c r="L2874" s="1"/>
      <c r="M2874" s="1"/>
      <c r="N2874" s="1"/>
      <c r="O2874" s="1"/>
      <c r="P2874" s="1"/>
      <c r="Q2874" s="1"/>
      <c r="R2874" s="1"/>
      <c r="S2874" s="1"/>
      <c r="T2874" s="1"/>
      <c r="U2874" s="1"/>
      <c r="V2874" s="1"/>
      <c r="W2874" s="1"/>
      <c r="X2874" s="1"/>
      <c r="Y2874" s="1"/>
      <c r="Z2874" s="1"/>
      <c r="AA2874" s="1"/>
      <c r="AB2874" s="1"/>
      <c r="AC2874" s="1"/>
      <c r="AD2874" s="1"/>
      <c r="AE2874" s="1"/>
      <c r="AF2874" s="1"/>
    </row>
    <row r="2875" spans="7:32" x14ac:dyDescent="0.2">
      <c r="G2875" s="2"/>
      <c r="H2875" s="1"/>
      <c r="I2875" s="1"/>
      <c r="J2875" s="1"/>
      <c r="K2875" s="1"/>
      <c r="L2875" s="1"/>
      <c r="M2875" s="1"/>
      <c r="N2875" s="1"/>
      <c r="O2875" s="1"/>
      <c r="P2875" s="1"/>
      <c r="Q2875" s="1"/>
      <c r="R2875" s="1"/>
      <c r="S2875" s="1"/>
      <c r="T2875" s="1"/>
      <c r="U2875" s="1"/>
      <c r="V2875" s="1"/>
      <c r="W2875" s="1"/>
      <c r="X2875" s="1"/>
      <c r="Y2875" s="1"/>
      <c r="Z2875" s="1"/>
      <c r="AA2875" s="1"/>
      <c r="AB2875" s="1"/>
      <c r="AC2875" s="1"/>
      <c r="AD2875" s="1"/>
      <c r="AE2875" s="1"/>
      <c r="AF2875" s="1"/>
    </row>
    <row r="2876" spans="7:32" x14ac:dyDescent="0.2">
      <c r="G2876" s="2"/>
      <c r="H2876" s="1"/>
      <c r="I2876" s="1"/>
      <c r="J2876" s="1"/>
      <c r="K2876" s="1"/>
      <c r="L2876" s="1"/>
      <c r="M2876" s="1"/>
      <c r="N2876" s="1"/>
      <c r="O2876" s="1"/>
      <c r="P2876" s="1"/>
      <c r="Q2876" s="1"/>
      <c r="R2876" s="1"/>
      <c r="S2876" s="1"/>
      <c r="T2876" s="1"/>
      <c r="U2876" s="1"/>
      <c r="V2876" s="1"/>
      <c r="W2876" s="1"/>
      <c r="X2876" s="1"/>
      <c r="Y2876" s="1"/>
      <c r="Z2876" s="1"/>
      <c r="AA2876" s="1"/>
      <c r="AB2876" s="1"/>
      <c r="AC2876" s="1"/>
      <c r="AD2876" s="1"/>
      <c r="AE2876" s="1"/>
      <c r="AF2876" s="1"/>
    </row>
    <row r="2877" spans="7:32" x14ac:dyDescent="0.2">
      <c r="G2877" s="2"/>
      <c r="H2877" s="1"/>
      <c r="I2877" s="1"/>
      <c r="J2877" s="1"/>
      <c r="K2877" s="1"/>
      <c r="L2877" s="1"/>
      <c r="M2877" s="1"/>
      <c r="N2877" s="1"/>
      <c r="O2877" s="1"/>
      <c r="P2877" s="1"/>
      <c r="Q2877" s="1"/>
      <c r="R2877" s="1"/>
      <c r="S2877" s="1"/>
      <c r="T2877" s="1"/>
      <c r="U2877" s="1"/>
      <c r="V2877" s="1"/>
      <c r="W2877" s="1"/>
      <c r="X2877" s="1"/>
      <c r="Y2877" s="1"/>
      <c r="Z2877" s="1"/>
      <c r="AA2877" s="1"/>
      <c r="AB2877" s="1"/>
      <c r="AC2877" s="1"/>
      <c r="AD2877" s="1"/>
      <c r="AE2877" s="1"/>
      <c r="AF2877" s="1"/>
    </row>
    <row r="2878" spans="7:32" x14ac:dyDescent="0.2">
      <c r="G2878" s="2"/>
      <c r="H2878" s="1"/>
      <c r="I2878" s="1"/>
      <c r="J2878" s="1"/>
      <c r="K2878" s="1"/>
      <c r="L2878" s="1"/>
      <c r="M2878" s="1"/>
      <c r="N2878" s="1"/>
      <c r="O2878" s="1"/>
      <c r="P2878" s="1"/>
      <c r="Q2878" s="1"/>
      <c r="R2878" s="1"/>
      <c r="S2878" s="1"/>
      <c r="T2878" s="1"/>
      <c r="U2878" s="1"/>
      <c r="V2878" s="1"/>
      <c r="W2878" s="1"/>
      <c r="X2878" s="1"/>
      <c r="Y2878" s="1"/>
      <c r="Z2878" s="1"/>
      <c r="AA2878" s="1"/>
      <c r="AB2878" s="1"/>
      <c r="AC2878" s="1"/>
      <c r="AD2878" s="1"/>
      <c r="AE2878" s="1"/>
      <c r="AF2878" s="1"/>
    </row>
    <row r="2879" spans="7:32" x14ac:dyDescent="0.2">
      <c r="G2879" s="2"/>
      <c r="H2879" s="1"/>
      <c r="I2879" s="1"/>
      <c r="J2879" s="1"/>
      <c r="K2879" s="1"/>
      <c r="L2879" s="1"/>
      <c r="M2879" s="1"/>
      <c r="N2879" s="1"/>
      <c r="O2879" s="1"/>
      <c r="P2879" s="1"/>
      <c r="Q2879" s="1"/>
      <c r="R2879" s="1"/>
      <c r="S2879" s="1"/>
      <c r="T2879" s="1"/>
      <c r="U2879" s="1"/>
      <c r="V2879" s="1"/>
      <c r="W2879" s="1"/>
      <c r="X2879" s="1"/>
      <c r="Y2879" s="1"/>
      <c r="Z2879" s="1"/>
      <c r="AA2879" s="1"/>
      <c r="AB2879" s="1"/>
      <c r="AC2879" s="1"/>
      <c r="AD2879" s="1"/>
      <c r="AE2879" s="1"/>
      <c r="AF2879" s="1"/>
    </row>
    <row r="2880" spans="7:32" x14ac:dyDescent="0.2">
      <c r="G2880" s="2"/>
      <c r="H2880" s="1"/>
      <c r="I2880" s="1"/>
      <c r="J2880" s="1"/>
      <c r="K2880" s="1"/>
      <c r="L2880" s="1"/>
      <c r="M2880" s="1"/>
      <c r="N2880" s="1"/>
      <c r="O2880" s="1"/>
      <c r="P2880" s="1"/>
      <c r="Q2880" s="1"/>
      <c r="R2880" s="1"/>
      <c r="S2880" s="1"/>
      <c r="T2880" s="1"/>
      <c r="U2880" s="1"/>
      <c r="V2880" s="1"/>
      <c r="W2880" s="1"/>
      <c r="X2880" s="1"/>
      <c r="Y2880" s="1"/>
      <c r="Z2880" s="1"/>
      <c r="AA2880" s="1"/>
      <c r="AB2880" s="1"/>
      <c r="AC2880" s="1"/>
      <c r="AD2880" s="1"/>
      <c r="AE2880" s="1"/>
      <c r="AF2880" s="1"/>
    </row>
    <row r="2881" spans="7:32" x14ac:dyDescent="0.2">
      <c r="G2881" s="2"/>
      <c r="H2881" s="1"/>
      <c r="I2881" s="1"/>
      <c r="J2881" s="1"/>
      <c r="K2881" s="1"/>
      <c r="L2881" s="1"/>
      <c r="M2881" s="1"/>
      <c r="N2881" s="1"/>
      <c r="O2881" s="1"/>
      <c r="P2881" s="1"/>
      <c r="Q2881" s="1"/>
      <c r="R2881" s="1"/>
      <c r="S2881" s="1"/>
      <c r="T2881" s="1"/>
      <c r="U2881" s="1"/>
      <c r="V2881" s="1"/>
      <c r="W2881" s="1"/>
      <c r="X2881" s="1"/>
      <c r="Y2881" s="1"/>
      <c r="Z2881" s="1"/>
      <c r="AA2881" s="1"/>
      <c r="AB2881" s="1"/>
      <c r="AC2881" s="1"/>
      <c r="AD2881" s="1"/>
      <c r="AE2881" s="1"/>
      <c r="AF2881" s="1"/>
    </row>
    <row r="2882" spans="7:32" x14ac:dyDescent="0.2">
      <c r="G2882" s="2"/>
      <c r="H2882" s="1"/>
      <c r="I2882" s="1"/>
      <c r="J2882" s="1"/>
      <c r="K2882" s="1"/>
      <c r="L2882" s="1"/>
      <c r="M2882" s="1"/>
      <c r="N2882" s="1"/>
      <c r="O2882" s="1"/>
      <c r="P2882" s="1"/>
      <c r="Q2882" s="1"/>
      <c r="R2882" s="1"/>
      <c r="S2882" s="1"/>
      <c r="T2882" s="1"/>
      <c r="U2882" s="1"/>
      <c r="V2882" s="1"/>
      <c r="W2882" s="1"/>
      <c r="X2882" s="1"/>
      <c r="Y2882" s="1"/>
      <c r="Z2882" s="1"/>
      <c r="AA2882" s="1"/>
      <c r="AB2882" s="1"/>
      <c r="AC2882" s="1"/>
      <c r="AD2882" s="1"/>
      <c r="AE2882" s="1"/>
      <c r="AF2882" s="1"/>
    </row>
    <row r="2883" spans="7:32" x14ac:dyDescent="0.2">
      <c r="G2883" s="2"/>
      <c r="H2883" s="1"/>
      <c r="I2883" s="1"/>
      <c r="J2883" s="1"/>
      <c r="K2883" s="1"/>
      <c r="L2883" s="1"/>
      <c r="M2883" s="1"/>
      <c r="N2883" s="1"/>
      <c r="O2883" s="1"/>
      <c r="P2883" s="1"/>
      <c r="Q2883" s="1"/>
      <c r="R2883" s="1"/>
      <c r="S2883" s="1"/>
      <c r="T2883" s="1"/>
      <c r="U2883" s="1"/>
      <c r="V2883" s="1"/>
      <c r="W2883" s="1"/>
      <c r="X2883" s="1"/>
      <c r="Y2883" s="1"/>
      <c r="Z2883" s="1"/>
      <c r="AA2883" s="1"/>
      <c r="AB2883" s="1"/>
      <c r="AC2883" s="1"/>
      <c r="AD2883" s="1"/>
      <c r="AE2883" s="1"/>
      <c r="AF2883" s="1"/>
    </row>
    <row r="2884" spans="7:32" x14ac:dyDescent="0.2">
      <c r="G2884" s="2"/>
      <c r="H2884" s="1"/>
      <c r="I2884" s="1"/>
      <c r="J2884" s="1"/>
      <c r="K2884" s="1"/>
      <c r="L2884" s="1"/>
      <c r="M2884" s="1"/>
      <c r="N2884" s="1"/>
      <c r="O2884" s="1"/>
      <c r="P2884" s="1"/>
      <c r="Q2884" s="1"/>
      <c r="R2884" s="1"/>
      <c r="S2884" s="1"/>
      <c r="T2884" s="1"/>
      <c r="U2884" s="1"/>
      <c r="V2884" s="1"/>
      <c r="W2884" s="1"/>
      <c r="X2884" s="1"/>
      <c r="Y2884" s="1"/>
      <c r="Z2884" s="1"/>
      <c r="AA2884" s="1"/>
      <c r="AB2884" s="1"/>
      <c r="AC2884" s="1"/>
      <c r="AD2884" s="1"/>
      <c r="AE2884" s="1"/>
      <c r="AF2884" s="1"/>
    </row>
    <row r="2885" spans="7:32" x14ac:dyDescent="0.2">
      <c r="G2885" s="2"/>
      <c r="H2885" s="1"/>
      <c r="I2885" s="1"/>
      <c r="J2885" s="1"/>
      <c r="K2885" s="1"/>
      <c r="L2885" s="1"/>
      <c r="M2885" s="1"/>
      <c r="N2885" s="1"/>
      <c r="O2885" s="1"/>
      <c r="P2885" s="1"/>
      <c r="Q2885" s="1"/>
      <c r="R2885" s="1"/>
      <c r="S2885" s="1"/>
      <c r="T2885" s="1"/>
      <c r="U2885" s="1"/>
      <c r="V2885" s="1"/>
      <c r="W2885" s="1"/>
      <c r="X2885" s="1"/>
      <c r="Y2885" s="1"/>
      <c r="Z2885" s="1"/>
      <c r="AA2885" s="1"/>
      <c r="AB2885" s="1"/>
      <c r="AC2885" s="1"/>
      <c r="AD2885" s="1"/>
      <c r="AE2885" s="1"/>
      <c r="AF2885" s="1"/>
    </row>
    <row r="2886" spans="7:32" x14ac:dyDescent="0.2">
      <c r="G2886" s="2"/>
      <c r="H2886" s="1"/>
      <c r="I2886" s="1"/>
      <c r="J2886" s="1"/>
      <c r="K2886" s="1"/>
      <c r="L2886" s="1"/>
      <c r="M2886" s="1"/>
      <c r="N2886" s="1"/>
      <c r="O2886" s="1"/>
      <c r="P2886" s="1"/>
      <c r="Q2886" s="1"/>
      <c r="R2886" s="1"/>
      <c r="S2886" s="1"/>
      <c r="T2886" s="1"/>
      <c r="U2886" s="1"/>
      <c r="V2886" s="1"/>
      <c r="W2886" s="1"/>
      <c r="X2886" s="1"/>
      <c r="Y2886" s="1"/>
      <c r="Z2886" s="1"/>
      <c r="AA2886" s="1"/>
      <c r="AB2886" s="1"/>
      <c r="AC2886" s="1"/>
      <c r="AD2886" s="1"/>
      <c r="AE2886" s="1"/>
      <c r="AF2886" s="1"/>
    </row>
    <row r="2887" spans="7:32" x14ac:dyDescent="0.2">
      <c r="G2887" s="2"/>
      <c r="H2887" s="1"/>
      <c r="I2887" s="1"/>
      <c r="J2887" s="1"/>
      <c r="K2887" s="1"/>
      <c r="L2887" s="1"/>
      <c r="M2887" s="1"/>
      <c r="N2887" s="1"/>
      <c r="O2887" s="1"/>
      <c r="P2887" s="1"/>
      <c r="Q2887" s="1"/>
      <c r="R2887" s="1"/>
      <c r="S2887" s="1"/>
      <c r="T2887" s="1"/>
      <c r="U2887" s="1"/>
      <c r="V2887" s="1"/>
      <c r="W2887" s="1"/>
      <c r="X2887" s="1"/>
      <c r="Y2887" s="1"/>
      <c r="Z2887" s="1"/>
      <c r="AA2887" s="1"/>
      <c r="AB2887" s="1"/>
      <c r="AC2887" s="1"/>
      <c r="AD2887" s="1"/>
      <c r="AE2887" s="1"/>
      <c r="AF2887" s="1"/>
    </row>
    <row r="2888" spans="7:32" x14ac:dyDescent="0.2">
      <c r="G2888" s="2"/>
      <c r="H2888" s="1"/>
      <c r="I2888" s="1"/>
      <c r="J2888" s="1"/>
      <c r="K2888" s="1"/>
      <c r="L2888" s="1"/>
      <c r="M2888" s="1"/>
      <c r="N2888" s="1"/>
      <c r="O2888" s="1"/>
      <c r="P2888" s="1"/>
      <c r="Q2888" s="1"/>
      <c r="R2888" s="1"/>
      <c r="S2888" s="1"/>
      <c r="T2888" s="1"/>
      <c r="U2888" s="1"/>
      <c r="V2888" s="1"/>
      <c r="W2888" s="1"/>
      <c r="X2888" s="1"/>
      <c r="Y2888" s="1"/>
      <c r="Z2888" s="1"/>
      <c r="AA2888" s="1"/>
      <c r="AB2888" s="1"/>
      <c r="AC2888" s="1"/>
      <c r="AD2888" s="1"/>
      <c r="AE2888" s="1"/>
      <c r="AF2888" s="1"/>
    </row>
    <row r="2889" spans="7:32" x14ac:dyDescent="0.2">
      <c r="G2889" s="2"/>
      <c r="H2889" s="1"/>
      <c r="I2889" s="1"/>
      <c r="J2889" s="1"/>
      <c r="K2889" s="1"/>
      <c r="L2889" s="1"/>
      <c r="M2889" s="1"/>
      <c r="N2889" s="1"/>
      <c r="O2889" s="1"/>
      <c r="P2889" s="1"/>
      <c r="Q2889" s="1"/>
      <c r="R2889" s="1"/>
      <c r="S2889" s="1"/>
      <c r="T2889" s="1"/>
      <c r="U2889" s="1"/>
      <c r="V2889" s="1"/>
      <c r="W2889" s="1"/>
      <c r="X2889" s="1"/>
      <c r="Y2889" s="1"/>
      <c r="Z2889" s="1"/>
      <c r="AA2889" s="1"/>
      <c r="AB2889" s="1"/>
      <c r="AC2889" s="1"/>
      <c r="AD2889" s="1"/>
      <c r="AE2889" s="1"/>
      <c r="AF2889" s="1"/>
    </row>
    <row r="2890" spans="7:32" x14ac:dyDescent="0.2">
      <c r="G2890" s="2"/>
      <c r="H2890" s="1"/>
      <c r="I2890" s="1"/>
      <c r="J2890" s="1"/>
      <c r="K2890" s="1"/>
      <c r="L2890" s="1"/>
      <c r="M2890" s="1"/>
      <c r="N2890" s="1"/>
      <c r="O2890" s="1"/>
      <c r="P2890" s="1"/>
      <c r="Q2890" s="1"/>
      <c r="R2890" s="1"/>
      <c r="S2890" s="1"/>
      <c r="T2890" s="1"/>
      <c r="U2890" s="1"/>
      <c r="V2890" s="1"/>
      <c r="W2890" s="1"/>
      <c r="X2890" s="1"/>
      <c r="Y2890" s="1"/>
      <c r="Z2890" s="1"/>
      <c r="AA2890" s="1"/>
      <c r="AB2890" s="1"/>
      <c r="AC2890" s="1"/>
      <c r="AD2890" s="1"/>
      <c r="AE2890" s="1"/>
      <c r="AF2890" s="1"/>
    </row>
    <row r="2891" spans="7:32" x14ac:dyDescent="0.2">
      <c r="G2891" s="2"/>
      <c r="H2891" s="1"/>
      <c r="I2891" s="1"/>
      <c r="J2891" s="1"/>
      <c r="K2891" s="1"/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/>
      <c r="X2891" s="1"/>
      <c r="Y2891" s="1"/>
      <c r="Z2891" s="1"/>
      <c r="AA2891" s="1"/>
      <c r="AB2891" s="1"/>
      <c r="AC2891" s="1"/>
      <c r="AD2891" s="1"/>
      <c r="AE2891" s="1"/>
      <c r="AF2891" s="1"/>
    </row>
    <row r="2892" spans="7:32" x14ac:dyDescent="0.2">
      <c r="G2892" s="2"/>
      <c r="H2892" s="1"/>
      <c r="I2892" s="1"/>
      <c r="J2892" s="1"/>
      <c r="K2892" s="1"/>
      <c r="L2892" s="1"/>
      <c r="M2892" s="1"/>
      <c r="N2892" s="1"/>
      <c r="O2892" s="1"/>
      <c r="P2892" s="1"/>
      <c r="Q2892" s="1"/>
      <c r="R2892" s="1"/>
      <c r="S2892" s="1"/>
      <c r="T2892" s="1"/>
      <c r="U2892" s="1"/>
      <c r="V2892" s="1"/>
      <c r="W2892" s="1"/>
      <c r="X2892" s="1"/>
      <c r="Y2892" s="1"/>
      <c r="Z2892" s="1"/>
      <c r="AA2892" s="1"/>
      <c r="AB2892" s="1"/>
      <c r="AC2892" s="1"/>
      <c r="AD2892" s="1"/>
      <c r="AE2892" s="1"/>
      <c r="AF2892" s="1"/>
    </row>
    <row r="2893" spans="7:32" x14ac:dyDescent="0.2">
      <c r="G2893" s="2"/>
      <c r="H2893" s="1"/>
      <c r="I2893" s="1"/>
      <c r="J2893" s="1"/>
      <c r="K2893" s="1"/>
      <c r="L2893" s="1"/>
      <c r="M2893" s="1"/>
      <c r="N2893" s="1"/>
      <c r="O2893" s="1"/>
      <c r="P2893" s="1"/>
      <c r="Q2893" s="1"/>
      <c r="R2893" s="1"/>
      <c r="S2893" s="1"/>
      <c r="T2893" s="1"/>
      <c r="U2893" s="1"/>
      <c r="V2893" s="1"/>
      <c r="W2893" s="1"/>
      <c r="X2893" s="1"/>
      <c r="Y2893" s="1"/>
      <c r="Z2893" s="1"/>
      <c r="AA2893" s="1"/>
      <c r="AB2893" s="1"/>
      <c r="AC2893" s="1"/>
      <c r="AD2893" s="1"/>
      <c r="AE2893" s="1"/>
      <c r="AF2893" s="1"/>
    </row>
    <row r="2894" spans="7:32" x14ac:dyDescent="0.2">
      <c r="G2894" s="2"/>
      <c r="H2894" s="1"/>
      <c r="I2894" s="1"/>
      <c r="J2894" s="1"/>
      <c r="K2894" s="1"/>
      <c r="L2894" s="1"/>
      <c r="M2894" s="1"/>
      <c r="N2894" s="1"/>
      <c r="O2894" s="1"/>
      <c r="P2894" s="1"/>
      <c r="Q2894" s="1"/>
      <c r="R2894" s="1"/>
      <c r="S2894" s="1"/>
      <c r="T2894" s="1"/>
      <c r="U2894" s="1"/>
      <c r="V2894" s="1"/>
      <c r="W2894" s="1"/>
      <c r="X2894" s="1"/>
      <c r="Y2894" s="1"/>
      <c r="Z2894" s="1"/>
      <c r="AA2894" s="1"/>
      <c r="AB2894" s="1"/>
      <c r="AC2894" s="1"/>
      <c r="AD2894" s="1"/>
      <c r="AE2894" s="1"/>
      <c r="AF2894" s="1"/>
    </row>
    <row r="2895" spans="7:32" x14ac:dyDescent="0.2">
      <c r="G2895" s="2"/>
      <c r="H2895" s="1"/>
      <c r="I2895" s="1"/>
      <c r="J2895" s="1"/>
      <c r="K2895" s="1"/>
      <c r="L2895" s="1"/>
      <c r="M2895" s="1"/>
      <c r="N2895" s="1"/>
      <c r="O2895" s="1"/>
      <c r="P2895" s="1"/>
      <c r="Q2895" s="1"/>
      <c r="R2895" s="1"/>
      <c r="S2895" s="1"/>
      <c r="T2895" s="1"/>
      <c r="U2895" s="1"/>
      <c r="V2895" s="1"/>
      <c r="W2895" s="1"/>
      <c r="X2895" s="1"/>
      <c r="Y2895" s="1"/>
      <c r="Z2895" s="1"/>
      <c r="AA2895" s="1"/>
      <c r="AB2895" s="1"/>
      <c r="AC2895" s="1"/>
      <c r="AD2895" s="1"/>
      <c r="AE2895" s="1"/>
      <c r="AF2895" s="1"/>
    </row>
    <row r="2896" spans="7:32" x14ac:dyDescent="0.2">
      <c r="G2896" s="2"/>
      <c r="H2896" s="1"/>
      <c r="I2896" s="1"/>
      <c r="J2896" s="1"/>
      <c r="K2896" s="1"/>
      <c r="L2896" s="1"/>
      <c r="M2896" s="1"/>
      <c r="N2896" s="1"/>
      <c r="O2896" s="1"/>
      <c r="P2896" s="1"/>
      <c r="Q2896" s="1"/>
      <c r="R2896" s="1"/>
      <c r="S2896" s="1"/>
      <c r="T2896" s="1"/>
      <c r="U2896" s="1"/>
      <c r="V2896" s="1"/>
      <c r="W2896" s="1"/>
      <c r="X2896" s="1"/>
      <c r="Y2896" s="1"/>
      <c r="Z2896" s="1"/>
      <c r="AA2896" s="1"/>
      <c r="AB2896" s="1"/>
      <c r="AC2896" s="1"/>
      <c r="AD2896" s="1"/>
      <c r="AE2896" s="1"/>
      <c r="AF2896" s="1"/>
    </row>
    <row r="2897" spans="7:32" x14ac:dyDescent="0.2">
      <c r="G2897" s="2"/>
      <c r="H2897" s="1"/>
      <c r="I2897" s="1"/>
      <c r="J2897" s="1"/>
      <c r="K2897" s="1"/>
      <c r="L2897" s="1"/>
      <c r="M2897" s="1"/>
      <c r="N2897" s="1"/>
      <c r="O2897" s="1"/>
      <c r="P2897" s="1"/>
      <c r="Q2897" s="1"/>
      <c r="R2897" s="1"/>
      <c r="S2897" s="1"/>
      <c r="T2897" s="1"/>
      <c r="U2897" s="1"/>
      <c r="V2897" s="1"/>
      <c r="W2897" s="1"/>
      <c r="X2897" s="1"/>
      <c r="Y2897" s="1"/>
      <c r="Z2897" s="1"/>
      <c r="AA2897" s="1"/>
      <c r="AB2897" s="1"/>
      <c r="AC2897" s="1"/>
      <c r="AD2897" s="1"/>
      <c r="AE2897" s="1"/>
      <c r="AF2897" s="1"/>
    </row>
    <row r="2898" spans="7:32" x14ac:dyDescent="0.2">
      <c r="G2898" s="2"/>
      <c r="H2898" s="1"/>
      <c r="I2898" s="1"/>
      <c r="J2898" s="1"/>
      <c r="K2898" s="1"/>
      <c r="L2898" s="1"/>
      <c r="M2898" s="1"/>
      <c r="N2898" s="1"/>
      <c r="O2898" s="1"/>
      <c r="P2898" s="1"/>
      <c r="Q2898" s="1"/>
      <c r="R2898" s="1"/>
      <c r="S2898" s="1"/>
      <c r="T2898" s="1"/>
      <c r="U2898" s="1"/>
      <c r="V2898" s="1"/>
      <c r="W2898" s="1"/>
      <c r="X2898" s="1"/>
      <c r="Y2898" s="1"/>
      <c r="Z2898" s="1"/>
      <c r="AA2898" s="1"/>
      <c r="AB2898" s="1"/>
      <c r="AC2898" s="1"/>
      <c r="AD2898" s="1"/>
      <c r="AE2898" s="1"/>
      <c r="AF2898" s="1"/>
    </row>
    <row r="2899" spans="7:32" x14ac:dyDescent="0.2">
      <c r="G2899" s="2"/>
      <c r="H2899" s="1"/>
      <c r="I2899" s="1"/>
      <c r="J2899" s="1"/>
      <c r="K2899" s="1"/>
      <c r="L2899" s="1"/>
      <c r="M2899" s="1"/>
      <c r="N2899" s="1"/>
      <c r="O2899" s="1"/>
      <c r="P2899" s="1"/>
      <c r="Q2899" s="1"/>
      <c r="R2899" s="1"/>
      <c r="S2899" s="1"/>
      <c r="T2899" s="1"/>
      <c r="U2899" s="1"/>
      <c r="V2899" s="1"/>
      <c r="W2899" s="1"/>
      <c r="X2899" s="1"/>
      <c r="Y2899" s="1"/>
      <c r="Z2899" s="1"/>
      <c r="AA2899" s="1"/>
      <c r="AB2899" s="1"/>
      <c r="AC2899" s="1"/>
      <c r="AD2899" s="1"/>
      <c r="AE2899" s="1"/>
      <c r="AF2899" s="1"/>
    </row>
    <row r="2900" spans="7:32" x14ac:dyDescent="0.2">
      <c r="G2900" s="2"/>
      <c r="H2900" s="1"/>
      <c r="I2900" s="1"/>
      <c r="J2900" s="1"/>
      <c r="K2900" s="1"/>
      <c r="L2900" s="1"/>
      <c r="M2900" s="1"/>
      <c r="N2900" s="1"/>
      <c r="O2900" s="1"/>
      <c r="P2900" s="1"/>
      <c r="Q2900" s="1"/>
      <c r="R2900" s="1"/>
      <c r="S2900" s="1"/>
      <c r="T2900" s="1"/>
      <c r="U2900" s="1"/>
      <c r="V2900" s="1"/>
      <c r="W2900" s="1"/>
      <c r="X2900" s="1"/>
      <c r="Y2900" s="1"/>
      <c r="Z2900" s="1"/>
      <c r="AA2900" s="1"/>
      <c r="AB2900" s="1"/>
      <c r="AC2900" s="1"/>
      <c r="AD2900" s="1"/>
      <c r="AE2900" s="1"/>
      <c r="AF2900" s="1"/>
    </row>
    <row r="2901" spans="7:32" x14ac:dyDescent="0.2">
      <c r="G2901" s="2"/>
      <c r="H2901" s="1"/>
      <c r="I2901" s="1"/>
      <c r="J2901" s="1"/>
      <c r="K2901" s="1"/>
      <c r="L2901" s="1"/>
      <c r="M2901" s="1"/>
      <c r="N2901" s="1"/>
      <c r="O2901" s="1"/>
      <c r="P2901" s="1"/>
      <c r="Q2901" s="1"/>
      <c r="R2901" s="1"/>
      <c r="S2901" s="1"/>
      <c r="T2901" s="1"/>
      <c r="U2901" s="1"/>
      <c r="V2901" s="1"/>
      <c r="W2901" s="1"/>
      <c r="X2901" s="1"/>
      <c r="Y2901" s="1"/>
      <c r="Z2901" s="1"/>
      <c r="AA2901" s="1"/>
      <c r="AB2901" s="1"/>
      <c r="AC2901" s="1"/>
      <c r="AD2901" s="1"/>
      <c r="AE2901" s="1"/>
      <c r="AF2901" s="1"/>
    </row>
    <row r="2902" spans="7:32" x14ac:dyDescent="0.2">
      <c r="G2902" s="2"/>
      <c r="H2902" s="1"/>
      <c r="I2902" s="1"/>
      <c r="J2902" s="1"/>
      <c r="K2902" s="1"/>
      <c r="L2902" s="1"/>
      <c r="M2902" s="1"/>
      <c r="N2902" s="1"/>
      <c r="O2902" s="1"/>
      <c r="P2902" s="1"/>
      <c r="Q2902" s="1"/>
      <c r="R2902" s="1"/>
      <c r="S2902" s="1"/>
      <c r="T2902" s="1"/>
      <c r="U2902" s="1"/>
      <c r="V2902" s="1"/>
      <c r="W2902" s="1"/>
      <c r="X2902" s="1"/>
      <c r="Y2902" s="1"/>
      <c r="Z2902" s="1"/>
      <c r="AA2902" s="1"/>
      <c r="AB2902" s="1"/>
      <c r="AC2902" s="1"/>
      <c r="AD2902" s="1"/>
      <c r="AE2902" s="1"/>
      <c r="AF2902" s="1"/>
    </row>
    <row r="2903" spans="7:32" x14ac:dyDescent="0.2">
      <c r="G2903" s="2"/>
      <c r="H2903" s="1"/>
      <c r="I2903" s="1"/>
      <c r="J2903" s="1"/>
      <c r="K2903" s="1"/>
      <c r="L2903" s="1"/>
      <c r="M2903" s="1"/>
      <c r="N2903" s="1"/>
      <c r="O2903" s="1"/>
      <c r="P2903" s="1"/>
      <c r="Q2903" s="1"/>
      <c r="R2903" s="1"/>
      <c r="S2903" s="1"/>
      <c r="T2903" s="1"/>
      <c r="U2903" s="1"/>
      <c r="V2903" s="1"/>
      <c r="W2903" s="1"/>
      <c r="X2903" s="1"/>
      <c r="Y2903" s="1"/>
      <c r="Z2903" s="1"/>
      <c r="AA2903" s="1"/>
      <c r="AB2903" s="1"/>
      <c r="AC2903" s="1"/>
      <c r="AD2903" s="1"/>
      <c r="AE2903" s="1"/>
      <c r="AF2903" s="1"/>
    </row>
    <row r="2904" spans="7:32" x14ac:dyDescent="0.2">
      <c r="G2904" s="2"/>
      <c r="H2904" s="1"/>
      <c r="I2904" s="1"/>
      <c r="J2904" s="1"/>
      <c r="K2904" s="1"/>
      <c r="L2904" s="1"/>
      <c r="M2904" s="1"/>
      <c r="N2904" s="1"/>
      <c r="O2904" s="1"/>
      <c r="P2904" s="1"/>
      <c r="Q2904" s="1"/>
      <c r="R2904" s="1"/>
      <c r="S2904" s="1"/>
      <c r="T2904" s="1"/>
      <c r="U2904" s="1"/>
      <c r="V2904" s="1"/>
      <c r="W2904" s="1"/>
      <c r="X2904" s="1"/>
      <c r="Y2904" s="1"/>
      <c r="Z2904" s="1"/>
      <c r="AA2904" s="1"/>
      <c r="AB2904" s="1"/>
      <c r="AC2904" s="1"/>
      <c r="AD2904" s="1"/>
      <c r="AE2904" s="1"/>
      <c r="AF2904" s="1"/>
    </row>
    <row r="2905" spans="7:32" x14ac:dyDescent="0.2">
      <c r="G2905" s="2"/>
      <c r="H2905" s="1"/>
      <c r="I2905" s="1"/>
      <c r="J2905" s="1"/>
      <c r="K2905" s="1"/>
      <c r="L2905" s="1"/>
      <c r="M2905" s="1"/>
      <c r="N2905" s="1"/>
      <c r="O2905" s="1"/>
      <c r="P2905" s="1"/>
      <c r="Q2905" s="1"/>
      <c r="R2905" s="1"/>
      <c r="S2905" s="1"/>
      <c r="T2905" s="1"/>
      <c r="U2905" s="1"/>
      <c r="V2905" s="1"/>
      <c r="W2905" s="1"/>
      <c r="X2905" s="1"/>
      <c r="Y2905" s="1"/>
      <c r="Z2905" s="1"/>
      <c r="AA2905" s="1"/>
      <c r="AB2905" s="1"/>
      <c r="AC2905" s="1"/>
      <c r="AD2905" s="1"/>
      <c r="AE2905" s="1"/>
      <c r="AF2905" s="1"/>
    </row>
    <row r="2906" spans="7:32" x14ac:dyDescent="0.2">
      <c r="G2906" s="2"/>
      <c r="H2906" s="1"/>
      <c r="I2906" s="1"/>
      <c r="J2906" s="1"/>
      <c r="K2906" s="1"/>
      <c r="L2906" s="1"/>
      <c r="M2906" s="1"/>
      <c r="N2906" s="1"/>
      <c r="O2906" s="1"/>
      <c r="P2906" s="1"/>
      <c r="Q2906" s="1"/>
      <c r="R2906" s="1"/>
      <c r="S2906" s="1"/>
      <c r="T2906" s="1"/>
      <c r="U2906" s="1"/>
      <c r="V2906" s="1"/>
      <c r="W2906" s="1"/>
      <c r="X2906" s="1"/>
      <c r="Y2906" s="1"/>
      <c r="Z2906" s="1"/>
      <c r="AA2906" s="1"/>
      <c r="AB2906" s="1"/>
      <c r="AC2906" s="1"/>
      <c r="AD2906" s="1"/>
      <c r="AE2906" s="1"/>
      <c r="AF2906" s="1"/>
    </row>
    <row r="2907" spans="7:32" x14ac:dyDescent="0.2">
      <c r="G2907" s="2"/>
      <c r="H2907" s="1"/>
      <c r="I2907" s="1"/>
      <c r="J2907" s="1"/>
      <c r="K2907" s="1"/>
      <c r="L2907" s="1"/>
      <c r="M2907" s="1"/>
      <c r="N2907" s="1"/>
      <c r="O2907" s="1"/>
      <c r="P2907" s="1"/>
      <c r="Q2907" s="1"/>
      <c r="R2907" s="1"/>
      <c r="S2907" s="1"/>
      <c r="T2907" s="1"/>
      <c r="U2907" s="1"/>
      <c r="V2907" s="1"/>
      <c r="W2907" s="1"/>
      <c r="X2907" s="1"/>
      <c r="Y2907" s="1"/>
      <c r="Z2907" s="1"/>
      <c r="AA2907" s="1"/>
      <c r="AB2907" s="1"/>
      <c r="AC2907" s="1"/>
      <c r="AD2907" s="1"/>
      <c r="AE2907" s="1"/>
      <c r="AF2907" s="1"/>
    </row>
    <row r="2908" spans="7:32" x14ac:dyDescent="0.2">
      <c r="G2908" s="2"/>
      <c r="H2908" s="1"/>
      <c r="I2908" s="1"/>
      <c r="J2908" s="1"/>
      <c r="K2908" s="1"/>
      <c r="L2908" s="1"/>
      <c r="M2908" s="1"/>
      <c r="N2908" s="1"/>
      <c r="O2908" s="1"/>
      <c r="P2908" s="1"/>
      <c r="Q2908" s="1"/>
      <c r="R2908" s="1"/>
      <c r="S2908" s="1"/>
      <c r="T2908" s="1"/>
      <c r="U2908" s="1"/>
      <c r="V2908" s="1"/>
      <c r="W2908" s="1"/>
      <c r="X2908" s="1"/>
      <c r="Y2908" s="1"/>
      <c r="Z2908" s="1"/>
      <c r="AA2908" s="1"/>
      <c r="AB2908" s="1"/>
      <c r="AC2908" s="1"/>
      <c r="AD2908" s="1"/>
      <c r="AE2908" s="1"/>
      <c r="AF2908" s="1"/>
    </row>
    <row r="2909" spans="7:32" x14ac:dyDescent="0.2">
      <c r="G2909" s="2"/>
      <c r="H2909" s="1"/>
      <c r="I2909" s="1"/>
      <c r="J2909" s="1"/>
      <c r="K2909" s="1"/>
      <c r="L2909" s="1"/>
      <c r="M2909" s="1"/>
      <c r="N2909" s="1"/>
      <c r="O2909" s="1"/>
      <c r="P2909" s="1"/>
      <c r="Q2909" s="1"/>
      <c r="R2909" s="1"/>
      <c r="S2909" s="1"/>
      <c r="T2909" s="1"/>
      <c r="U2909" s="1"/>
      <c r="V2909" s="1"/>
      <c r="W2909" s="1"/>
      <c r="X2909" s="1"/>
      <c r="Y2909" s="1"/>
      <c r="Z2909" s="1"/>
      <c r="AA2909" s="1"/>
      <c r="AB2909" s="1"/>
      <c r="AC2909" s="1"/>
      <c r="AD2909" s="1"/>
      <c r="AE2909" s="1"/>
      <c r="AF2909" s="1"/>
    </row>
    <row r="2910" spans="7:32" x14ac:dyDescent="0.2">
      <c r="G2910" s="2"/>
      <c r="H2910" s="1"/>
      <c r="I2910" s="1"/>
      <c r="J2910" s="1"/>
      <c r="K2910" s="1"/>
      <c r="L2910" s="1"/>
      <c r="M2910" s="1"/>
      <c r="N2910" s="1"/>
      <c r="O2910" s="1"/>
      <c r="P2910" s="1"/>
      <c r="Q2910" s="1"/>
      <c r="R2910" s="1"/>
      <c r="S2910" s="1"/>
      <c r="T2910" s="1"/>
      <c r="U2910" s="1"/>
      <c r="V2910" s="1"/>
      <c r="W2910" s="1"/>
      <c r="X2910" s="1"/>
      <c r="Y2910" s="1"/>
      <c r="Z2910" s="1"/>
      <c r="AA2910" s="1"/>
      <c r="AB2910" s="1"/>
      <c r="AC2910" s="1"/>
      <c r="AD2910" s="1"/>
      <c r="AE2910" s="1"/>
      <c r="AF2910" s="1"/>
    </row>
    <row r="2911" spans="7:32" x14ac:dyDescent="0.2">
      <c r="G2911" s="2"/>
      <c r="H2911" s="1"/>
      <c r="I2911" s="1"/>
      <c r="J2911" s="1"/>
      <c r="K2911" s="1"/>
      <c r="L2911" s="1"/>
      <c r="M2911" s="1"/>
      <c r="N2911" s="1"/>
      <c r="O2911" s="1"/>
      <c r="P2911" s="1"/>
      <c r="Q2911" s="1"/>
      <c r="R2911" s="1"/>
      <c r="S2911" s="1"/>
      <c r="T2911" s="1"/>
      <c r="U2911" s="1"/>
      <c r="V2911" s="1"/>
      <c r="W2911" s="1"/>
      <c r="X2911" s="1"/>
      <c r="Y2911" s="1"/>
      <c r="Z2911" s="1"/>
      <c r="AA2911" s="1"/>
      <c r="AB2911" s="1"/>
      <c r="AC2911" s="1"/>
      <c r="AD2911" s="1"/>
      <c r="AE2911" s="1"/>
      <c r="AF2911" s="1"/>
    </row>
    <row r="2912" spans="7:32" x14ac:dyDescent="0.2">
      <c r="G2912" s="2"/>
      <c r="H2912" s="1"/>
      <c r="I2912" s="1"/>
      <c r="J2912" s="1"/>
      <c r="K2912" s="1"/>
      <c r="L2912" s="1"/>
      <c r="M2912" s="1"/>
      <c r="N2912" s="1"/>
      <c r="O2912" s="1"/>
      <c r="P2912" s="1"/>
      <c r="Q2912" s="1"/>
      <c r="R2912" s="1"/>
      <c r="S2912" s="1"/>
      <c r="T2912" s="1"/>
      <c r="U2912" s="1"/>
      <c r="V2912" s="1"/>
      <c r="W2912" s="1"/>
      <c r="X2912" s="1"/>
      <c r="Y2912" s="1"/>
      <c r="Z2912" s="1"/>
      <c r="AA2912" s="1"/>
      <c r="AB2912" s="1"/>
      <c r="AC2912" s="1"/>
      <c r="AD2912" s="1"/>
      <c r="AE2912" s="1"/>
      <c r="AF2912" s="1"/>
    </row>
    <row r="2913" spans="7:32" x14ac:dyDescent="0.2">
      <c r="G2913" s="2"/>
      <c r="H2913" s="1"/>
      <c r="I2913" s="1"/>
      <c r="J2913" s="1"/>
      <c r="K2913" s="1"/>
      <c r="L2913" s="1"/>
      <c r="M2913" s="1"/>
      <c r="N2913" s="1"/>
      <c r="O2913" s="1"/>
      <c r="P2913" s="1"/>
      <c r="Q2913" s="1"/>
      <c r="R2913" s="1"/>
      <c r="S2913" s="1"/>
      <c r="T2913" s="1"/>
      <c r="U2913" s="1"/>
      <c r="V2913" s="1"/>
      <c r="W2913" s="1"/>
      <c r="X2913" s="1"/>
      <c r="Y2913" s="1"/>
      <c r="Z2913" s="1"/>
      <c r="AA2913" s="1"/>
      <c r="AB2913" s="1"/>
      <c r="AC2913" s="1"/>
      <c r="AD2913" s="1"/>
      <c r="AE2913" s="1"/>
      <c r="AF2913" s="1"/>
    </row>
    <row r="2914" spans="7:32" x14ac:dyDescent="0.2">
      <c r="G2914" s="2"/>
      <c r="H2914" s="1"/>
      <c r="I2914" s="1"/>
      <c r="J2914" s="1"/>
      <c r="K2914" s="1"/>
      <c r="L2914" s="1"/>
      <c r="M2914" s="1"/>
      <c r="N2914" s="1"/>
      <c r="O2914" s="1"/>
      <c r="P2914" s="1"/>
      <c r="Q2914" s="1"/>
      <c r="R2914" s="1"/>
      <c r="S2914" s="1"/>
      <c r="T2914" s="1"/>
      <c r="U2914" s="1"/>
      <c r="V2914" s="1"/>
      <c r="W2914" s="1"/>
      <c r="X2914" s="1"/>
      <c r="Y2914" s="1"/>
      <c r="Z2914" s="1"/>
      <c r="AA2914" s="1"/>
      <c r="AB2914" s="1"/>
      <c r="AC2914" s="1"/>
      <c r="AD2914" s="1"/>
      <c r="AE2914" s="1"/>
      <c r="AF2914" s="1"/>
    </row>
    <row r="2915" spans="7:32" x14ac:dyDescent="0.2">
      <c r="G2915" s="2"/>
      <c r="H2915" s="1"/>
      <c r="I2915" s="1"/>
      <c r="J2915" s="1"/>
      <c r="K2915" s="1"/>
      <c r="L2915" s="1"/>
      <c r="M2915" s="1"/>
      <c r="N2915" s="1"/>
      <c r="O2915" s="1"/>
      <c r="P2915" s="1"/>
      <c r="Q2915" s="1"/>
      <c r="R2915" s="1"/>
      <c r="S2915" s="1"/>
      <c r="T2915" s="1"/>
      <c r="U2915" s="1"/>
      <c r="V2915" s="1"/>
      <c r="W2915" s="1"/>
      <c r="X2915" s="1"/>
      <c r="Y2915" s="1"/>
      <c r="Z2915" s="1"/>
      <c r="AA2915" s="1"/>
      <c r="AB2915" s="1"/>
      <c r="AC2915" s="1"/>
      <c r="AD2915" s="1"/>
      <c r="AE2915" s="1"/>
      <c r="AF2915" s="1"/>
    </row>
    <row r="2916" spans="7:32" x14ac:dyDescent="0.2">
      <c r="G2916" s="2"/>
      <c r="H2916" s="1"/>
      <c r="I2916" s="1"/>
      <c r="J2916" s="1"/>
      <c r="K2916" s="1"/>
      <c r="L2916" s="1"/>
      <c r="M2916" s="1"/>
      <c r="N2916" s="1"/>
      <c r="O2916" s="1"/>
      <c r="P2916" s="1"/>
      <c r="Q2916" s="1"/>
      <c r="R2916" s="1"/>
      <c r="S2916" s="1"/>
      <c r="T2916" s="1"/>
      <c r="U2916" s="1"/>
      <c r="V2916" s="1"/>
      <c r="W2916" s="1"/>
      <c r="X2916" s="1"/>
      <c r="Y2916" s="1"/>
      <c r="Z2916" s="1"/>
      <c r="AA2916" s="1"/>
      <c r="AB2916" s="1"/>
      <c r="AC2916" s="1"/>
      <c r="AD2916" s="1"/>
      <c r="AE2916" s="1"/>
      <c r="AF2916" s="1"/>
    </row>
    <row r="2917" spans="7:32" x14ac:dyDescent="0.2">
      <c r="G2917" s="2"/>
      <c r="H2917" s="1"/>
      <c r="I2917" s="1"/>
      <c r="J2917" s="1"/>
      <c r="K2917" s="1"/>
      <c r="L2917" s="1"/>
      <c r="M2917" s="1"/>
      <c r="N2917" s="1"/>
      <c r="O2917" s="1"/>
      <c r="P2917" s="1"/>
      <c r="Q2917" s="1"/>
      <c r="R2917" s="1"/>
      <c r="S2917" s="1"/>
      <c r="T2917" s="1"/>
      <c r="U2917" s="1"/>
      <c r="V2917" s="1"/>
      <c r="W2917" s="1"/>
      <c r="X2917" s="1"/>
      <c r="Y2917" s="1"/>
      <c r="Z2917" s="1"/>
      <c r="AA2917" s="1"/>
      <c r="AB2917" s="1"/>
      <c r="AC2917" s="1"/>
      <c r="AD2917" s="1"/>
      <c r="AE2917" s="1"/>
      <c r="AF2917" s="1"/>
    </row>
    <row r="2918" spans="7:32" x14ac:dyDescent="0.2">
      <c r="G2918" s="2"/>
      <c r="H2918" s="1"/>
      <c r="I2918" s="1"/>
      <c r="J2918" s="1"/>
      <c r="K2918" s="1"/>
      <c r="L2918" s="1"/>
      <c r="M2918" s="1"/>
      <c r="N2918" s="1"/>
      <c r="O2918" s="1"/>
      <c r="P2918" s="1"/>
      <c r="Q2918" s="1"/>
      <c r="R2918" s="1"/>
      <c r="S2918" s="1"/>
      <c r="T2918" s="1"/>
      <c r="U2918" s="1"/>
      <c r="V2918" s="1"/>
      <c r="W2918" s="1"/>
      <c r="X2918" s="1"/>
      <c r="Y2918" s="1"/>
      <c r="Z2918" s="1"/>
      <c r="AA2918" s="1"/>
      <c r="AB2918" s="1"/>
      <c r="AC2918" s="1"/>
      <c r="AD2918" s="1"/>
      <c r="AE2918" s="1"/>
      <c r="AF2918" s="1"/>
    </row>
    <row r="2919" spans="7:32" x14ac:dyDescent="0.2">
      <c r="G2919" s="2"/>
      <c r="H2919" s="1"/>
      <c r="I2919" s="1"/>
      <c r="J2919" s="1"/>
      <c r="K2919" s="1"/>
      <c r="L2919" s="1"/>
      <c r="M2919" s="1"/>
      <c r="N2919" s="1"/>
      <c r="O2919" s="1"/>
      <c r="P2919" s="1"/>
      <c r="Q2919" s="1"/>
      <c r="R2919" s="1"/>
      <c r="S2919" s="1"/>
      <c r="T2919" s="1"/>
      <c r="U2919" s="1"/>
      <c r="V2919" s="1"/>
      <c r="W2919" s="1"/>
      <c r="X2919" s="1"/>
      <c r="Y2919" s="1"/>
      <c r="Z2919" s="1"/>
      <c r="AA2919" s="1"/>
      <c r="AB2919" s="1"/>
      <c r="AC2919" s="1"/>
      <c r="AD2919" s="1"/>
      <c r="AE2919" s="1"/>
      <c r="AF2919" s="1"/>
    </row>
    <row r="2920" spans="7:32" x14ac:dyDescent="0.2">
      <c r="G2920" s="2"/>
      <c r="H2920" s="1"/>
      <c r="I2920" s="1"/>
      <c r="J2920" s="1"/>
      <c r="K2920" s="1"/>
      <c r="L2920" s="1"/>
      <c r="M2920" s="1"/>
      <c r="N2920" s="1"/>
      <c r="O2920" s="1"/>
      <c r="P2920" s="1"/>
      <c r="Q2920" s="1"/>
      <c r="R2920" s="1"/>
      <c r="S2920" s="1"/>
      <c r="T2920" s="1"/>
      <c r="U2920" s="1"/>
      <c r="V2920" s="1"/>
      <c r="W2920" s="1"/>
      <c r="X2920" s="1"/>
      <c r="Y2920" s="1"/>
      <c r="Z2920" s="1"/>
      <c r="AA2920" s="1"/>
      <c r="AB2920" s="1"/>
      <c r="AC2920" s="1"/>
      <c r="AD2920" s="1"/>
      <c r="AE2920" s="1"/>
      <c r="AF2920" s="1"/>
    </row>
    <row r="2921" spans="7:32" x14ac:dyDescent="0.2">
      <c r="G2921" s="2"/>
      <c r="H2921" s="1"/>
      <c r="I2921" s="1"/>
      <c r="J2921" s="1"/>
      <c r="K2921" s="1"/>
      <c r="L2921" s="1"/>
      <c r="M2921" s="1"/>
      <c r="N2921" s="1"/>
      <c r="O2921" s="1"/>
      <c r="P2921" s="1"/>
      <c r="Q2921" s="1"/>
      <c r="R2921" s="1"/>
      <c r="S2921" s="1"/>
      <c r="T2921" s="1"/>
      <c r="U2921" s="1"/>
      <c r="V2921" s="1"/>
      <c r="W2921" s="1"/>
      <c r="X2921" s="1"/>
      <c r="Y2921" s="1"/>
      <c r="Z2921" s="1"/>
      <c r="AA2921" s="1"/>
      <c r="AB2921" s="1"/>
      <c r="AC2921" s="1"/>
      <c r="AD2921" s="1"/>
      <c r="AE2921" s="1"/>
      <c r="AF2921" s="1"/>
    </row>
    <row r="2922" spans="7:32" x14ac:dyDescent="0.2">
      <c r="G2922" s="2"/>
      <c r="H2922" s="1"/>
      <c r="I2922" s="1"/>
      <c r="J2922" s="1"/>
      <c r="K2922" s="1"/>
      <c r="L2922" s="1"/>
      <c r="M2922" s="1"/>
      <c r="N2922" s="1"/>
      <c r="O2922" s="1"/>
      <c r="P2922" s="1"/>
      <c r="Q2922" s="1"/>
      <c r="R2922" s="1"/>
      <c r="S2922" s="1"/>
      <c r="T2922" s="1"/>
      <c r="U2922" s="1"/>
      <c r="V2922" s="1"/>
      <c r="W2922" s="1"/>
      <c r="X2922" s="1"/>
      <c r="Y2922" s="1"/>
      <c r="Z2922" s="1"/>
      <c r="AA2922" s="1"/>
      <c r="AB2922" s="1"/>
      <c r="AC2922" s="1"/>
      <c r="AD2922" s="1"/>
      <c r="AE2922" s="1"/>
      <c r="AF2922" s="1"/>
    </row>
    <row r="2923" spans="7:32" x14ac:dyDescent="0.2">
      <c r="G2923" s="2"/>
      <c r="H2923" s="1"/>
      <c r="I2923" s="1"/>
      <c r="J2923" s="1"/>
      <c r="K2923" s="1"/>
      <c r="L2923" s="1"/>
      <c r="M2923" s="1"/>
      <c r="N2923" s="1"/>
      <c r="O2923" s="1"/>
      <c r="P2923" s="1"/>
      <c r="Q2923" s="1"/>
      <c r="R2923" s="1"/>
      <c r="S2923" s="1"/>
      <c r="T2923" s="1"/>
      <c r="U2923" s="1"/>
      <c r="V2923" s="1"/>
      <c r="W2923" s="1"/>
      <c r="X2923" s="1"/>
      <c r="Y2923" s="1"/>
      <c r="Z2923" s="1"/>
      <c r="AA2923" s="1"/>
      <c r="AB2923" s="1"/>
      <c r="AC2923" s="1"/>
      <c r="AD2923" s="1"/>
      <c r="AE2923" s="1"/>
      <c r="AF2923" s="1"/>
    </row>
    <row r="2924" spans="7:32" x14ac:dyDescent="0.2">
      <c r="G2924" s="2"/>
      <c r="H2924" s="1"/>
      <c r="I2924" s="1"/>
      <c r="J2924" s="1"/>
      <c r="K2924" s="1"/>
      <c r="L2924" s="1"/>
      <c r="M2924" s="1"/>
      <c r="N2924" s="1"/>
      <c r="O2924" s="1"/>
      <c r="P2924" s="1"/>
      <c r="Q2924" s="1"/>
      <c r="R2924" s="1"/>
      <c r="S2924" s="1"/>
      <c r="T2924" s="1"/>
      <c r="U2924" s="1"/>
      <c r="V2924" s="1"/>
      <c r="W2924" s="1"/>
      <c r="X2924" s="1"/>
      <c r="Y2924" s="1"/>
      <c r="Z2924" s="1"/>
      <c r="AA2924" s="1"/>
      <c r="AB2924" s="1"/>
      <c r="AC2924" s="1"/>
      <c r="AD2924" s="1"/>
      <c r="AE2924" s="1"/>
      <c r="AF2924" s="1"/>
    </row>
    <row r="2925" spans="7:32" x14ac:dyDescent="0.2">
      <c r="G2925" s="2"/>
      <c r="H2925" s="1"/>
      <c r="I2925" s="1"/>
      <c r="J2925" s="1"/>
      <c r="K2925" s="1"/>
      <c r="L2925" s="1"/>
      <c r="M2925" s="1"/>
      <c r="N2925" s="1"/>
      <c r="O2925" s="1"/>
      <c r="P2925" s="1"/>
      <c r="Q2925" s="1"/>
      <c r="R2925" s="1"/>
      <c r="S2925" s="1"/>
      <c r="T2925" s="1"/>
      <c r="U2925" s="1"/>
      <c r="V2925" s="1"/>
      <c r="W2925" s="1"/>
      <c r="X2925" s="1"/>
      <c r="Y2925" s="1"/>
      <c r="Z2925" s="1"/>
      <c r="AA2925" s="1"/>
      <c r="AB2925" s="1"/>
      <c r="AC2925" s="1"/>
      <c r="AD2925" s="1"/>
      <c r="AE2925" s="1"/>
      <c r="AF2925" s="1"/>
    </row>
    <row r="2926" spans="7:32" x14ac:dyDescent="0.2">
      <c r="G2926" s="2"/>
      <c r="H2926" s="1"/>
      <c r="I2926" s="1"/>
      <c r="J2926" s="1"/>
      <c r="K2926" s="1"/>
      <c r="L2926" s="1"/>
      <c r="M2926" s="1"/>
      <c r="N2926" s="1"/>
      <c r="O2926" s="1"/>
      <c r="P2926" s="1"/>
      <c r="Q2926" s="1"/>
      <c r="R2926" s="1"/>
      <c r="S2926" s="1"/>
      <c r="T2926" s="1"/>
      <c r="U2926" s="1"/>
      <c r="V2926" s="1"/>
      <c r="W2926" s="1"/>
      <c r="X2926" s="1"/>
      <c r="Y2926" s="1"/>
      <c r="Z2926" s="1"/>
      <c r="AA2926" s="1"/>
      <c r="AB2926" s="1"/>
      <c r="AC2926" s="1"/>
      <c r="AD2926" s="1"/>
      <c r="AE2926" s="1"/>
      <c r="AF2926" s="1"/>
    </row>
    <row r="2927" spans="7:32" x14ac:dyDescent="0.2">
      <c r="G2927" s="2"/>
      <c r="H2927" s="1"/>
      <c r="I2927" s="1"/>
      <c r="J2927" s="1"/>
      <c r="K2927" s="1"/>
      <c r="L2927" s="1"/>
      <c r="M2927" s="1"/>
      <c r="N2927" s="1"/>
      <c r="O2927" s="1"/>
      <c r="P2927" s="1"/>
      <c r="Q2927" s="1"/>
      <c r="R2927" s="1"/>
      <c r="S2927" s="1"/>
      <c r="T2927" s="1"/>
      <c r="U2927" s="1"/>
      <c r="V2927" s="1"/>
      <c r="W2927" s="1"/>
      <c r="X2927" s="1"/>
      <c r="Y2927" s="1"/>
      <c r="Z2927" s="1"/>
      <c r="AA2927" s="1"/>
      <c r="AB2927" s="1"/>
      <c r="AC2927" s="1"/>
      <c r="AD2927" s="1"/>
      <c r="AE2927" s="1"/>
      <c r="AF2927" s="1"/>
    </row>
    <row r="2928" spans="7:32" x14ac:dyDescent="0.2">
      <c r="G2928" s="2"/>
      <c r="H2928" s="1"/>
      <c r="I2928" s="1"/>
      <c r="J2928" s="1"/>
      <c r="K2928" s="1"/>
      <c r="L2928" s="1"/>
      <c r="M2928" s="1"/>
      <c r="N2928" s="1"/>
      <c r="O2928" s="1"/>
      <c r="P2928" s="1"/>
      <c r="Q2928" s="1"/>
      <c r="R2928" s="1"/>
      <c r="S2928" s="1"/>
      <c r="T2928" s="1"/>
      <c r="U2928" s="1"/>
      <c r="V2928" s="1"/>
      <c r="W2928" s="1"/>
      <c r="X2928" s="1"/>
      <c r="Y2928" s="1"/>
      <c r="Z2928" s="1"/>
      <c r="AA2928" s="1"/>
      <c r="AB2928" s="1"/>
      <c r="AC2928" s="1"/>
      <c r="AD2928" s="1"/>
      <c r="AE2928" s="1"/>
      <c r="AF2928" s="1"/>
    </row>
    <row r="2929" spans="7:32" x14ac:dyDescent="0.2">
      <c r="G2929" s="2"/>
      <c r="H2929" s="1"/>
      <c r="I2929" s="1"/>
      <c r="J2929" s="1"/>
      <c r="K2929" s="1"/>
      <c r="L2929" s="1"/>
      <c r="M2929" s="1"/>
      <c r="N2929" s="1"/>
      <c r="O2929" s="1"/>
      <c r="P2929" s="1"/>
      <c r="Q2929" s="1"/>
      <c r="R2929" s="1"/>
      <c r="S2929" s="1"/>
      <c r="T2929" s="1"/>
      <c r="U2929" s="1"/>
      <c r="V2929" s="1"/>
      <c r="W2929" s="1"/>
      <c r="X2929" s="1"/>
      <c r="Y2929" s="1"/>
      <c r="Z2929" s="1"/>
      <c r="AA2929" s="1"/>
      <c r="AB2929" s="1"/>
      <c r="AC2929" s="1"/>
      <c r="AD2929" s="1"/>
      <c r="AE2929" s="1"/>
      <c r="AF2929" s="1"/>
    </row>
    <row r="2930" spans="7:32" x14ac:dyDescent="0.2">
      <c r="G2930" s="2"/>
      <c r="H2930" s="1"/>
      <c r="I2930" s="1"/>
      <c r="J2930" s="1"/>
      <c r="K2930" s="1"/>
      <c r="L2930" s="1"/>
      <c r="M2930" s="1"/>
      <c r="N2930" s="1"/>
      <c r="O2930" s="1"/>
      <c r="P2930" s="1"/>
      <c r="Q2930" s="1"/>
      <c r="R2930" s="1"/>
      <c r="S2930" s="1"/>
      <c r="T2930" s="1"/>
      <c r="U2930" s="1"/>
      <c r="V2930" s="1"/>
      <c r="W2930" s="1"/>
      <c r="X2930" s="1"/>
      <c r="Y2930" s="1"/>
      <c r="Z2930" s="1"/>
      <c r="AA2930" s="1"/>
      <c r="AB2930" s="1"/>
      <c r="AC2930" s="1"/>
      <c r="AD2930" s="1"/>
      <c r="AE2930" s="1"/>
      <c r="AF2930" s="1"/>
    </row>
    <row r="2931" spans="7:32" x14ac:dyDescent="0.2">
      <c r="G2931" s="2"/>
      <c r="H2931" s="1"/>
      <c r="I2931" s="1"/>
      <c r="J2931" s="1"/>
      <c r="K2931" s="1"/>
      <c r="L2931" s="1"/>
      <c r="M2931" s="1"/>
      <c r="N2931" s="1"/>
      <c r="O2931" s="1"/>
      <c r="P2931" s="1"/>
      <c r="Q2931" s="1"/>
      <c r="R2931" s="1"/>
      <c r="S2931" s="1"/>
      <c r="T2931" s="1"/>
      <c r="U2931" s="1"/>
      <c r="V2931" s="1"/>
      <c r="W2931" s="1"/>
      <c r="X2931" s="1"/>
      <c r="Y2931" s="1"/>
      <c r="Z2931" s="1"/>
      <c r="AA2931" s="1"/>
      <c r="AB2931" s="1"/>
      <c r="AC2931" s="1"/>
      <c r="AD2931" s="1"/>
      <c r="AE2931" s="1"/>
      <c r="AF2931" s="1"/>
    </row>
    <row r="2932" spans="7:32" x14ac:dyDescent="0.2">
      <c r="G2932" s="2"/>
      <c r="H2932" s="1"/>
      <c r="I2932" s="1"/>
      <c r="J2932" s="1"/>
      <c r="K2932" s="1"/>
      <c r="L2932" s="1"/>
      <c r="M2932" s="1"/>
      <c r="N2932" s="1"/>
      <c r="O2932" s="1"/>
      <c r="P2932" s="1"/>
      <c r="Q2932" s="1"/>
      <c r="R2932" s="1"/>
      <c r="S2932" s="1"/>
      <c r="T2932" s="1"/>
      <c r="U2932" s="1"/>
      <c r="V2932" s="1"/>
      <c r="W2932" s="1"/>
      <c r="X2932" s="1"/>
      <c r="Y2932" s="1"/>
      <c r="Z2932" s="1"/>
      <c r="AA2932" s="1"/>
      <c r="AB2932" s="1"/>
      <c r="AC2932" s="1"/>
      <c r="AD2932" s="1"/>
      <c r="AE2932" s="1"/>
      <c r="AF2932" s="1"/>
    </row>
    <row r="2933" spans="7:32" x14ac:dyDescent="0.2">
      <c r="G2933" s="2"/>
      <c r="H2933" s="1"/>
      <c r="I2933" s="1"/>
      <c r="J2933" s="1"/>
      <c r="K2933" s="1"/>
      <c r="L2933" s="1"/>
      <c r="M2933" s="1"/>
      <c r="N2933" s="1"/>
      <c r="O2933" s="1"/>
      <c r="P2933" s="1"/>
      <c r="Q2933" s="1"/>
      <c r="R2933" s="1"/>
      <c r="S2933" s="1"/>
      <c r="T2933" s="1"/>
      <c r="U2933" s="1"/>
      <c r="V2933" s="1"/>
      <c r="W2933" s="1"/>
      <c r="X2933" s="1"/>
      <c r="Y2933" s="1"/>
      <c r="Z2933" s="1"/>
      <c r="AA2933" s="1"/>
      <c r="AB2933" s="1"/>
      <c r="AC2933" s="1"/>
      <c r="AD2933" s="1"/>
      <c r="AE2933" s="1"/>
      <c r="AF2933" s="1"/>
    </row>
    <row r="2934" spans="7:32" x14ac:dyDescent="0.2">
      <c r="G2934" s="2"/>
      <c r="H2934" s="1"/>
      <c r="I2934" s="1"/>
      <c r="J2934" s="1"/>
      <c r="K2934" s="1"/>
      <c r="L2934" s="1"/>
      <c r="M2934" s="1"/>
      <c r="N2934" s="1"/>
      <c r="O2934" s="1"/>
      <c r="P2934" s="1"/>
      <c r="Q2934" s="1"/>
      <c r="R2934" s="1"/>
      <c r="S2934" s="1"/>
      <c r="T2934" s="1"/>
      <c r="U2934" s="1"/>
      <c r="V2934" s="1"/>
      <c r="W2934" s="1"/>
      <c r="X2934" s="1"/>
      <c r="Y2934" s="1"/>
      <c r="Z2934" s="1"/>
      <c r="AA2934" s="1"/>
      <c r="AB2934" s="1"/>
      <c r="AC2934" s="1"/>
      <c r="AD2934" s="1"/>
      <c r="AE2934" s="1"/>
      <c r="AF2934" s="1"/>
    </row>
    <row r="2935" spans="7:32" x14ac:dyDescent="0.2">
      <c r="G2935" s="2"/>
      <c r="H2935" s="1"/>
      <c r="I2935" s="1"/>
      <c r="J2935" s="1"/>
      <c r="K2935" s="1"/>
      <c r="L2935" s="1"/>
      <c r="M2935" s="1"/>
      <c r="N2935" s="1"/>
      <c r="O2935" s="1"/>
      <c r="P2935" s="1"/>
      <c r="Q2935" s="1"/>
      <c r="R2935" s="1"/>
      <c r="S2935" s="1"/>
      <c r="T2935" s="1"/>
      <c r="U2935" s="1"/>
      <c r="V2935" s="1"/>
      <c r="W2935" s="1"/>
      <c r="X2935" s="1"/>
      <c r="Y2935" s="1"/>
      <c r="Z2935" s="1"/>
      <c r="AA2935" s="1"/>
      <c r="AB2935" s="1"/>
      <c r="AC2935" s="1"/>
      <c r="AD2935" s="1"/>
      <c r="AE2935" s="1"/>
      <c r="AF2935" s="1"/>
    </row>
    <row r="2936" spans="7:32" x14ac:dyDescent="0.2">
      <c r="G2936" s="2"/>
      <c r="H2936" s="1"/>
      <c r="I2936" s="1"/>
      <c r="J2936" s="1"/>
      <c r="K2936" s="1"/>
      <c r="L2936" s="1"/>
      <c r="M2936" s="1"/>
      <c r="N2936" s="1"/>
      <c r="O2936" s="1"/>
      <c r="P2936" s="1"/>
      <c r="Q2936" s="1"/>
      <c r="R2936" s="1"/>
      <c r="S2936" s="1"/>
      <c r="T2936" s="1"/>
      <c r="U2936" s="1"/>
      <c r="V2936" s="1"/>
      <c r="W2936" s="1"/>
      <c r="X2936" s="1"/>
      <c r="Y2936" s="1"/>
      <c r="Z2936" s="1"/>
      <c r="AA2936" s="1"/>
      <c r="AB2936" s="1"/>
      <c r="AC2936" s="1"/>
      <c r="AD2936" s="1"/>
      <c r="AE2936" s="1"/>
      <c r="AF2936" s="1"/>
    </row>
    <row r="2937" spans="7:32" x14ac:dyDescent="0.2">
      <c r="G2937" s="2"/>
      <c r="H2937" s="1"/>
      <c r="I2937" s="1"/>
      <c r="J2937" s="1"/>
      <c r="K2937" s="1"/>
      <c r="L2937" s="1"/>
      <c r="M2937" s="1"/>
      <c r="N2937" s="1"/>
      <c r="O2937" s="1"/>
      <c r="P2937" s="1"/>
      <c r="Q2937" s="1"/>
      <c r="R2937" s="1"/>
      <c r="S2937" s="1"/>
      <c r="T2937" s="1"/>
      <c r="U2937" s="1"/>
      <c r="V2937" s="1"/>
      <c r="W2937" s="1"/>
      <c r="X2937" s="1"/>
      <c r="Y2937" s="1"/>
      <c r="Z2937" s="1"/>
      <c r="AA2937" s="1"/>
      <c r="AB2937" s="1"/>
      <c r="AC2937" s="1"/>
      <c r="AD2937" s="1"/>
      <c r="AE2937" s="1"/>
      <c r="AF2937" s="1"/>
    </row>
    <row r="2938" spans="7:32" x14ac:dyDescent="0.2">
      <c r="G2938" s="2"/>
      <c r="H2938" s="1"/>
      <c r="I2938" s="1"/>
      <c r="J2938" s="1"/>
      <c r="K2938" s="1"/>
      <c r="L2938" s="1"/>
      <c r="M2938" s="1"/>
      <c r="N2938" s="1"/>
      <c r="O2938" s="1"/>
      <c r="P2938" s="1"/>
      <c r="Q2938" s="1"/>
      <c r="R2938" s="1"/>
      <c r="S2938" s="1"/>
      <c r="T2938" s="1"/>
      <c r="U2938" s="1"/>
      <c r="V2938" s="1"/>
      <c r="W2938" s="1"/>
      <c r="X2938" s="1"/>
      <c r="Y2938" s="1"/>
      <c r="Z2938" s="1"/>
      <c r="AA2938" s="1"/>
      <c r="AB2938" s="1"/>
      <c r="AC2938" s="1"/>
      <c r="AD2938" s="1"/>
      <c r="AE2938" s="1"/>
      <c r="AF2938" s="1"/>
    </row>
    <row r="2939" spans="7:32" x14ac:dyDescent="0.2">
      <c r="G2939" s="2"/>
      <c r="H2939" s="1"/>
      <c r="I2939" s="1"/>
      <c r="J2939" s="1"/>
      <c r="K2939" s="1"/>
      <c r="L2939" s="1"/>
      <c r="M2939" s="1"/>
      <c r="N2939" s="1"/>
      <c r="O2939" s="1"/>
      <c r="P2939" s="1"/>
      <c r="Q2939" s="1"/>
      <c r="R2939" s="1"/>
      <c r="S2939" s="1"/>
      <c r="T2939" s="1"/>
      <c r="U2939" s="1"/>
      <c r="V2939" s="1"/>
      <c r="W2939" s="1"/>
      <c r="X2939" s="1"/>
      <c r="Y2939" s="1"/>
      <c r="Z2939" s="1"/>
      <c r="AA2939" s="1"/>
      <c r="AB2939" s="1"/>
      <c r="AC2939" s="1"/>
      <c r="AD2939" s="1"/>
      <c r="AE2939" s="1"/>
      <c r="AF2939" s="1"/>
    </row>
    <row r="2940" spans="7:32" x14ac:dyDescent="0.2">
      <c r="G2940" s="2"/>
      <c r="H2940" s="1"/>
      <c r="I2940" s="1"/>
      <c r="J2940" s="1"/>
      <c r="K2940" s="1"/>
      <c r="L2940" s="1"/>
      <c r="M2940" s="1"/>
      <c r="N2940" s="1"/>
      <c r="O2940" s="1"/>
      <c r="P2940" s="1"/>
      <c r="Q2940" s="1"/>
      <c r="R2940" s="1"/>
      <c r="S2940" s="1"/>
      <c r="T2940" s="1"/>
      <c r="U2940" s="1"/>
      <c r="V2940" s="1"/>
      <c r="W2940" s="1"/>
      <c r="X2940" s="1"/>
      <c r="Y2940" s="1"/>
      <c r="Z2940" s="1"/>
      <c r="AA2940" s="1"/>
      <c r="AB2940" s="1"/>
      <c r="AC2940" s="1"/>
      <c r="AD2940" s="1"/>
      <c r="AE2940" s="1"/>
      <c r="AF2940" s="1"/>
    </row>
    <row r="2941" spans="7:32" x14ac:dyDescent="0.2">
      <c r="G2941" s="2"/>
      <c r="H2941" s="1"/>
      <c r="I2941" s="1"/>
      <c r="J2941" s="1"/>
      <c r="K2941" s="1"/>
      <c r="L2941" s="1"/>
      <c r="M2941" s="1"/>
      <c r="N2941" s="1"/>
      <c r="O2941" s="1"/>
      <c r="P2941" s="1"/>
      <c r="Q2941" s="1"/>
      <c r="R2941" s="1"/>
      <c r="S2941" s="1"/>
      <c r="T2941" s="1"/>
      <c r="U2941" s="1"/>
      <c r="V2941" s="1"/>
      <c r="W2941" s="1"/>
      <c r="X2941" s="1"/>
      <c r="Y2941" s="1"/>
      <c r="Z2941" s="1"/>
      <c r="AA2941" s="1"/>
      <c r="AB2941" s="1"/>
      <c r="AC2941" s="1"/>
      <c r="AD2941" s="1"/>
      <c r="AE2941" s="1"/>
      <c r="AF2941" s="1"/>
    </row>
    <row r="2942" spans="7:32" x14ac:dyDescent="0.2">
      <c r="G2942" s="2"/>
      <c r="H2942" s="1"/>
      <c r="I2942" s="1"/>
      <c r="J2942" s="1"/>
      <c r="K2942" s="1"/>
      <c r="L2942" s="1"/>
      <c r="M2942" s="1"/>
      <c r="N2942" s="1"/>
      <c r="O2942" s="1"/>
      <c r="P2942" s="1"/>
      <c r="Q2942" s="1"/>
      <c r="R2942" s="1"/>
      <c r="S2942" s="1"/>
      <c r="T2942" s="1"/>
      <c r="U2942" s="1"/>
      <c r="V2942" s="1"/>
      <c r="W2942" s="1"/>
      <c r="X2942" s="1"/>
      <c r="Y2942" s="1"/>
      <c r="Z2942" s="1"/>
      <c r="AA2942" s="1"/>
      <c r="AB2942" s="1"/>
      <c r="AC2942" s="1"/>
      <c r="AD2942" s="1"/>
      <c r="AE2942" s="1"/>
      <c r="AF2942" s="1"/>
    </row>
    <row r="2943" spans="7:32" x14ac:dyDescent="0.2">
      <c r="G2943" s="2"/>
      <c r="H2943" s="1"/>
      <c r="I2943" s="1"/>
      <c r="J2943" s="1"/>
      <c r="K2943" s="1"/>
      <c r="L2943" s="1"/>
      <c r="M2943" s="1"/>
      <c r="N2943" s="1"/>
      <c r="O2943" s="1"/>
      <c r="P2943" s="1"/>
      <c r="Q2943" s="1"/>
      <c r="R2943" s="1"/>
      <c r="S2943" s="1"/>
      <c r="T2943" s="1"/>
      <c r="U2943" s="1"/>
      <c r="V2943" s="1"/>
      <c r="W2943" s="1"/>
      <c r="X2943" s="1"/>
      <c r="Y2943" s="1"/>
      <c r="Z2943" s="1"/>
      <c r="AA2943" s="1"/>
      <c r="AB2943" s="1"/>
      <c r="AC2943" s="1"/>
      <c r="AD2943" s="1"/>
      <c r="AE2943" s="1"/>
      <c r="AF2943" s="1"/>
    </row>
    <row r="2944" spans="7:32" x14ac:dyDescent="0.2">
      <c r="G2944" s="2"/>
      <c r="H2944" s="1"/>
      <c r="I2944" s="1"/>
      <c r="J2944" s="1"/>
      <c r="K2944" s="1"/>
      <c r="L2944" s="1"/>
      <c r="M2944" s="1"/>
      <c r="N2944" s="1"/>
      <c r="O2944" s="1"/>
      <c r="P2944" s="1"/>
      <c r="Q2944" s="1"/>
      <c r="R2944" s="1"/>
      <c r="S2944" s="1"/>
      <c r="T2944" s="1"/>
      <c r="U2944" s="1"/>
      <c r="V2944" s="1"/>
      <c r="W2944" s="1"/>
      <c r="X2944" s="1"/>
      <c r="Y2944" s="1"/>
      <c r="Z2944" s="1"/>
      <c r="AA2944" s="1"/>
      <c r="AB2944" s="1"/>
      <c r="AC2944" s="1"/>
      <c r="AD2944" s="1"/>
      <c r="AE2944" s="1"/>
      <c r="AF2944" s="1"/>
    </row>
    <row r="2945" spans="7:32" x14ac:dyDescent="0.2">
      <c r="G2945" s="2"/>
      <c r="H2945" s="1"/>
      <c r="I2945" s="1"/>
      <c r="J2945" s="1"/>
      <c r="K2945" s="1"/>
      <c r="L2945" s="1"/>
      <c r="M2945" s="1"/>
      <c r="N2945" s="1"/>
      <c r="O2945" s="1"/>
      <c r="P2945" s="1"/>
      <c r="Q2945" s="1"/>
      <c r="R2945" s="1"/>
      <c r="S2945" s="1"/>
      <c r="T2945" s="1"/>
      <c r="U2945" s="1"/>
      <c r="V2945" s="1"/>
      <c r="W2945" s="1"/>
      <c r="X2945" s="1"/>
      <c r="Y2945" s="1"/>
      <c r="Z2945" s="1"/>
      <c r="AA2945" s="1"/>
      <c r="AB2945" s="1"/>
      <c r="AC2945" s="1"/>
      <c r="AD2945" s="1"/>
      <c r="AE2945" s="1"/>
      <c r="AF2945" s="1"/>
    </row>
    <row r="2946" spans="7:32" x14ac:dyDescent="0.2">
      <c r="G2946" s="2"/>
      <c r="H2946" s="1"/>
      <c r="I2946" s="1"/>
      <c r="J2946" s="1"/>
      <c r="K2946" s="1"/>
      <c r="L2946" s="1"/>
      <c r="M2946" s="1"/>
      <c r="N2946" s="1"/>
      <c r="O2946" s="1"/>
      <c r="P2946" s="1"/>
      <c r="Q2946" s="1"/>
      <c r="R2946" s="1"/>
      <c r="S2946" s="1"/>
      <c r="T2946" s="1"/>
      <c r="U2946" s="1"/>
      <c r="V2946" s="1"/>
      <c r="W2946" s="1"/>
      <c r="X2946" s="1"/>
      <c r="Y2946" s="1"/>
      <c r="Z2946" s="1"/>
      <c r="AA2946" s="1"/>
      <c r="AB2946" s="1"/>
      <c r="AC2946" s="1"/>
      <c r="AD2946" s="1"/>
      <c r="AE2946" s="1"/>
      <c r="AF2946" s="1"/>
    </row>
    <row r="2947" spans="7:32" x14ac:dyDescent="0.2">
      <c r="G2947" s="2"/>
      <c r="H2947" s="1"/>
      <c r="I2947" s="1"/>
      <c r="J2947" s="1"/>
      <c r="K2947" s="1"/>
      <c r="L2947" s="1"/>
      <c r="M2947" s="1"/>
      <c r="N2947" s="1"/>
      <c r="O2947" s="1"/>
      <c r="P2947" s="1"/>
      <c r="Q2947" s="1"/>
      <c r="R2947" s="1"/>
      <c r="S2947" s="1"/>
      <c r="T2947" s="1"/>
      <c r="U2947" s="1"/>
      <c r="V2947" s="1"/>
      <c r="W2947" s="1"/>
      <c r="X2947" s="1"/>
      <c r="Y2947" s="1"/>
      <c r="Z2947" s="1"/>
      <c r="AA2947" s="1"/>
      <c r="AB2947" s="1"/>
      <c r="AC2947" s="1"/>
      <c r="AD2947" s="1"/>
      <c r="AE2947" s="1"/>
      <c r="AF2947" s="1"/>
    </row>
    <row r="2948" spans="7:32" x14ac:dyDescent="0.2">
      <c r="G2948" s="2"/>
      <c r="H2948" s="1"/>
      <c r="I2948" s="1"/>
      <c r="J2948" s="1"/>
      <c r="K2948" s="1"/>
      <c r="L2948" s="1"/>
      <c r="M2948" s="1"/>
      <c r="N2948" s="1"/>
      <c r="O2948" s="1"/>
      <c r="P2948" s="1"/>
      <c r="Q2948" s="1"/>
      <c r="R2948" s="1"/>
      <c r="S2948" s="1"/>
      <c r="T2948" s="1"/>
      <c r="U2948" s="1"/>
      <c r="V2948" s="1"/>
      <c r="W2948" s="1"/>
      <c r="X2948" s="1"/>
      <c r="Y2948" s="1"/>
      <c r="Z2948" s="1"/>
      <c r="AA2948" s="1"/>
      <c r="AB2948" s="1"/>
      <c r="AC2948" s="1"/>
      <c r="AD2948" s="1"/>
      <c r="AE2948" s="1"/>
      <c r="AF2948" s="1"/>
    </row>
    <row r="2949" spans="7:32" x14ac:dyDescent="0.2">
      <c r="G2949" s="2"/>
      <c r="H2949" s="1"/>
      <c r="I2949" s="1"/>
      <c r="J2949" s="1"/>
      <c r="K2949" s="1"/>
      <c r="L2949" s="1"/>
      <c r="M2949" s="1"/>
      <c r="N2949" s="1"/>
      <c r="O2949" s="1"/>
      <c r="P2949" s="1"/>
      <c r="Q2949" s="1"/>
      <c r="R2949" s="1"/>
      <c r="S2949" s="1"/>
      <c r="T2949" s="1"/>
      <c r="U2949" s="1"/>
      <c r="V2949" s="1"/>
      <c r="W2949" s="1"/>
      <c r="X2949" s="1"/>
      <c r="Y2949" s="1"/>
      <c r="Z2949" s="1"/>
      <c r="AA2949" s="1"/>
      <c r="AB2949" s="1"/>
      <c r="AC2949" s="1"/>
      <c r="AD2949" s="1"/>
      <c r="AE2949" s="1"/>
      <c r="AF2949" s="1"/>
    </row>
    <row r="2950" spans="7:32" x14ac:dyDescent="0.2">
      <c r="G2950" s="2"/>
      <c r="H2950" s="1"/>
      <c r="I2950" s="1"/>
      <c r="J2950" s="1"/>
      <c r="K2950" s="1"/>
      <c r="L2950" s="1"/>
      <c r="M2950" s="1"/>
      <c r="N2950" s="1"/>
      <c r="O2950" s="1"/>
      <c r="P2950" s="1"/>
      <c r="Q2950" s="1"/>
      <c r="R2950" s="1"/>
      <c r="S2950" s="1"/>
      <c r="T2950" s="1"/>
      <c r="U2950" s="1"/>
      <c r="V2950" s="1"/>
      <c r="W2950" s="1"/>
      <c r="X2950" s="1"/>
      <c r="Y2950" s="1"/>
      <c r="Z2950" s="1"/>
      <c r="AA2950" s="1"/>
      <c r="AB2950" s="1"/>
      <c r="AC2950" s="1"/>
      <c r="AD2950" s="1"/>
      <c r="AE2950" s="1"/>
      <c r="AF2950" s="1"/>
    </row>
    <row r="2951" spans="7:32" x14ac:dyDescent="0.2">
      <c r="G2951" s="2"/>
      <c r="H2951" s="1"/>
      <c r="I2951" s="1"/>
      <c r="J2951" s="1"/>
      <c r="K2951" s="1"/>
      <c r="L2951" s="1"/>
      <c r="M2951" s="1"/>
      <c r="N2951" s="1"/>
      <c r="O2951" s="1"/>
      <c r="P2951" s="1"/>
      <c r="Q2951" s="1"/>
      <c r="R2951" s="1"/>
      <c r="S2951" s="1"/>
      <c r="T2951" s="1"/>
      <c r="U2951" s="1"/>
      <c r="V2951" s="1"/>
      <c r="W2951" s="1"/>
      <c r="X2951" s="1"/>
      <c r="Y2951" s="1"/>
      <c r="Z2951" s="1"/>
      <c r="AA2951" s="1"/>
      <c r="AB2951" s="1"/>
      <c r="AC2951" s="1"/>
      <c r="AD2951" s="1"/>
      <c r="AE2951" s="1"/>
      <c r="AF2951" s="1"/>
    </row>
    <row r="2952" spans="7:32" x14ac:dyDescent="0.2">
      <c r="G2952" s="2"/>
      <c r="H2952" s="1"/>
      <c r="I2952" s="1"/>
      <c r="J2952" s="1"/>
      <c r="K2952" s="1"/>
      <c r="L2952" s="1"/>
      <c r="M2952" s="1"/>
      <c r="N2952" s="1"/>
      <c r="O2952" s="1"/>
      <c r="P2952" s="1"/>
      <c r="Q2952" s="1"/>
      <c r="R2952" s="1"/>
      <c r="S2952" s="1"/>
      <c r="T2952" s="1"/>
      <c r="U2952" s="1"/>
      <c r="V2952" s="1"/>
      <c r="W2952" s="1"/>
      <c r="X2952" s="1"/>
      <c r="Y2952" s="1"/>
      <c r="Z2952" s="1"/>
      <c r="AA2952" s="1"/>
      <c r="AB2952" s="1"/>
      <c r="AC2952" s="1"/>
      <c r="AD2952" s="1"/>
      <c r="AE2952" s="1"/>
      <c r="AF2952" s="1"/>
    </row>
    <row r="2953" spans="7:32" x14ac:dyDescent="0.2">
      <c r="G2953" s="2"/>
      <c r="H2953" s="1"/>
      <c r="I2953" s="1"/>
      <c r="J2953" s="1"/>
      <c r="K2953" s="1"/>
      <c r="L2953" s="1"/>
      <c r="M2953" s="1"/>
      <c r="N2953" s="1"/>
      <c r="O2953" s="1"/>
      <c r="P2953" s="1"/>
      <c r="Q2953" s="1"/>
      <c r="R2953" s="1"/>
      <c r="S2953" s="1"/>
      <c r="T2953" s="1"/>
      <c r="U2953" s="1"/>
      <c r="V2953" s="1"/>
      <c r="W2953" s="1"/>
      <c r="X2953" s="1"/>
      <c r="Y2953" s="1"/>
      <c r="Z2953" s="1"/>
      <c r="AA2953" s="1"/>
      <c r="AB2953" s="1"/>
      <c r="AC2953" s="1"/>
      <c r="AD2953" s="1"/>
      <c r="AE2953" s="1"/>
      <c r="AF2953" s="1"/>
    </row>
    <row r="2954" spans="7:32" x14ac:dyDescent="0.2">
      <c r="G2954" s="2"/>
      <c r="H2954" s="1"/>
      <c r="I2954" s="1"/>
      <c r="J2954" s="1"/>
      <c r="K2954" s="1"/>
      <c r="L2954" s="1"/>
      <c r="M2954" s="1"/>
      <c r="N2954" s="1"/>
      <c r="O2954" s="1"/>
      <c r="P2954" s="1"/>
      <c r="Q2954" s="1"/>
      <c r="R2954" s="1"/>
      <c r="S2954" s="1"/>
      <c r="T2954" s="1"/>
      <c r="U2954" s="1"/>
      <c r="V2954" s="1"/>
      <c r="W2954" s="1"/>
      <c r="X2954" s="1"/>
      <c r="Y2954" s="1"/>
      <c r="Z2954" s="1"/>
      <c r="AA2954" s="1"/>
      <c r="AB2954" s="1"/>
      <c r="AC2954" s="1"/>
      <c r="AD2954" s="1"/>
      <c r="AE2954" s="1"/>
      <c r="AF2954" s="1"/>
    </row>
    <row r="2955" spans="7:32" x14ac:dyDescent="0.2">
      <c r="G2955" s="2"/>
      <c r="H2955" s="1"/>
      <c r="I2955" s="1"/>
      <c r="J2955" s="1"/>
      <c r="K2955" s="1"/>
      <c r="L2955" s="1"/>
      <c r="M2955" s="1"/>
      <c r="N2955" s="1"/>
      <c r="O2955" s="1"/>
      <c r="P2955" s="1"/>
      <c r="Q2955" s="1"/>
      <c r="R2955" s="1"/>
      <c r="S2955" s="1"/>
      <c r="T2955" s="1"/>
      <c r="U2955" s="1"/>
      <c r="V2955" s="1"/>
      <c r="W2955" s="1"/>
      <c r="X2955" s="1"/>
      <c r="Y2955" s="1"/>
      <c r="Z2955" s="1"/>
      <c r="AA2955" s="1"/>
      <c r="AB2955" s="1"/>
      <c r="AC2955" s="1"/>
      <c r="AD2955" s="1"/>
      <c r="AE2955" s="1"/>
      <c r="AF2955" s="1"/>
    </row>
    <row r="2956" spans="7:32" x14ac:dyDescent="0.2">
      <c r="G2956" s="2"/>
      <c r="H2956" s="1"/>
      <c r="I2956" s="1"/>
      <c r="J2956" s="1"/>
      <c r="K2956" s="1"/>
      <c r="L2956" s="1"/>
      <c r="M2956" s="1"/>
      <c r="N2956" s="1"/>
      <c r="O2956" s="1"/>
      <c r="P2956" s="1"/>
      <c r="Q2956" s="1"/>
      <c r="R2956" s="1"/>
      <c r="S2956" s="1"/>
      <c r="T2956" s="1"/>
      <c r="U2956" s="1"/>
      <c r="V2956" s="1"/>
      <c r="W2956" s="1"/>
      <c r="X2956" s="1"/>
      <c r="Y2956" s="1"/>
      <c r="Z2956" s="1"/>
      <c r="AA2956" s="1"/>
      <c r="AB2956" s="1"/>
      <c r="AC2956" s="1"/>
      <c r="AD2956" s="1"/>
      <c r="AE2956" s="1"/>
      <c r="AF2956" s="1"/>
    </row>
    <row r="2957" spans="7:32" x14ac:dyDescent="0.2">
      <c r="G2957" s="2"/>
      <c r="H2957" s="1"/>
      <c r="I2957" s="1"/>
      <c r="J2957" s="1"/>
      <c r="K2957" s="1"/>
      <c r="L2957" s="1"/>
      <c r="M2957" s="1"/>
      <c r="N2957" s="1"/>
      <c r="O2957" s="1"/>
      <c r="P2957" s="1"/>
      <c r="Q2957" s="1"/>
      <c r="R2957" s="1"/>
      <c r="S2957" s="1"/>
      <c r="T2957" s="1"/>
      <c r="U2957" s="1"/>
      <c r="V2957" s="1"/>
      <c r="W2957" s="1"/>
      <c r="X2957" s="1"/>
      <c r="Y2957" s="1"/>
      <c r="Z2957" s="1"/>
      <c r="AA2957" s="1"/>
      <c r="AB2957" s="1"/>
      <c r="AC2957" s="1"/>
      <c r="AD2957" s="1"/>
      <c r="AE2957" s="1"/>
      <c r="AF2957" s="1"/>
    </row>
    <row r="2958" spans="7:32" x14ac:dyDescent="0.2">
      <c r="G2958" s="2"/>
      <c r="H2958" s="1"/>
      <c r="I2958" s="1"/>
      <c r="J2958" s="1"/>
      <c r="K2958" s="1"/>
      <c r="L2958" s="1"/>
      <c r="M2958" s="1"/>
      <c r="N2958" s="1"/>
      <c r="O2958" s="1"/>
      <c r="P2958" s="1"/>
      <c r="Q2958" s="1"/>
      <c r="R2958" s="1"/>
      <c r="S2958" s="1"/>
      <c r="T2958" s="1"/>
      <c r="U2958" s="1"/>
      <c r="V2958" s="1"/>
      <c r="W2958" s="1"/>
      <c r="X2958" s="1"/>
      <c r="Y2958" s="1"/>
      <c r="Z2958" s="1"/>
      <c r="AA2958" s="1"/>
      <c r="AB2958" s="1"/>
      <c r="AC2958" s="1"/>
      <c r="AD2958" s="1"/>
      <c r="AE2958" s="1"/>
      <c r="AF2958" s="1"/>
    </row>
    <row r="2959" spans="7:32" x14ac:dyDescent="0.2">
      <c r="G2959" s="2"/>
      <c r="H2959" s="1"/>
      <c r="I2959" s="1"/>
      <c r="J2959" s="1"/>
      <c r="K2959" s="1"/>
      <c r="L2959" s="1"/>
      <c r="M2959" s="1"/>
      <c r="N2959" s="1"/>
      <c r="O2959" s="1"/>
      <c r="P2959" s="1"/>
      <c r="Q2959" s="1"/>
      <c r="R2959" s="1"/>
      <c r="S2959" s="1"/>
      <c r="T2959" s="1"/>
      <c r="U2959" s="1"/>
      <c r="V2959" s="1"/>
      <c r="W2959" s="1"/>
      <c r="X2959" s="1"/>
      <c r="Y2959" s="1"/>
      <c r="Z2959" s="1"/>
      <c r="AA2959" s="1"/>
      <c r="AB2959" s="1"/>
      <c r="AC2959" s="1"/>
      <c r="AD2959" s="1"/>
      <c r="AE2959" s="1"/>
      <c r="AF2959" s="1"/>
    </row>
    <row r="2960" spans="7:32" x14ac:dyDescent="0.2">
      <c r="G2960" s="2"/>
      <c r="H2960" s="1"/>
      <c r="I2960" s="1"/>
      <c r="J2960" s="1"/>
      <c r="K2960" s="1"/>
      <c r="L2960" s="1"/>
      <c r="M2960" s="1"/>
      <c r="N2960" s="1"/>
      <c r="O2960" s="1"/>
      <c r="P2960" s="1"/>
      <c r="Q2960" s="1"/>
      <c r="R2960" s="1"/>
      <c r="S2960" s="1"/>
      <c r="T2960" s="1"/>
      <c r="U2960" s="1"/>
      <c r="V2960" s="1"/>
      <c r="W2960" s="1"/>
      <c r="X2960" s="1"/>
      <c r="Y2960" s="1"/>
      <c r="Z2960" s="1"/>
      <c r="AA2960" s="1"/>
      <c r="AB2960" s="1"/>
      <c r="AC2960" s="1"/>
      <c r="AD2960" s="1"/>
      <c r="AE2960" s="1"/>
      <c r="AF2960" s="1"/>
    </row>
    <row r="2961" spans="7:32" x14ac:dyDescent="0.2">
      <c r="G2961" s="2"/>
      <c r="H2961" s="1"/>
      <c r="I2961" s="1"/>
      <c r="J2961" s="1"/>
      <c r="K2961" s="1"/>
      <c r="L2961" s="1"/>
      <c r="M2961" s="1"/>
      <c r="N2961" s="1"/>
      <c r="O2961" s="1"/>
      <c r="P2961" s="1"/>
      <c r="Q2961" s="1"/>
      <c r="R2961" s="1"/>
      <c r="S2961" s="1"/>
      <c r="T2961" s="1"/>
      <c r="U2961" s="1"/>
      <c r="V2961" s="1"/>
      <c r="W2961" s="1"/>
      <c r="X2961" s="1"/>
      <c r="Y2961" s="1"/>
      <c r="Z2961" s="1"/>
      <c r="AA2961" s="1"/>
      <c r="AB2961" s="1"/>
      <c r="AC2961" s="1"/>
      <c r="AD2961" s="1"/>
      <c r="AE2961" s="1"/>
      <c r="AF2961" s="1"/>
    </row>
    <row r="2962" spans="7:32" x14ac:dyDescent="0.2">
      <c r="G2962" s="2"/>
      <c r="H2962" s="1"/>
      <c r="I2962" s="1"/>
      <c r="J2962" s="1"/>
      <c r="K2962" s="1"/>
      <c r="L2962" s="1"/>
      <c r="M2962" s="1"/>
      <c r="N2962" s="1"/>
      <c r="O2962" s="1"/>
      <c r="P2962" s="1"/>
      <c r="Q2962" s="1"/>
      <c r="R2962" s="1"/>
      <c r="S2962" s="1"/>
      <c r="T2962" s="1"/>
      <c r="U2962" s="1"/>
      <c r="V2962" s="1"/>
      <c r="W2962" s="1"/>
      <c r="X2962" s="1"/>
      <c r="Y2962" s="1"/>
      <c r="Z2962" s="1"/>
      <c r="AA2962" s="1"/>
      <c r="AB2962" s="1"/>
      <c r="AC2962" s="1"/>
      <c r="AD2962" s="1"/>
      <c r="AE2962" s="1"/>
      <c r="AF2962" s="1"/>
    </row>
    <row r="2963" spans="7:32" x14ac:dyDescent="0.2">
      <c r="G2963" s="2"/>
      <c r="H2963" s="1"/>
      <c r="I2963" s="1"/>
      <c r="J2963" s="1"/>
      <c r="K2963" s="1"/>
      <c r="L2963" s="1"/>
      <c r="M2963" s="1"/>
      <c r="N2963" s="1"/>
      <c r="O2963" s="1"/>
      <c r="P2963" s="1"/>
      <c r="Q2963" s="1"/>
      <c r="R2963" s="1"/>
      <c r="S2963" s="1"/>
      <c r="T2963" s="1"/>
      <c r="U2963" s="1"/>
      <c r="V2963" s="1"/>
      <c r="W2963" s="1"/>
      <c r="X2963" s="1"/>
      <c r="Y2963" s="1"/>
      <c r="Z2963" s="1"/>
      <c r="AA2963" s="1"/>
      <c r="AB2963" s="1"/>
      <c r="AC2963" s="1"/>
      <c r="AD2963" s="1"/>
      <c r="AE2963" s="1"/>
      <c r="AF2963" s="1"/>
    </row>
    <row r="2964" spans="7:32" x14ac:dyDescent="0.2">
      <c r="G2964" s="2"/>
      <c r="H2964" s="1"/>
      <c r="I2964" s="1"/>
      <c r="J2964" s="1"/>
      <c r="K2964" s="1"/>
      <c r="L2964" s="1"/>
      <c r="M2964" s="1"/>
      <c r="N2964" s="1"/>
      <c r="O2964" s="1"/>
      <c r="P2964" s="1"/>
      <c r="Q2964" s="1"/>
      <c r="R2964" s="1"/>
      <c r="S2964" s="1"/>
      <c r="T2964" s="1"/>
      <c r="U2964" s="1"/>
      <c r="V2964" s="1"/>
      <c r="W2964" s="1"/>
      <c r="X2964" s="1"/>
      <c r="Y2964" s="1"/>
      <c r="Z2964" s="1"/>
      <c r="AA2964" s="1"/>
      <c r="AB2964" s="1"/>
      <c r="AC2964" s="1"/>
      <c r="AD2964" s="1"/>
      <c r="AE2964" s="1"/>
      <c r="AF2964" s="1"/>
    </row>
    <row r="2965" spans="7:32" x14ac:dyDescent="0.2">
      <c r="G2965" s="2"/>
      <c r="H2965" s="1"/>
      <c r="I2965" s="1"/>
      <c r="J2965" s="1"/>
      <c r="K2965" s="1"/>
      <c r="L2965" s="1"/>
      <c r="M2965" s="1"/>
      <c r="N2965" s="1"/>
      <c r="O2965" s="1"/>
      <c r="P2965" s="1"/>
      <c r="Q2965" s="1"/>
      <c r="R2965" s="1"/>
      <c r="S2965" s="1"/>
      <c r="T2965" s="1"/>
      <c r="U2965" s="1"/>
      <c r="V2965" s="1"/>
      <c r="W2965" s="1"/>
      <c r="X2965" s="1"/>
      <c r="Y2965" s="1"/>
      <c r="Z2965" s="1"/>
      <c r="AA2965" s="1"/>
      <c r="AB2965" s="1"/>
      <c r="AC2965" s="1"/>
      <c r="AD2965" s="1"/>
      <c r="AE2965" s="1"/>
      <c r="AF2965" s="1"/>
    </row>
    <row r="2966" spans="7:32" x14ac:dyDescent="0.2">
      <c r="G2966" s="2"/>
      <c r="H2966" s="1"/>
      <c r="I2966" s="1"/>
      <c r="J2966" s="1"/>
      <c r="K2966" s="1"/>
      <c r="L2966" s="1"/>
      <c r="M2966" s="1"/>
      <c r="N2966" s="1"/>
      <c r="O2966" s="1"/>
      <c r="P2966" s="1"/>
      <c r="Q2966" s="1"/>
      <c r="R2966" s="1"/>
      <c r="S2966" s="1"/>
      <c r="T2966" s="1"/>
      <c r="U2966" s="1"/>
      <c r="V2966" s="1"/>
      <c r="W2966" s="1"/>
      <c r="X2966" s="1"/>
      <c r="Y2966" s="1"/>
      <c r="Z2966" s="1"/>
      <c r="AA2966" s="1"/>
      <c r="AB2966" s="1"/>
      <c r="AC2966" s="1"/>
      <c r="AD2966" s="1"/>
      <c r="AE2966" s="1"/>
      <c r="AF2966" s="1"/>
    </row>
    <row r="2967" spans="7:32" x14ac:dyDescent="0.2">
      <c r="G2967" s="2"/>
      <c r="H2967" s="1"/>
      <c r="I2967" s="1"/>
      <c r="J2967" s="1"/>
      <c r="K2967" s="1"/>
      <c r="L2967" s="1"/>
      <c r="M2967" s="1"/>
      <c r="N2967" s="1"/>
      <c r="O2967" s="1"/>
      <c r="P2967" s="1"/>
      <c r="Q2967" s="1"/>
      <c r="R2967" s="1"/>
      <c r="S2967" s="1"/>
      <c r="T2967" s="1"/>
      <c r="U2967" s="1"/>
      <c r="V2967" s="1"/>
      <c r="W2967" s="1"/>
      <c r="X2967" s="1"/>
      <c r="Y2967" s="1"/>
      <c r="Z2967" s="1"/>
      <c r="AA2967" s="1"/>
      <c r="AB2967" s="1"/>
      <c r="AC2967" s="1"/>
      <c r="AD2967" s="1"/>
      <c r="AE2967" s="1"/>
      <c r="AF2967" s="1"/>
    </row>
    <row r="2968" spans="7:32" x14ac:dyDescent="0.2">
      <c r="G2968" s="2"/>
      <c r="H2968" s="1"/>
      <c r="I2968" s="1"/>
      <c r="J2968" s="1"/>
      <c r="K2968" s="1"/>
      <c r="L2968" s="1"/>
      <c r="M2968" s="1"/>
      <c r="N2968" s="1"/>
      <c r="O2968" s="1"/>
      <c r="P2968" s="1"/>
      <c r="Q2968" s="1"/>
      <c r="R2968" s="1"/>
      <c r="S2968" s="1"/>
      <c r="T2968" s="1"/>
      <c r="U2968" s="1"/>
      <c r="V2968" s="1"/>
      <c r="W2968" s="1"/>
      <c r="X2968" s="1"/>
      <c r="Y2968" s="1"/>
      <c r="Z2968" s="1"/>
      <c r="AA2968" s="1"/>
      <c r="AB2968" s="1"/>
      <c r="AC2968" s="1"/>
      <c r="AD2968" s="1"/>
      <c r="AE2968" s="1"/>
      <c r="AF2968" s="1"/>
    </row>
    <row r="2969" spans="7:32" x14ac:dyDescent="0.2">
      <c r="G2969" s="2"/>
      <c r="H2969" s="1"/>
      <c r="I2969" s="1"/>
      <c r="J2969" s="1"/>
      <c r="K2969" s="1"/>
      <c r="L2969" s="1"/>
      <c r="M2969" s="1"/>
      <c r="N2969" s="1"/>
      <c r="O2969" s="1"/>
      <c r="P2969" s="1"/>
      <c r="Q2969" s="1"/>
      <c r="R2969" s="1"/>
      <c r="S2969" s="1"/>
      <c r="T2969" s="1"/>
      <c r="U2969" s="1"/>
      <c r="V2969" s="1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</row>
    <row r="2970" spans="7:32" x14ac:dyDescent="0.2">
      <c r="G2970" s="2"/>
      <c r="H2970" s="1"/>
      <c r="I2970" s="1"/>
      <c r="J2970" s="1"/>
      <c r="K2970" s="1"/>
      <c r="L2970" s="1"/>
      <c r="M2970" s="1"/>
      <c r="N2970" s="1"/>
      <c r="O2970" s="1"/>
      <c r="P2970" s="1"/>
      <c r="Q2970" s="1"/>
      <c r="R2970" s="1"/>
      <c r="S2970" s="1"/>
      <c r="T2970" s="1"/>
      <c r="U2970" s="1"/>
      <c r="V2970" s="1"/>
      <c r="W2970" s="1"/>
      <c r="X2970" s="1"/>
      <c r="Y2970" s="1"/>
      <c r="Z2970" s="1"/>
      <c r="AA2970" s="1"/>
      <c r="AB2970" s="1"/>
      <c r="AC2970" s="1"/>
      <c r="AD2970" s="1"/>
      <c r="AE2970" s="1"/>
      <c r="AF2970" s="1"/>
    </row>
    <row r="2971" spans="7:32" x14ac:dyDescent="0.2">
      <c r="G2971" s="2"/>
      <c r="H2971" s="1"/>
      <c r="I2971" s="1"/>
      <c r="J2971" s="1"/>
      <c r="K2971" s="1"/>
      <c r="L2971" s="1"/>
      <c r="M2971" s="1"/>
      <c r="N2971" s="1"/>
      <c r="O2971" s="1"/>
      <c r="P2971" s="1"/>
      <c r="Q2971" s="1"/>
      <c r="R2971" s="1"/>
      <c r="S2971" s="1"/>
      <c r="T2971" s="1"/>
      <c r="U2971" s="1"/>
      <c r="V2971" s="1"/>
      <c r="W2971" s="1"/>
      <c r="X2971" s="1"/>
      <c r="Y2971" s="1"/>
      <c r="Z2971" s="1"/>
      <c r="AA2971" s="1"/>
      <c r="AB2971" s="1"/>
      <c r="AC2971" s="1"/>
      <c r="AD2971" s="1"/>
      <c r="AE2971" s="1"/>
      <c r="AF2971" s="1"/>
    </row>
    <row r="2972" spans="7:32" x14ac:dyDescent="0.2">
      <c r="G2972" s="2"/>
      <c r="H2972" s="1"/>
      <c r="I2972" s="1"/>
      <c r="J2972" s="1"/>
      <c r="K2972" s="1"/>
      <c r="L2972" s="1"/>
      <c r="M2972" s="1"/>
      <c r="N2972" s="1"/>
      <c r="O2972" s="1"/>
      <c r="P2972" s="1"/>
      <c r="Q2972" s="1"/>
      <c r="R2972" s="1"/>
      <c r="S2972" s="1"/>
      <c r="T2972" s="1"/>
      <c r="U2972" s="1"/>
      <c r="V2972" s="1"/>
      <c r="W2972" s="1"/>
      <c r="X2972" s="1"/>
      <c r="Y2972" s="1"/>
      <c r="Z2972" s="1"/>
      <c r="AA2972" s="1"/>
      <c r="AB2972" s="1"/>
      <c r="AC2972" s="1"/>
      <c r="AD2972" s="1"/>
      <c r="AE2972" s="1"/>
      <c r="AF2972" s="1"/>
    </row>
    <row r="2973" spans="7:32" x14ac:dyDescent="0.2">
      <c r="G2973" s="2"/>
      <c r="H2973" s="1"/>
      <c r="I2973" s="1"/>
      <c r="J2973" s="1"/>
      <c r="K2973" s="1"/>
      <c r="L2973" s="1"/>
      <c r="M2973" s="1"/>
      <c r="N2973" s="1"/>
      <c r="O2973" s="1"/>
      <c r="P2973" s="1"/>
      <c r="Q2973" s="1"/>
      <c r="R2973" s="1"/>
      <c r="S2973" s="1"/>
      <c r="T2973" s="1"/>
      <c r="U2973" s="1"/>
      <c r="V2973" s="1"/>
      <c r="W2973" s="1"/>
      <c r="X2973" s="1"/>
      <c r="Y2973" s="1"/>
      <c r="Z2973" s="1"/>
      <c r="AA2973" s="1"/>
      <c r="AB2973" s="1"/>
      <c r="AC2973" s="1"/>
      <c r="AD2973" s="1"/>
      <c r="AE2973" s="1"/>
      <c r="AF2973" s="1"/>
    </row>
    <row r="2974" spans="7:32" x14ac:dyDescent="0.2">
      <c r="G2974" s="2"/>
      <c r="H2974" s="1"/>
      <c r="I2974" s="1"/>
      <c r="J2974" s="1"/>
      <c r="K2974" s="1"/>
      <c r="L2974" s="1"/>
      <c r="M2974" s="1"/>
      <c r="N2974" s="1"/>
      <c r="O2974" s="1"/>
      <c r="P2974" s="1"/>
      <c r="Q2974" s="1"/>
      <c r="R2974" s="1"/>
      <c r="S2974" s="1"/>
      <c r="T2974" s="1"/>
      <c r="U2974" s="1"/>
      <c r="V2974" s="1"/>
      <c r="W2974" s="1"/>
      <c r="X2974" s="1"/>
      <c r="Y2974" s="1"/>
      <c r="Z2974" s="1"/>
      <c r="AA2974" s="1"/>
      <c r="AB2974" s="1"/>
      <c r="AC2974" s="1"/>
      <c r="AD2974" s="1"/>
      <c r="AE2974" s="1"/>
      <c r="AF2974" s="1"/>
    </row>
    <row r="2975" spans="7:32" x14ac:dyDescent="0.2">
      <c r="G2975" s="2"/>
      <c r="H2975" s="1"/>
      <c r="I2975" s="1"/>
      <c r="J2975" s="1"/>
      <c r="K2975" s="1"/>
      <c r="L2975" s="1"/>
      <c r="M2975" s="1"/>
      <c r="N2975" s="1"/>
      <c r="O2975" s="1"/>
      <c r="P2975" s="1"/>
      <c r="Q2975" s="1"/>
      <c r="R2975" s="1"/>
      <c r="S2975" s="1"/>
      <c r="T2975" s="1"/>
      <c r="U2975" s="1"/>
      <c r="V2975" s="1"/>
      <c r="W2975" s="1"/>
      <c r="X2975" s="1"/>
      <c r="Y2975" s="1"/>
      <c r="Z2975" s="1"/>
      <c r="AA2975" s="1"/>
      <c r="AB2975" s="1"/>
      <c r="AC2975" s="1"/>
      <c r="AD2975" s="1"/>
      <c r="AE2975" s="1"/>
      <c r="AF2975" s="1"/>
    </row>
    <row r="2976" spans="7:32" x14ac:dyDescent="0.2">
      <c r="G2976" s="2"/>
      <c r="H2976" s="1"/>
      <c r="I2976" s="1"/>
      <c r="J2976" s="1"/>
      <c r="K2976" s="1"/>
      <c r="L2976" s="1"/>
      <c r="M2976" s="1"/>
      <c r="N2976" s="1"/>
      <c r="O2976" s="1"/>
      <c r="P2976" s="1"/>
      <c r="Q2976" s="1"/>
      <c r="R2976" s="1"/>
      <c r="S2976" s="1"/>
      <c r="T2976" s="1"/>
      <c r="U2976" s="1"/>
      <c r="V2976" s="1"/>
      <c r="W2976" s="1"/>
      <c r="X2976" s="1"/>
      <c r="Y2976" s="1"/>
      <c r="Z2976" s="1"/>
      <c r="AA2976" s="1"/>
      <c r="AB2976" s="1"/>
      <c r="AC2976" s="1"/>
      <c r="AD2976" s="1"/>
      <c r="AE2976" s="1"/>
      <c r="AF2976" s="1"/>
    </row>
    <row r="2977" spans="7:32" x14ac:dyDescent="0.2">
      <c r="G2977" s="2"/>
      <c r="H2977" s="1"/>
      <c r="I2977" s="1"/>
      <c r="J2977" s="1"/>
      <c r="K2977" s="1"/>
      <c r="L2977" s="1"/>
      <c r="M2977" s="1"/>
      <c r="N2977" s="1"/>
      <c r="O2977" s="1"/>
      <c r="P2977" s="1"/>
      <c r="Q2977" s="1"/>
      <c r="R2977" s="1"/>
      <c r="S2977" s="1"/>
      <c r="T2977" s="1"/>
      <c r="U2977" s="1"/>
      <c r="V2977" s="1"/>
      <c r="W2977" s="1"/>
      <c r="X2977" s="1"/>
      <c r="Y2977" s="1"/>
      <c r="Z2977" s="1"/>
      <c r="AA2977" s="1"/>
      <c r="AB2977" s="1"/>
      <c r="AC2977" s="1"/>
      <c r="AD2977" s="1"/>
      <c r="AE2977" s="1"/>
      <c r="AF2977" s="1"/>
    </row>
    <row r="2978" spans="7:32" x14ac:dyDescent="0.2">
      <c r="G2978" s="2"/>
      <c r="H2978" s="1"/>
      <c r="I2978" s="1"/>
      <c r="J2978" s="1"/>
      <c r="K2978" s="1"/>
      <c r="L2978" s="1"/>
      <c r="M2978" s="1"/>
      <c r="N2978" s="1"/>
      <c r="O2978" s="1"/>
      <c r="P2978" s="1"/>
      <c r="Q2978" s="1"/>
      <c r="R2978" s="1"/>
      <c r="S2978" s="1"/>
      <c r="T2978" s="1"/>
      <c r="U2978" s="1"/>
      <c r="V2978" s="1"/>
      <c r="W2978" s="1"/>
      <c r="X2978" s="1"/>
      <c r="Y2978" s="1"/>
      <c r="Z2978" s="1"/>
      <c r="AA2978" s="1"/>
      <c r="AB2978" s="1"/>
      <c r="AC2978" s="1"/>
      <c r="AD2978" s="1"/>
      <c r="AE2978" s="1"/>
      <c r="AF2978" s="1"/>
    </row>
    <row r="2979" spans="7:32" x14ac:dyDescent="0.2">
      <c r="G2979" s="2"/>
      <c r="H2979" s="1"/>
      <c r="I2979" s="1"/>
      <c r="J2979" s="1"/>
      <c r="K2979" s="1"/>
      <c r="L2979" s="1"/>
      <c r="M2979" s="1"/>
      <c r="N2979" s="1"/>
      <c r="O2979" s="1"/>
      <c r="P2979" s="1"/>
      <c r="Q2979" s="1"/>
      <c r="R2979" s="1"/>
      <c r="S2979" s="1"/>
      <c r="T2979" s="1"/>
      <c r="U2979" s="1"/>
      <c r="V2979" s="1"/>
      <c r="W2979" s="1"/>
      <c r="X2979" s="1"/>
      <c r="Y2979" s="1"/>
      <c r="Z2979" s="1"/>
      <c r="AA2979" s="1"/>
      <c r="AB2979" s="1"/>
      <c r="AC2979" s="1"/>
      <c r="AD2979" s="1"/>
      <c r="AE2979" s="1"/>
      <c r="AF2979" s="1"/>
    </row>
    <row r="2980" spans="7:32" x14ac:dyDescent="0.2">
      <c r="G2980" s="2"/>
      <c r="H2980" s="1"/>
      <c r="I2980" s="1"/>
      <c r="J2980" s="1"/>
      <c r="K2980" s="1"/>
      <c r="L2980" s="1"/>
      <c r="M2980" s="1"/>
      <c r="N2980" s="1"/>
      <c r="O2980" s="1"/>
      <c r="P2980" s="1"/>
      <c r="Q2980" s="1"/>
      <c r="R2980" s="1"/>
      <c r="S2980" s="1"/>
      <c r="T2980" s="1"/>
      <c r="U2980" s="1"/>
      <c r="V2980" s="1"/>
      <c r="W2980" s="1"/>
      <c r="X2980" s="1"/>
      <c r="Y2980" s="1"/>
      <c r="Z2980" s="1"/>
      <c r="AA2980" s="1"/>
      <c r="AB2980" s="1"/>
      <c r="AC2980" s="1"/>
      <c r="AD2980" s="1"/>
      <c r="AE2980" s="1"/>
      <c r="AF2980" s="1"/>
    </row>
    <row r="2981" spans="7:32" x14ac:dyDescent="0.2">
      <c r="G2981" s="2"/>
      <c r="H2981" s="1"/>
      <c r="I2981" s="1"/>
      <c r="J2981" s="1"/>
      <c r="K2981" s="1"/>
      <c r="L2981" s="1"/>
      <c r="M2981" s="1"/>
      <c r="N2981" s="1"/>
      <c r="O2981" s="1"/>
      <c r="P2981" s="1"/>
      <c r="Q2981" s="1"/>
      <c r="R2981" s="1"/>
      <c r="S2981" s="1"/>
      <c r="T2981" s="1"/>
      <c r="U2981" s="1"/>
      <c r="V2981" s="1"/>
      <c r="W2981" s="1"/>
      <c r="X2981" s="1"/>
      <c r="Y2981" s="1"/>
      <c r="Z2981" s="1"/>
      <c r="AA2981" s="1"/>
      <c r="AB2981" s="1"/>
      <c r="AC2981" s="1"/>
      <c r="AD2981" s="1"/>
      <c r="AE2981" s="1"/>
      <c r="AF2981" s="1"/>
    </row>
    <row r="2982" spans="7:32" x14ac:dyDescent="0.2">
      <c r="G2982" s="2"/>
      <c r="H2982" s="1"/>
      <c r="I2982" s="1"/>
      <c r="J2982" s="1"/>
      <c r="K2982" s="1"/>
      <c r="L2982" s="1"/>
      <c r="M2982" s="1"/>
      <c r="N2982" s="1"/>
      <c r="O2982" s="1"/>
      <c r="P2982" s="1"/>
      <c r="Q2982" s="1"/>
      <c r="R2982" s="1"/>
      <c r="S2982" s="1"/>
      <c r="T2982" s="1"/>
      <c r="U2982" s="1"/>
      <c r="V2982" s="1"/>
      <c r="W2982" s="1"/>
      <c r="X2982" s="1"/>
      <c r="Y2982" s="1"/>
      <c r="Z2982" s="1"/>
      <c r="AA2982" s="1"/>
      <c r="AB2982" s="1"/>
      <c r="AC2982" s="1"/>
      <c r="AD2982" s="1"/>
      <c r="AE2982" s="1"/>
      <c r="AF2982" s="1"/>
    </row>
    <row r="2983" spans="7:32" x14ac:dyDescent="0.2">
      <c r="G2983" s="2"/>
      <c r="H2983" s="1"/>
      <c r="I2983" s="1"/>
      <c r="J2983" s="1"/>
      <c r="K2983" s="1"/>
      <c r="L2983" s="1"/>
      <c r="M2983" s="1"/>
      <c r="N2983" s="1"/>
      <c r="O2983" s="1"/>
      <c r="P2983" s="1"/>
      <c r="Q2983" s="1"/>
      <c r="R2983" s="1"/>
      <c r="S2983" s="1"/>
      <c r="T2983" s="1"/>
      <c r="U2983" s="1"/>
      <c r="V2983" s="1"/>
      <c r="W2983" s="1"/>
      <c r="X2983" s="1"/>
      <c r="Y2983" s="1"/>
      <c r="Z2983" s="1"/>
      <c r="AA2983" s="1"/>
      <c r="AB2983" s="1"/>
      <c r="AC2983" s="1"/>
      <c r="AD2983" s="1"/>
      <c r="AE2983" s="1"/>
      <c r="AF2983" s="1"/>
    </row>
    <row r="2984" spans="7:32" x14ac:dyDescent="0.2">
      <c r="G2984" s="2"/>
      <c r="H2984" s="1"/>
      <c r="I2984" s="1"/>
      <c r="J2984" s="1"/>
      <c r="K2984" s="1"/>
      <c r="L2984" s="1"/>
      <c r="M2984" s="1"/>
      <c r="N2984" s="1"/>
      <c r="O2984" s="1"/>
      <c r="P2984" s="1"/>
      <c r="Q2984" s="1"/>
      <c r="R2984" s="1"/>
      <c r="S2984" s="1"/>
      <c r="T2984" s="1"/>
      <c r="U2984" s="1"/>
      <c r="V2984" s="1"/>
      <c r="W2984" s="1"/>
      <c r="X2984" s="1"/>
      <c r="Y2984" s="1"/>
      <c r="Z2984" s="1"/>
      <c r="AA2984" s="1"/>
      <c r="AB2984" s="1"/>
      <c r="AC2984" s="1"/>
      <c r="AD2984" s="1"/>
      <c r="AE2984" s="1"/>
      <c r="AF2984" s="1"/>
    </row>
    <row r="2985" spans="7:32" x14ac:dyDescent="0.2">
      <c r="G2985" s="2"/>
      <c r="H2985" s="1"/>
      <c r="I2985" s="1"/>
      <c r="J2985" s="1"/>
      <c r="K2985" s="1"/>
      <c r="L2985" s="1"/>
      <c r="M2985" s="1"/>
      <c r="N2985" s="1"/>
      <c r="O2985" s="1"/>
      <c r="P2985" s="1"/>
      <c r="Q2985" s="1"/>
      <c r="R2985" s="1"/>
      <c r="S2985" s="1"/>
      <c r="T2985" s="1"/>
      <c r="U2985" s="1"/>
      <c r="V2985" s="1"/>
      <c r="W2985" s="1"/>
      <c r="X2985" s="1"/>
      <c r="Y2985" s="1"/>
      <c r="Z2985" s="1"/>
      <c r="AA2985" s="1"/>
      <c r="AB2985" s="1"/>
      <c r="AC2985" s="1"/>
      <c r="AD2985" s="1"/>
      <c r="AE2985" s="1"/>
      <c r="AF2985" s="1"/>
    </row>
    <row r="2986" spans="7:32" x14ac:dyDescent="0.2">
      <c r="G2986" s="2"/>
      <c r="H2986" s="1"/>
      <c r="I2986" s="1"/>
      <c r="J2986" s="1"/>
      <c r="K2986" s="1"/>
      <c r="L2986" s="1"/>
      <c r="M2986" s="1"/>
      <c r="N2986" s="1"/>
      <c r="O2986" s="1"/>
      <c r="P2986" s="1"/>
      <c r="Q2986" s="1"/>
      <c r="R2986" s="1"/>
      <c r="S2986" s="1"/>
      <c r="T2986" s="1"/>
      <c r="U2986" s="1"/>
      <c r="V2986" s="1"/>
      <c r="W2986" s="1"/>
      <c r="X2986" s="1"/>
      <c r="Y2986" s="1"/>
      <c r="Z2986" s="1"/>
      <c r="AA2986" s="1"/>
      <c r="AB2986" s="1"/>
      <c r="AC2986" s="1"/>
      <c r="AD2986" s="1"/>
      <c r="AE2986" s="1"/>
      <c r="AF2986" s="1"/>
    </row>
    <row r="2987" spans="7:32" x14ac:dyDescent="0.2">
      <c r="G2987" s="2"/>
      <c r="H2987" s="1"/>
      <c r="I2987" s="1"/>
      <c r="J2987" s="1"/>
      <c r="K2987" s="1"/>
      <c r="L2987" s="1"/>
      <c r="M2987" s="1"/>
      <c r="N2987" s="1"/>
      <c r="O2987" s="1"/>
      <c r="P2987" s="1"/>
      <c r="Q2987" s="1"/>
      <c r="R2987" s="1"/>
      <c r="S2987" s="1"/>
      <c r="T2987" s="1"/>
      <c r="U2987" s="1"/>
      <c r="V2987" s="1"/>
      <c r="W2987" s="1"/>
      <c r="X2987" s="1"/>
      <c r="Y2987" s="1"/>
      <c r="Z2987" s="1"/>
      <c r="AA2987" s="1"/>
      <c r="AB2987" s="1"/>
      <c r="AC2987" s="1"/>
      <c r="AD2987" s="1"/>
      <c r="AE2987" s="1"/>
      <c r="AF2987" s="1"/>
    </row>
    <row r="2988" spans="7:32" x14ac:dyDescent="0.2">
      <c r="G2988" s="2"/>
      <c r="H2988" s="1"/>
      <c r="I2988" s="1"/>
      <c r="J2988" s="1"/>
      <c r="K2988" s="1"/>
      <c r="L2988" s="1"/>
      <c r="M2988" s="1"/>
      <c r="N2988" s="1"/>
      <c r="O2988" s="1"/>
      <c r="P2988" s="1"/>
      <c r="Q2988" s="1"/>
      <c r="R2988" s="1"/>
      <c r="S2988" s="1"/>
      <c r="T2988" s="1"/>
      <c r="U2988" s="1"/>
      <c r="V2988" s="1"/>
      <c r="W2988" s="1"/>
      <c r="X2988" s="1"/>
      <c r="Y2988" s="1"/>
      <c r="Z2988" s="1"/>
      <c r="AA2988" s="1"/>
      <c r="AB2988" s="1"/>
      <c r="AC2988" s="1"/>
      <c r="AD2988" s="1"/>
      <c r="AE2988" s="1"/>
      <c r="AF2988" s="1"/>
    </row>
    <row r="2989" spans="7:32" x14ac:dyDescent="0.2">
      <c r="G2989" s="2"/>
      <c r="H2989" s="1"/>
      <c r="I2989" s="1"/>
      <c r="J2989" s="1"/>
      <c r="K2989" s="1"/>
      <c r="L2989" s="1"/>
      <c r="M2989" s="1"/>
      <c r="N2989" s="1"/>
      <c r="O2989" s="1"/>
      <c r="P2989" s="1"/>
      <c r="Q2989" s="1"/>
      <c r="R2989" s="1"/>
      <c r="S2989" s="1"/>
      <c r="T2989" s="1"/>
      <c r="U2989" s="1"/>
      <c r="V2989" s="1"/>
      <c r="W2989" s="1"/>
      <c r="X2989" s="1"/>
      <c r="Y2989" s="1"/>
      <c r="Z2989" s="1"/>
      <c r="AA2989" s="1"/>
      <c r="AB2989" s="1"/>
      <c r="AC2989" s="1"/>
      <c r="AD2989" s="1"/>
      <c r="AE2989" s="1"/>
      <c r="AF2989" s="1"/>
    </row>
    <row r="2990" spans="7:32" x14ac:dyDescent="0.2">
      <c r="G2990" s="2"/>
      <c r="H2990" s="1"/>
      <c r="I2990" s="1"/>
      <c r="J2990" s="1"/>
      <c r="K2990" s="1"/>
      <c r="L2990" s="1"/>
      <c r="M2990" s="1"/>
      <c r="N2990" s="1"/>
      <c r="O2990" s="1"/>
      <c r="P2990" s="1"/>
      <c r="Q2990" s="1"/>
      <c r="R2990" s="1"/>
      <c r="S2990" s="1"/>
      <c r="T2990" s="1"/>
      <c r="U2990" s="1"/>
      <c r="V2990" s="1"/>
      <c r="W2990" s="1"/>
      <c r="X2990" s="1"/>
      <c r="Y2990" s="1"/>
      <c r="Z2990" s="1"/>
      <c r="AA2990" s="1"/>
      <c r="AB2990" s="1"/>
      <c r="AC2990" s="1"/>
      <c r="AD2990" s="1"/>
      <c r="AE2990" s="1"/>
      <c r="AF2990" s="1"/>
    </row>
    <row r="2991" spans="7:32" x14ac:dyDescent="0.2">
      <c r="G2991" s="2"/>
      <c r="H2991" s="1"/>
      <c r="I2991" s="1"/>
      <c r="J2991" s="1"/>
      <c r="K2991" s="1"/>
      <c r="L2991" s="1"/>
      <c r="M2991" s="1"/>
      <c r="N2991" s="1"/>
      <c r="O2991" s="1"/>
      <c r="P2991" s="1"/>
      <c r="Q2991" s="1"/>
      <c r="R2991" s="1"/>
      <c r="S2991" s="1"/>
      <c r="T2991" s="1"/>
      <c r="U2991" s="1"/>
      <c r="V2991" s="1"/>
      <c r="W2991" s="1"/>
      <c r="X2991" s="1"/>
      <c r="Y2991" s="1"/>
      <c r="Z2991" s="1"/>
      <c r="AA2991" s="1"/>
      <c r="AB2991" s="1"/>
      <c r="AC2991" s="1"/>
      <c r="AD2991" s="1"/>
      <c r="AE2991" s="1"/>
      <c r="AF2991" s="1"/>
    </row>
    <row r="2992" spans="7:32" x14ac:dyDescent="0.2">
      <c r="G2992" s="2"/>
      <c r="H2992" s="1"/>
      <c r="I2992" s="1"/>
      <c r="J2992" s="1"/>
      <c r="K2992" s="1"/>
      <c r="L2992" s="1"/>
      <c r="M2992" s="1"/>
      <c r="N2992" s="1"/>
      <c r="O2992" s="1"/>
      <c r="P2992" s="1"/>
      <c r="Q2992" s="1"/>
      <c r="R2992" s="1"/>
      <c r="S2992" s="1"/>
      <c r="T2992" s="1"/>
      <c r="U2992" s="1"/>
      <c r="V2992" s="1"/>
      <c r="W2992" s="1"/>
      <c r="X2992" s="1"/>
      <c r="Y2992" s="1"/>
      <c r="Z2992" s="1"/>
      <c r="AA2992" s="1"/>
      <c r="AB2992" s="1"/>
      <c r="AC2992" s="1"/>
      <c r="AD2992" s="1"/>
      <c r="AE2992" s="1"/>
      <c r="AF2992" s="1"/>
    </row>
    <row r="2993" spans="7:32" x14ac:dyDescent="0.2">
      <c r="G2993" s="2"/>
      <c r="H2993" s="1"/>
      <c r="I2993" s="1"/>
      <c r="J2993" s="1"/>
      <c r="K2993" s="1"/>
      <c r="L2993" s="1"/>
      <c r="M2993" s="1"/>
      <c r="N2993" s="1"/>
      <c r="O2993" s="1"/>
      <c r="P2993" s="1"/>
      <c r="Q2993" s="1"/>
      <c r="R2993" s="1"/>
      <c r="S2993" s="1"/>
      <c r="T2993" s="1"/>
      <c r="U2993" s="1"/>
      <c r="V2993" s="1"/>
      <c r="W2993" s="1"/>
      <c r="X2993" s="1"/>
      <c r="Y2993" s="1"/>
      <c r="Z2993" s="1"/>
      <c r="AA2993" s="1"/>
      <c r="AB2993" s="1"/>
      <c r="AC2993" s="1"/>
      <c r="AD2993" s="1"/>
      <c r="AE2993" s="1"/>
      <c r="AF2993" s="1"/>
    </row>
    <row r="2994" spans="7:32" x14ac:dyDescent="0.2">
      <c r="G2994" s="2"/>
      <c r="H2994" s="1"/>
      <c r="I2994" s="1"/>
      <c r="J2994" s="1"/>
      <c r="K2994" s="1"/>
      <c r="L2994" s="1"/>
      <c r="M2994" s="1"/>
      <c r="N2994" s="1"/>
      <c r="O2994" s="1"/>
      <c r="P2994" s="1"/>
      <c r="Q2994" s="1"/>
      <c r="R2994" s="1"/>
      <c r="S2994" s="1"/>
      <c r="T2994" s="1"/>
      <c r="U2994" s="1"/>
      <c r="V2994" s="1"/>
      <c r="W2994" s="1"/>
      <c r="X2994" s="1"/>
      <c r="Y2994" s="1"/>
      <c r="Z2994" s="1"/>
      <c r="AA2994" s="1"/>
      <c r="AB2994" s="1"/>
      <c r="AC2994" s="1"/>
      <c r="AD2994" s="1"/>
      <c r="AE2994" s="1"/>
      <c r="AF2994" s="1"/>
    </row>
    <row r="2995" spans="7:32" x14ac:dyDescent="0.2">
      <c r="G2995" s="2"/>
      <c r="H2995" s="1"/>
      <c r="I2995" s="1"/>
      <c r="J2995" s="1"/>
      <c r="K2995" s="1"/>
      <c r="L2995" s="1"/>
      <c r="M2995" s="1"/>
      <c r="N2995" s="1"/>
      <c r="O2995" s="1"/>
      <c r="P2995" s="1"/>
      <c r="Q2995" s="1"/>
      <c r="R2995" s="1"/>
      <c r="S2995" s="1"/>
      <c r="T2995" s="1"/>
      <c r="U2995" s="1"/>
      <c r="V2995" s="1"/>
      <c r="W2995" s="1"/>
      <c r="X2995" s="1"/>
      <c r="Y2995" s="1"/>
      <c r="Z2995" s="1"/>
      <c r="AA2995" s="1"/>
      <c r="AB2995" s="1"/>
      <c r="AC2995" s="1"/>
      <c r="AD2995" s="1"/>
      <c r="AE2995" s="1"/>
      <c r="AF2995" s="1"/>
    </row>
    <row r="2996" spans="7:32" x14ac:dyDescent="0.2">
      <c r="G2996" s="2"/>
      <c r="H2996" s="1"/>
      <c r="I2996" s="1"/>
      <c r="J2996" s="1"/>
      <c r="K2996" s="1"/>
      <c r="L2996" s="1"/>
      <c r="M2996" s="1"/>
      <c r="N2996" s="1"/>
      <c r="O2996" s="1"/>
      <c r="P2996" s="1"/>
      <c r="Q2996" s="1"/>
      <c r="R2996" s="1"/>
      <c r="S2996" s="1"/>
      <c r="T2996" s="1"/>
      <c r="U2996" s="1"/>
      <c r="V2996" s="1"/>
      <c r="W2996" s="1"/>
      <c r="X2996" s="1"/>
      <c r="Y2996" s="1"/>
      <c r="Z2996" s="1"/>
      <c r="AA2996" s="1"/>
      <c r="AB2996" s="1"/>
      <c r="AC2996" s="1"/>
      <c r="AD2996" s="1"/>
      <c r="AE2996" s="1"/>
      <c r="AF2996" s="1"/>
    </row>
    <row r="2997" spans="7:32" x14ac:dyDescent="0.2">
      <c r="G2997" s="2"/>
      <c r="H2997" s="1"/>
      <c r="I2997" s="1"/>
      <c r="J2997" s="1"/>
      <c r="K2997" s="1"/>
      <c r="L2997" s="1"/>
      <c r="M2997" s="1"/>
      <c r="N2997" s="1"/>
      <c r="O2997" s="1"/>
      <c r="P2997" s="1"/>
      <c r="Q2997" s="1"/>
      <c r="R2997" s="1"/>
      <c r="S2997" s="1"/>
      <c r="T2997" s="1"/>
      <c r="U2997" s="1"/>
      <c r="V2997" s="1"/>
      <c r="W2997" s="1"/>
      <c r="X2997" s="1"/>
      <c r="Y2997" s="1"/>
      <c r="Z2997" s="1"/>
      <c r="AA2997" s="1"/>
      <c r="AB2997" s="1"/>
      <c r="AC2997" s="1"/>
      <c r="AD2997" s="1"/>
      <c r="AE2997" s="1"/>
      <c r="AF299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7BB0A-2CCC-0D41-AE44-3A8863C90326}">
  <sheetPr codeName="Sheet4">
    <tabColor theme="7"/>
  </sheetPr>
  <dimension ref="A1:S30"/>
  <sheetViews>
    <sheetView tabSelected="1" zoomScale="315" zoomScaleNormal="315" workbookViewId="0">
      <pane ySplit="1" topLeftCell="A2" activePane="bottomLeft" state="frozen"/>
      <selection pane="bottomLeft" activeCell="E4" sqref="E4"/>
    </sheetView>
  </sheetViews>
  <sheetFormatPr baseColWidth="10" defaultRowHeight="12" x14ac:dyDescent="0.15"/>
  <cols>
    <col min="1" max="1" width="7" style="18" customWidth="1"/>
    <col min="2" max="2" width="13" style="3" customWidth="1"/>
    <col min="3" max="3" width="7.1640625" style="51" customWidth="1"/>
    <col min="4" max="4" width="7.83203125" style="4" customWidth="1"/>
    <col min="5" max="6" width="7.83203125" style="51" customWidth="1"/>
    <col min="7" max="7" width="10.6640625" style="19" customWidth="1"/>
    <col min="8" max="8" width="7.33203125" style="3" customWidth="1"/>
    <col min="9" max="9" width="9.1640625" style="19" customWidth="1"/>
    <col min="10" max="10" width="9.33203125" style="4" customWidth="1"/>
    <col min="11" max="11" width="5.6640625" style="4" customWidth="1"/>
    <col min="12" max="17" width="6.1640625" style="3" customWidth="1"/>
    <col min="18" max="16384" width="10.83203125" style="3"/>
  </cols>
  <sheetData>
    <row r="1" spans="1:19" s="18" customFormat="1" ht="13" thickBot="1" x14ac:dyDescent="0.2">
      <c r="A1" s="5" t="s">
        <v>1518</v>
      </c>
      <c r="B1" s="5" t="s">
        <v>1519</v>
      </c>
      <c r="C1" s="54" t="s">
        <v>1520</v>
      </c>
      <c r="D1" s="53" t="s">
        <v>1521</v>
      </c>
      <c r="E1" s="54" t="s">
        <v>1522</v>
      </c>
      <c r="F1" s="54" t="s">
        <v>1523</v>
      </c>
      <c r="G1" s="6" t="s">
        <v>1524</v>
      </c>
      <c r="H1" s="5" t="s">
        <v>1525</v>
      </c>
      <c r="I1" s="6" t="s">
        <v>1526</v>
      </c>
      <c r="J1" s="53" t="s">
        <v>1528</v>
      </c>
      <c r="K1" s="53" t="s">
        <v>1529</v>
      </c>
      <c r="L1" s="9">
        <v>20</v>
      </c>
      <c r="M1" s="9" t="s">
        <v>1530</v>
      </c>
      <c r="N1" s="7">
        <v>15</v>
      </c>
      <c r="O1" s="7" t="s">
        <v>1530</v>
      </c>
      <c r="P1" s="8">
        <v>9</v>
      </c>
      <c r="Q1" s="8" t="s">
        <v>1530</v>
      </c>
      <c r="S1" s="22"/>
    </row>
    <row r="2" spans="1:19" x14ac:dyDescent="0.15">
      <c r="A2" s="10" t="s">
        <v>1527</v>
      </c>
      <c r="B2" s="43" t="s">
        <v>627</v>
      </c>
      <c r="C2" s="49">
        <v>1501</v>
      </c>
      <c r="D2" s="46">
        <v>75</v>
      </c>
      <c r="E2" s="49">
        <v>1450</v>
      </c>
      <c r="F2" s="49"/>
      <c r="G2" s="12" t="str">
        <f>IF(OR(E2="",F2=""), "", (F2/E2-1))</f>
        <v/>
      </c>
      <c r="H2" s="13">
        <v>0.75</v>
      </c>
      <c r="I2" s="12" t="str">
        <f>IF(G2&gt;=0, "", IF(OR(G2="", H2=""), "", (100/(G2*100)/100)*H2*1*-1))</f>
        <v/>
      </c>
      <c r="J2" s="55" t="str">
        <f t="shared" ref="J2:J19" si="0">IF(AND(I2&lt;&gt;"", I2&gt;0), 100000*$L$1*I2*G2, IF(AND(G2&lt;&gt;"", G2&gt;0), 100000*$L$1*G2, ""))</f>
        <v/>
      </c>
      <c r="K2" s="56" t="str">
        <f>IF(OR(E2="", F2=""), "", F2-E2)</f>
        <v/>
      </c>
      <c r="L2" s="14">
        <f>IFERROR(IF(AND(D2="",E2&lt;&gt;""), IF(I2="", "", $L$1*100000*I2), IF(AND(D2="", E2=""), "", D2*E2)), "")</f>
        <v>108750</v>
      </c>
      <c r="M2" s="14">
        <f>IFERROR(IF(L2="", "", ROUNDDOWN(L2/E2,0)), "")</f>
        <v>75</v>
      </c>
      <c r="N2" s="15">
        <f>IFERROR(IF(AND(D2="",E2&lt;&gt;""), IF(I2="", "", $N$1*100000*I2), IF(AND(D2="", E2=""), "", D2*E2)), "")</f>
        <v>108750</v>
      </c>
      <c r="O2" s="15">
        <f>IFERROR(IF(N2="", "", ROUNDDOWN(N2/E2,0)), "")</f>
        <v>75</v>
      </c>
      <c r="P2" s="16">
        <f>IFERROR(IF(AND(D2="",E2&lt;&gt;""), IF(I2="", "", $P$1*100000*I2), IF(AND(D2="", E2=""), "", D2*E2)), "")</f>
        <v>108750</v>
      </c>
      <c r="Q2" s="16">
        <f>IFERROR(IF(P2="", "", ROUNDDOWN(P2/E2,0)), "")</f>
        <v>75</v>
      </c>
      <c r="S2" s="4"/>
    </row>
    <row r="3" spans="1:19" x14ac:dyDescent="0.15">
      <c r="A3" s="10" t="s">
        <v>1527</v>
      </c>
      <c r="B3" s="43" t="s">
        <v>1351</v>
      </c>
      <c r="C3" s="49">
        <v>3041</v>
      </c>
      <c r="D3" s="47">
        <v>120</v>
      </c>
      <c r="E3" s="49">
        <v>2800</v>
      </c>
      <c r="F3" s="49"/>
      <c r="G3" s="12" t="str">
        <f t="shared" ref="G3:G6" si="1">IF(OR(E3="",F3=""), "", (F3/E3-1))</f>
        <v/>
      </c>
      <c r="H3" s="13"/>
      <c r="I3" s="12" t="str">
        <f t="shared" ref="I3:I19" si="2">IF(G3&gt;=0, "", IF(OR(G3="", H3=""), "", (100/(G3*100)/100)*H3*1*-1))</f>
        <v/>
      </c>
      <c r="J3" s="57" t="str">
        <f t="shared" si="0"/>
        <v/>
      </c>
      <c r="K3" s="58" t="str">
        <f t="shared" ref="K3:K19" si="3">IF(OR(E3="", F3=""), "", F3-E3)</f>
        <v/>
      </c>
      <c r="L3" s="14">
        <f t="shared" ref="L3:L19" si="4">IFERROR(IF(AND(D3="",E3&lt;&gt;""), IF(I3="", "", $L$1*100000*I3), IF(AND(D3="", E3=""), "", D3*E3)), "")</f>
        <v>336000</v>
      </c>
      <c r="M3" s="14">
        <f t="shared" ref="M3:M19" si="5">IFERROR(IF(L3="", "", ROUNDDOWN(L3/E3,0)), "")</f>
        <v>120</v>
      </c>
      <c r="N3" s="15">
        <f t="shared" ref="N3:N19" si="6">IFERROR(IF(AND(D3="",E3&lt;&gt;""), IF(I3="", "", $N$1*100000*I3), IF(AND(D3="", E3=""), "", D3*E3)), "")</f>
        <v>336000</v>
      </c>
      <c r="O3" s="15">
        <f t="shared" ref="O3:O19" si="7">IFERROR(IF(N3="", "", ROUNDDOWN(N3/E3,0)), "")</f>
        <v>120</v>
      </c>
      <c r="P3" s="16">
        <f t="shared" ref="P3:P19" si="8">IFERROR(IF(AND(D3="",E3&lt;&gt;""), IF(I3="", "", $P$1*100000*I3), IF(AND(D3="", E3=""), "", D3*E3)), "")</f>
        <v>336000</v>
      </c>
      <c r="Q3" s="16">
        <f t="shared" ref="Q3:Q19" si="9">IFERROR(IF(P3="", "", ROUNDDOWN(P3/E3,0)), "")</f>
        <v>120</v>
      </c>
      <c r="S3" s="4"/>
    </row>
    <row r="4" spans="1:19" x14ac:dyDescent="0.15">
      <c r="A4" s="10" t="s">
        <v>1527</v>
      </c>
      <c r="B4" s="43"/>
      <c r="C4" s="49"/>
      <c r="D4" s="46"/>
      <c r="E4" s="49"/>
      <c r="F4" s="49"/>
      <c r="G4" s="12" t="str">
        <f t="shared" si="1"/>
        <v/>
      </c>
      <c r="H4" s="13"/>
      <c r="I4" s="12" t="str">
        <f t="shared" si="2"/>
        <v/>
      </c>
      <c r="J4" s="57" t="str">
        <f t="shared" si="0"/>
        <v/>
      </c>
      <c r="K4" s="58" t="str">
        <f t="shared" si="3"/>
        <v/>
      </c>
      <c r="L4" s="14" t="str">
        <f t="shared" si="4"/>
        <v/>
      </c>
      <c r="M4" s="14" t="str">
        <f t="shared" si="5"/>
        <v/>
      </c>
      <c r="N4" s="15" t="str">
        <f t="shared" si="6"/>
        <v/>
      </c>
      <c r="O4" s="15" t="str">
        <f t="shared" si="7"/>
        <v/>
      </c>
      <c r="P4" s="16" t="str">
        <f t="shared" si="8"/>
        <v/>
      </c>
      <c r="Q4" s="16" t="str">
        <f t="shared" si="9"/>
        <v/>
      </c>
      <c r="S4" s="4"/>
    </row>
    <row r="5" spans="1:19" x14ac:dyDescent="0.15">
      <c r="A5" s="10" t="s">
        <v>1527</v>
      </c>
      <c r="B5" s="43"/>
      <c r="C5" s="49"/>
      <c r="D5" s="46"/>
      <c r="E5" s="49"/>
      <c r="F5" s="49"/>
      <c r="G5" s="12" t="str">
        <f t="shared" si="1"/>
        <v/>
      </c>
      <c r="H5" s="13"/>
      <c r="I5" s="12" t="str">
        <f t="shared" si="2"/>
        <v/>
      </c>
      <c r="J5" s="57" t="str">
        <f t="shared" si="0"/>
        <v/>
      </c>
      <c r="K5" s="58" t="str">
        <f t="shared" si="3"/>
        <v/>
      </c>
      <c r="L5" s="14" t="str">
        <f t="shared" si="4"/>
        <v/>
      </c>
      <c r="M5" s="14" t="str">
        <f t="shared" si="5"/>
        <v/>
      </c>
      <c r="N5" s="15" t="str">
        <f t="shared" si="6"/>
        <v/>
      </c>
      <c r="O5" s="15" t="str">
        <f t="shared" si="7"/>
        <v/>
      </c>
      <c r="P5" s="16" t="str">
        <f t="shared" si="8"/>
        <v/>
      </c>
      <c r="Q5" s="16" t="str">
        <f t="shared" si="9"/>
        <v/>
      </c>
      <c r="S5" s="4"/>
    </row>
    <row r="6" spans="1:19" x14ac:dyDescent="0.15">
      <c r="A6" s="10" t="s">
        <v>1527</v>
      </c>
      <c r="B6" s="43"/>
      <c r="C6" s="49"/>
      <c r="D6" s="46"/>
      <c r="E6" s="49"/>
      <c r="F6" s="49"/>
      <c r="G6" s="12" t="str">
        <f t="shared" si="1"/>
        <v/>
      </c>
      <c r="H6" s="13"/>
      <c r="I6" s="12" t="str">
        <f t="shared" si="2"/>
        <v/>
      </c>
      <c r="J6" s="57" t="str">
        <f t="shared" si="0"/>
        <v/>
      </c>
      <c r="K6" s="58" t="str">
        <f t="shared" si="3"/>
        <v/>
      </c>
      <c r="L6" s="14" t="str">
        <f t="shared" si="4"/>
        <v/>
      </c>
      <c r="M6" s="14" t="str">
        <f t="shared" si="5"/>
        <v/>
      </c>
      <c r="N6" s="15" t="str">
        <f t="shared" si="6"/>
        <v/>
      </c>
      <c r="O6" s="15" t="str">
        <f t="shared" si="7"/>
        <v/>
      </c>
      <c r="P6" s="16" t="str">
        <f t="shared" si="8"/>
        <v/>
      </c>
      <c r="Q6" s="16" t="str">
        <f t="shared" si="9"/>
        <v/>
      </c>
      <c r="S6" s="4"/>
    </row>
    <row r="7" spans="1:19" x14ac:dyDescent="0.15">
      <c r="A7" s="10" t="s">
        <v>1527</v>
      </c>
      <c r="B7" s="43"/>
      <c r="C7" s="49"/>
      <c r="D7" s="46"/>
      <c r="E7" s="49"/>
      <c r="F7" s="49"/>
      <c r="G7" s="17" t="str">
        <f t="shared" ref="G7:G19" si="10">IF(OR(E7="",F7=""), "", (F7/E7-1))</f>
        <v/>
      </c>
      <c r="H7" s="13"/>
      <c r="I7" s="12" t="str">
        <f t="shared" si="2"/>
        <v/>
      </c>
      <c r="J7" s="57" t="str">
        <f t="shared" si="0"/>
        <v/>
      </c>
      <c r="K7" s="58" t="str">
        <f t="shared" si="3"/>
        <v/>
      </c>
      <c r="L7" s="14" t="str">
        <f t="shared" si="4"/>
        <v/>
      </c>
      <c r="M7" s="14" t="str">
        <f t="shared" si="5"/>
        <v/>
      </c>
      <c r="N7" s="15" t="str">
        <f t="shared" si="6"/>
        <v/>
      </c>
      <c r="O7" s="15" t="str">
        <f t="shared" si="7"/>
        <v/>
      </c>
      <c r="P7" s="16" t="str">
        <f t="shared" si="8"/>
        <v/>
      </c>
      <c r="Q7" s="16" t="str">
        <f t="shared" si="9"/>
        <v/>
      </c>
      <c r="S7" s="4"/>
    </row>
    <row r="8" spans="1:19" x14ac:dyDescent="0.15">
      <c r="A8" s="10" t="s">
        <v>1527</v>
      </c>
      <c r="B8" s="43"/>
      <c r="C8" s="49"/>
      <c r="D8" s="46"/>
      <c r="E8" s="49"/>
      <c r="F8" s="49"/>
      <c r="G8" s="17" t="str">
        <f t="shared" si="10"/>
        <v/>
      </c>
      <c r="H8" s="13"/>
      <c r="I8" s="12" t="str">
        <f t="shared" si="2"/>
        <v/>
      </c>
      <c r="J8" s="57" t="str">
        <f t="shared" si="0"/>
        <v/>
      </c>
      <c r="K8" s="58" t="str">
        <f t="shared" si="3"/>
        <v/>
      </c>
      <c r="L8" s="14" t="str">
        <f t="shared" si="4"/>
        <v/>
      </c>
      <c r="M8" s="14" t="str">
        <f t="shared" si="5"/>
        <v/>
      </c>
      <c r="N8" s="15" t="str">
        <f t="shared" si="6"/>
        <v/>
      </c>
      <c r="O8" s="15" t="str">
        <f t="shared" si="7"/>
        <v/>
      </c>
      <c r="P8" s="16" t="str">
        <f t="shared" si="8"/>
        <v/>
      </c>
      <c r="Q8" s="16" t="str">
        <f t="shared" si="9"/>
        <v/>
      </c>
    </row>
    <row r="9" spans="1:19" x14ac:dyDescent="0.15">
      <c r="A9" s="10" t="s">
        <v>1527</v>
      </c>
      <c r="B9" s="43"/>
      <c r="C9" s="49"/>
      <c r="D9" s="47"/>
      <c r="E9" s="50"/>
      <c r="F9" s="50"/>
      <c r="G9" s="17" t="str">
        <f t="shared" si="10"/>
        <v/>
      </c>
      <c r="H9" s="13"/>
      <c r="I9" s="12" t="str">
        <f t="shared" si="2"/>
        <v/>
      </c>
      <c r="J9" s="57" t="str">
        <f t="shared" si="0"/>
        <v/>
      </c>
      <c r="K9" s="58" t="str">
        <f t="shared" si="3"/>
        <v/>
      </c>
      <c r="L9" s="14" t="str">
        <f t="shared" si="4"/>
        <v/>
      </c>
      <c r="M9" s="14" t="str">
        <f t="shared" si="5"/>
        <v/>
      </c>
      <c r="N9" s="15" t="str">
        <f t="shared" si="6"/>
        <v/>
      </c>
      <c r="O9" s="15" t="str">
        <f t="shared" si="7"/>
        <v/>
      </c>
      <c r="P9" s="16" t="str">
        <f t="shared" si="8"/>
        <v/>
      </c>
      <c r="Q9" s="16" t="str">
        <f t="shared" si="9"/>
        <v/>
      </c>
    </row>
    <row r="10" spans="1:19" x14ac:dyDescent="0.15">
      <c r="A10" s="10" t="s">
        <v>1527</v>
      </c>
      <c r="B10" s="43"/>
      <c r="C10" s="49"/>
      <c r="D10" s="47"/>
      <c r="E10" s="50"/>
      <c r="F10" s="50"/>
      <c r="G10" s="17" t="str">
        <f t="shared" si="10"/>
        <v/>
      </c>
      <c r="H10" s="13"/>
      <c r="I10" s="12" t="str">
        <f t="shared" si="2"/>
        <v/>
      </c>
      <c r="J10" s="57" t="str">
        <f t="shared" si="0"/>
        <v/>
      </c>
      <c r="K10" s="58" t="str">
        <f t="shared" si="3"/>
        <v/>
      </c>
      <c r="L10" s="14" t="str">
        <f t="shared" si="4"/>
        <v/>
      </c>
      <c r="M10" s="14" t="str">
        <f t="shared" si="5"/>
        <v/>
      </c>
      <c r="N10" s="15" t="str">
        <f t="shared" si="6"/>
        <v/>
      </c>
      <c r="O10" s="15" t="str">
        <f t="shared" si="7"/>
        <v/>
      </c>
      <c r="P10" s="16" t="str">
        <f t="shared" si="8"/>
        <v/>
      </c>
      <c r="Q10" s="16" t="str">
        <f t="shared" si="9"/>
        <v/>
      </c>
    </row>
    <row r="11" spans="1:19" x14ac:dyDescent="0.15">
      <c r="A11" s="10" t="s">
        <v>1527</v>
      </c>
      <c r="B11" s="43"/>
      <c r="C11" s="49"/>
      <c r="D11" s="47"/>
      <c r="E11" s="50"/>
      <c r="F11" s="50"/>
      <c r="G11" s="17" t="str">
        <f t="shared" si="10"/>
        <v/>
      </c>
      <c r="H11" s="13"/>
      <c r="I11" s="12" t="str">
        <f t="shared" si="2"/>
        <v/>
      </c>
      <c r="J11" s="57" t="str">
        <f t="shared" si="0"/>
        <v/>
      </c>
      <c r="K11" s="58" t="str">
        <f t="shared" si="3"/>
        <v/>
      </c>
      <c r="L11" s="14" t="str">
        <f t="shared" si="4"/>
        <v/>
      </c>
      <c r="M11" s="14" t="str">
        <f t="shared" si="5"/>
        <v/>
      </c>
      <c r="N11" s="15" t="str">
        <f t="shared" si="6"/>
        <v/>
      </c>
      <c r="O11" s="15" t="str">
        <f t="shared" si="7"/>
        <v/>
      </c>
      <c r="P11" s="16" t="str">
        <f t="shared" si="8"/>
        <v/>
      </c>
      <c r="Q11" s="16" t="str">
        <f t="shared" si="9"/>
        <v/>
      </c>
    </row>
    <row r="12" spans="1:19" x14ac:dyDescent="0.15">
      <c r="A12" s="10" t="s">
        <v>1527</v>
      </c>
      <c r="B12" s="43"/>
      <c r="C12" s="49"/>
      <c r="D12" s="47"/>
      <c r="E12" s="50"/>
      <c r="F12" s="50"/>
      <c r="G12" s="17" t="str">
        <f t="shared" si="10"/>
        <v/>
      </c>
      <c r="H12" s="13"/>
      <c r="I12" s="12" t="str">
        <f t="shared" si="2"/>
        <v/>
      </c>
      <c r="J12" s="57" t="str">
        <f t="shared" si="0"/>
        <v/>
      </c>
      <c r="K12" s="58" t="str">
        <f t="shared" si="3"/>
        <v/>
      </c>
      <c r="L12" s="14" t="str">
        <f t="shared" si="4"/>
        <v/>
      </c>
      <c r="M12" s="14" t="str">
        <f t="shared" si="5"/>
        <v/>
      </c>
      <c r="N12" s="15" t="str">
        <f t="shared" si="6"/>
        <v/>
      </c>
      <c r="O12" s="15" t="str">
        <f t="shared" si="7"/>
        <v/>
      </c>
      <c r="P12" s="16" t="str">
        <f t="shared" si="8"/>
        <v/>
      </c>
      <c r="Q12" s="16" t="str">
        <f t="shared" si="9"/>
        <v/>
      </c>
    </row>
    <row r="13" spans="1:19" x14ac:dyDescent="0.15">
      <c r="A13" s="10" t="s">
        <v>1527</v>
      </c>
      <c r="B13" s="43"/>
      <c r="C13" s="49"/>
      <c r="D13" s="47"/>
      <c r="E13" s="50"/>
      <c r="F13" s="50"/>
      <c r="G13" s="17" t="str">
        <f t="shared" si="10"/>
        <v/>
      </c>
      <c r="H13" s="13"/>
      <c r="I13" s="12" t="str">
        <f t="shared" si="2"/>
        <v/>
      </c>
      <c r="J13" s="57" t="str">
        <f t="shared" si="0"/>
        <v/>
      </c>
      <c r="K13" s="58" t="str">
        <f t="shared" si="3"/>
        <v/>
      </c>
      <c r="L13" s="14" t="str">
        <f t="shared" si="4"/>
        <v/>
      </c>
      <c r="M13" s="14" t="str">
        <f t="shared" si="5"/>
        <v/>
      </c>
      <c r="N13" s="15" t="str">
        <f t="shared" si="6"/>
        <v/>
      </c>
      <c r="O13" s="15" t="str">
        <f t="shared" si="7"/>
        <v/>
      </c>
      <c r="P13" s="16" t="str">
        <f t="shared" si="8"/>
        <v/>
      </c>
      <c r="Q13" s="16" t="str">
        <f t="shared" si="9"/>
        <v/>
      </c>
    </row>
    <row r="14" spans="1:19" x14ac:dyDescent="0.15">
      <c r="A14" s="10" t="s">
        <v>1527</v>
      </c>
      <c r="B14" s="43"/>
      <c r="C14" s="49"/>
      <c r="D14" s="47"/>
      <c r="E14" s="50"/>
      <c r="F14" s="50"/>
      <c r="G14" s="17" t="str">
        <f t="shared" si="10"/>
        <v/>
      </c>
      <c r="H14" s="13"/>
      <c r="I14" s="12" t="str">
        <f t="shared" si="2"/>
        <v/>
      </c>
      <c r="J14" s="57" t="str">
        <f t="shared" si="0"/>
        <v/>
      </c>
      <c r="K14" s="58" t="str">
        <f t="shared" si="3"/>
        <v/>
      </c>
      <c r="L14" s="14" t="str">
        <f t="shared" si="4"/>
        <v/>
      </c>
      <c r="M14" s="14" t="str">
        <f t="shared" si="5"/>
        <v/>
      </c>
      <c r="N14" s="15" t="str">
        <f t="shared" si="6"/>
        <v/>
      </c>
      <c r="O14" s="15" t="str">
        <f t="shared" si="7"/>
        <v/>
      </c>
      <c r="P14" s="16" t="str">
        <f t="shared" si="8"/>
        <v/>
      </c>
      <c r="Q14" s="16" t="str">
        <f t="shared" si="9"/>
        <v/>
      </c>
    </row>
    <row r="15" spans="1:19" x14ac:dyDescent="0.15">
      <c r="A15" s="10" t="s">
        <v>1527</v>
      </c>
      <c r="B15" s="43"/>
      <c r="C15" s="49"/>
      <c r="D15" s="47"/>
      <c r="E15" s="50"/>
      <c r="F15" s="50"/>
      <c r="G15" s="17" t="str">
        <f t="shared" si="10"/>
        <v/>
      </c>
      <c r="H15" s="13"/>
      <c r="I15" s="12" t="str">
        <f t="shared" si="2"/>
        <v/>
      </c>
      <c r="J15" s="57" t="str">
        <f t="shared" si="0"/>
        <v/>
      </c>
      <c r="K15" s="58" t="str">
        <f t="shared" si="3"/>
        <v/>
      </c>
      <c r="L15" s="14" t="str">
        <f t="shared" si="4"/>
        <v/>
      </c>
      <c r="M15" s="14" t="str">
        <f t="shared" si="5"/>
        <v/>
      </c>
      <c r="N15" s="15" t="str">
        <f t="shared" si="6"/>
        <v/>
      </c>
      <c r="O15" s="15" t="str">
        <f t="shared" si="7"/>
        <v/>
      </c>
      <c r="P15" s="16" t="str">
        <f t="shared" si="8"/>
        <v/>
      </c>
      <c r="Q15" s="16" t="str">
        <f t="shared" si="9"/>
        <v/>
      </c>
    </row>
    <row r="16" spans="1:19" x14ac:dyDescent="0.15">
      <c r="A16" s="10" t="s">
        <v>1527</v>
      </c>
      <c r="B16" s="43"/>
      <c r="C16" s="49"/>
      <c r="D16" s="47"/>
      <c r="E16" s="50"/>
      <c r="F16" s="50"/>
      <c r="G16" s="17" t="str">
        <f t="shared" si="10"/>
        <v/>
      </c>
      <c r="H16" s="13"/>
      <c r="I16" s="12" t="str">
        <f t="shared" si="2"/>
        <v/>
      </c>
      <c r="J16" s="57" t="str">
        <f t="shared" si="0"/>
        <v/>
      </c>
      <c r="K16" s="58" t="str">
        <f t="shared" si="3"/>
        <v/>
      </c>
      <c r="L16" s="14" t="str">
        <f t="shared" si="4"/>
        <v/>
      </c>
      <c r="M16" s="14" t="str">
        <f t="shared" si="5"/>
        <v/>
      </c>
      <c r="N16" s="15" t="str">
        <f t="shared" si="6"/>
        <v/>
      </c>
      <c r="O16" s="15" t="str">
        <f t="shared" si="7"/>
        <v/>
      </c>
      <c r="P16" s="16" t="str">
        <f t="shared" si="8"/>
        <v/>
      </c>
      <c r="Q16" s="16" t="str">
        <f t="shared" si="9"/>
        <v/>
      </c>
    </row>
    <row r="17" spans="1:17" x14ac:dyDescent="0.15">
      <c r="A17" s="10" t="s">
        <v>1527</v>
      </c>
      <c r="B17" s="43"/>
      <c r="C17" s="49"/>
      <c r="D17" s="47"/>
      <c r="E17" s="50"/>
      <c r="F17" s="50"/>
      <c r="G17" s="17" t="str">
        <f t="shared" si="10"/>
        <v/>
      </c>
      <c r="H17" s="13"/>
      <c r="I17" s="12" t="str">
        <f t="shared" si="2"/>
        <v/>
      </c>
      <c r="J17" s="57" t="str">
        <f t="shared" si="0"/>
        <v/>
      </c>
      <c r="K17" s="58" t="str">
        <f t="shared" si="3"/>
        <v/>
      </c>
      <c r="L17" s="14" t="str">
        <f t="shared" si="4"/>
        <v/>
      </c>
      <c r="M17" s="14" t="str">
        <f t="shared" si="5"/>
        <v/>
      </c>
      <c r="N17" s="15" t="str">
        <f t="shared" si="6"/>
        <v/>
      </c>
      <c r="O17" s="15" t="str">
        <f t="shared" si="7"/>
        <v/>
      </c>
      <c r="P17" s="16" t="str">
        <f t="shared" si="8"/>
        <v/>
      </c>
      <c r="Q17" s="16" t="str">
        <f t="shared" si="9"/>
        <v/>
      </c>
    </row>
    <row r="18" spans="1:17" x14ac:dyDescent="0.15">
      <c r="A18" s="10" t="s">
        <v>1527</v>
      </c>
      <c r="B18" s="43"/>
      <c r="C18" s="49"/>
      <c r="D18" s="47"/>
      <c r="E18" s="50"/>
      <c r="F18" s="50"/>
      <c r="G18" s="17" t="str">
        <f t="shared" si="10"/>
        <v/>
      </c>
      <c r="H18" s="13"/>
      <c r="I18" s="12" t="str">
        <f t="shared" si="2"/>
        <v/>
      </c>
      <c r="J18" s="57" t="str">
        <f t="shared" si="0"/>
        <v/>
      </c>
      <c r="K18" s="58" t="str">
        <f t="shared" si="3"/>
        <v/>
      </c>
      <c r="L18" s="14" t="str">
        <f t="shared" si="4"/>
        <v/>
      </c>
      <c r="M18" s="14" t="str">
        <f t="shared" si="5"/>
        <v/>
      </c>
      <c r="N18" s="15" t="str">
        <f t="shared" si="6"/>
        <v/>
      </c>
      <c r="O18" s="15" t="str">
        <f t="shared" si="7"/>
        <v/>
      </c>
      <c r="P18" s="16" t="str">
        <f t="shared" si="8"/>
        <v/>
      </c>
      <c r="Q18" s="16" t="str">
        <f t="shared" si="9"/>
        <v/>
      </c>
    </row>
    <row r="19" spans="1:17" x14ac:dyDescent="0.15">
      <c r="A19" s="10" t="s">
        <v>1527</v>
      </c>
      <c r="B19" s="43"/>
      <c r="C19" s="49"/>
      <c r="D19" s="47"/>
      <c r="E19" s="50"/>
      <c r="F19" s="50"/>
      <c r="G19" s="17" t="str">
        <f t="shared" si="10"/>
        <v/>
      </c>
      <c r="H19" s="13"/>
      <c r="I19" s="12" t="str">
        <f t="shared" si="2"/>
        <v/>
      </c>
      <c r="J19" s="57" t="str">
        <f t="shared" si="0"/>
        <v/>
      </c>
      <c r="K19" s="58" t="str">
        <f t="shared" si="3"/>
        <v/>
      </c>
      <c r="L19" s="14" t="str">
        <f t="shared" si="4"/>
        <v/>
      </c>
      <c r="M19" s="14" t="str">
        <f t="shared" si="5"/>
        <v/>
      </c>
      <c r="N19" s="15" t="str">
        <f t="shared" si="6"/>
        <v/>
      </c>
      <c r="O19" s="15" t="str">
        <f t="shared" si="7"/>
        <v/>
      </c>
      <c r="P19" s="16" t="str">
        <f t="shared" si="8"/>
        <v/>
      </c>
      <c r="Q19" s="16" t="str">
        <f t="shared" si="9"/>
        <v/>
      </c>
    </row>
    <row r="20" spans="1:17" x14ac:dyDescent="0.15">
      <c r="A20" s="10" t="s">
        <v>1527</v>
      </c>
      <c r="B20" s="43"/>
      <c r="C20" s="49"/>
      <c r="D20" s="47"/>
      <c r="E20" s="50"/>
      <c r="F20" s="50"/>
      <c r="G20" s="17" t="str">
        <f t="shared" ref="G20:G30" si="11">IF(OR(E20="",F20=""), "", (F20/E20-1))</f>
        <v/>
      </c>
      <c r="H20" s="13"/>
      <c r="I20" s="12" t="str">
        <f t="shared" ref="I20:I30" si="12">IF(G20&gt;=0, "", IF(OR(G20="", H20=""), "", (100/(G20*100)/100)*H20*1*-1))</f>
        <v/>
      </c>
      <c r="J20" s="57" t="str">
        <f t="shared" ref="J20:J30" si="13">IF(AND(I20&lt;&gt;"", I20&gt;0), 100000*$L$1*I20*G20, IF(AND(G20&lt;&gt;"", G20&gt;0), 100000*$L$1*G20, ""))</f>
        <v/>
      </c>
      <c r="K20" s="58" t="str">
        <f t="shared" ref="K20:K30" si="14">IF(OR(E20="", F20=""), "", F20-E20)</f>
        <v/>
      </c>
      <c r="L20" s="14" t="str">
        <f t="shared" ref="L20:L30" si="15">IFERROR(IF(AND(D20="",E20&lt;&gt;""), IF(I20="", "", $L$1*100000*I20), IF(AND(D20="", E20=""), "", D20*E20)), "")</f>
        <v/>
      </c>
      <c r="M20" s="14" t="str">
        <f t="shared" ref="M20:M30" si="16">IFERROR(IF(L20="", "", ROUNDDOWN(L20/E20,0)), "")</f>
        <v/>
      </c>
      <c r="N20" s="15" t="str">
        <f t="shared" ref="N20:N30" si="17">IFERROR(IF(AND(D20="",E20&lt;&gt;""), IF(I20="", "", $N$1*100000*I20), IF(AND(D20="", E20=""), "", D20*E20)), "")</f>
        <v/>
      </c>
      <c r="O20" s="15" t="str">
        <f t="shared" ref="O20:O30" si="18">IFERROR(IF(N20="", "", ROUNDDOWN(N20/E20,0)), "")</f>
        <v/>
      </c>
      <c r="P20" s="16" t="str">
        <f t="shared" ref="P20:P30" si="19">IFERROR(IF(AND(D20="",E20&lt;&gt;""), IF(I20="", "", $P$1*100000*I20), IF(AND(D20="", E20=""), "", D20*E20)), "")</f>
        <v/>
      </c>
      <c r="Q20" s="16" t="str">
        <f t="shared" ref="Q20:Q30" si="20">IFERROR(IF(P20="", "", ROUNDDOWN(P20/E20,0)), "")</f>
        <v/>
      </c>
    </row>
    <row r="21" spans="1:17" x14ac:dyDescent="0.15">
      <c r="A21" s="10" t="s">
        <v>1527</v>
      </c>
      <c r="B21" s="43"/>
      <c r="C21" s="49"/>
      <c r="D21" s="47"/>
      <c r="E21" s="50"/>
      <c r="F21" s="50"/>
      <c r="G21" s="17" t="str">
        <f t="shared" si="11"/>
        <v/>
      </c>
      <c r="H21" s="13"/>
      <c r="I21" s="12" t="str">
        <f t="shared" si="12"/>
        <v/>
      </c>
      <c r="J21" s="57" t="str">
        <f t="shared" si="13"/>
        <v/>
      </c>
      <c r="K21" s="58" t="str">
        <f t="shared" si="14"/>
        <v/>
      </c>
      <c r="L21" s="14" t="str">
        <f t="shared" si="15"/>
        <v/>
      </c>
      <c r="M21" s="14" t="str">
        <f t="shared" si="16"/>
        <v/>
      </c>
      <c r="N21" s="15" t="str">
        <f t="shared" si="17"/>
        <v/>
      </c>
      <c r="O21" s="15" t="str">
        <f t="shared" si="18"/>
        <v/>
      </c>
      <c r="P21" s="16" t="str">
        <f t="shared" si="19"/>
        <v/>
      </c>
      <c r="Q21" s="16" t="str">
        <f t="shared" si="20"/>
        <v/>
      </c>
    </row>
    <row r="22" spans="1:17" x14ac:dyDescent="0.15">
      <c r="A22" s="10" t="s">
        <v>1527</v>
      </c>
      <c r="B22" s="43"/>
      <c r="C22" s="49"/>
      <c r="D22" s="47"/>
      <c r="E22" s="50"/>
      <c r="F22" s="50"/>
      <c r="G22" s="17" t="str">
        <f t="shared" si="11"/>
        <v/>
      </c>
      <c r="H22" s="13"/>
      <c r="I22" s="12" t="str">
        <f t="shared" si="12"/>
        <v/>
      </c>
      <c r="J22" s="57" t="str">
        <f t="shared" si="13"/>
        <v/>
      </c>
      <c r="K22" s="58" t="str">
        <f t="shared" si="14"/>
        <v/>
      </c>
      <c r="L22" s="14" t="str">
        <f t="shared" si="15"/>
        <v/>
      </c>
      <c r="M22" s="14" t="str">
        <f t="shared" si="16"/>
        <v/>
      </c>
      <c r="N22" s="15" t="str">
        <f t="shared" si="17"/>
        <v/>
      </c>
      <c r="O22" s="15" t="str">
        <f t="shared" si="18"/>
        <v/>
      </c>
      <c r="P22" s="16" t="str">
        <f t="shared" si="19"/>
        <v/>
      </c>
      <c r="Q22" s="16" t="str">
        <f t="shared" si="20"/>
        <v/>
      </c>
    </row>
    <row r="23" spans="1:17" x14ac:dyDescent="0.15">
      <c r="A23" s="10" t="s">
        <v>1527</v>
      </c>
      <c r="B23" s="43"/>
      <c r="C23" s="49"/>
      <c r="D23" s="47"/>
      <c r="E23" s="50"/>
      <c r="F23" s="50"/>
      <c r="G23" s="17" t="str">
        <f t="shared" si="11"/>
        <v/>
      </c>
      <c r="H23" s="13"/>
      <c r="I23" s="12" t="str">
        <f t="shared" si="12"/>
        <v/>
      </c>
      <c r="J23" s="57" t="str">
        <f t="shared" si="13"/>
        <v/>
      </c>
      <c r="K23" s="58" t="str">
        <f t="shared" si="14"/>
        <v/>
      </c>
      <c r="L23" s="14" t="str">
        <f t="shared" si="15"/>
        <v/>
      </c>
      <c r="M23" s="14" t="str">
        <f t="shared" si="16"/>
        <v/>
      </c>
      <c r="N23" s="15" t="str">
        <f t="shared" si="17"/>
        <v/>
      </c>
      <c r="O23" s="15" t="str">
        <f t="shared" si="18"/>
        <v/>
      </c>
      <c r="P23" s="16" t="str">
        <f t="shared" si="19"/>
        <v/>
      </c>
      <c r="Q23" s="16" t="str">
        <f t="shared" si="20"/>
        <v/>
      </c>
    </row>
    <row r="24" spans="1:17" x14ac:dyDescent="0.15">
      <c r="A24" s="10" t="s">
        <v>1527</v>
      </c>
      <c r="B24" s="43"/>
      <c r="C24" s="49"/>
      <c r="D24" s="47"/>
      <c r="E24" s="50"/>
      <c r="F24" s="50"/>
      <c r="G24" s="17" t="str">
        <f t="shared" si="11"/>
        <v/>
      </c>
      <c r="H24" s="13"/>
      <c r="I24" s="12" t="str">
        <f t="shared" si="12"/>
        <v/>
      </c>
      <c r="J24" s="57" t="str">
        <f t="shared" si="13"/>
        <v/>
      </c>
      <c r="K24" s="58" t="str">
        <f t="shared" si="14"/>
        <v/>
      </c>
      <c r="L24" s="14" t="str">
        <f t="shared" si="15"/>
        <v/>
      </c>
      <c r="M24" s="14" t="str">
        <f t="shared" si="16"/>
        <v/>
      </c>
      <c r="N24" s="15" t="str">
        <f t="shared" si="17"/>
        <v/>
      </c>
      <c r="O24" s="15" t="str">
        <f t="shared" si="18"/>
        <v/>
      </c>
      <c r="P24" s="16" t="str">
        <f t="shared" si="19"/>
        <v/>
      </c>
      <c r="Q24" s="16" t="str">
        <f t="shared" si="20"/>
        <v/>
      </c>
    </row>
    <row r="25" spans="1:17" x14ac:dyDescent="0.15">
      <c r="A25" s="10" t="s">
        <v>1527</v>
      </c>
      <c r="B25" s="43"/>
      <c r="C25" s="49"/>
      <c r="D25" s="47"/>
      <c r="E25" s="50"/>
      <c r="F25" s="50"/>
      <c r="G25" s="17" t="str">
        <f t="shared" si="11"/>
        <v/>
      </c>
      <c r="H25" s="13"/>
      <c r="I25" s="12" t="str">
        <f t="shared" si="12"/>
        <v/>
      </c>
      <c r="J25" s="57" t="str">
        <f t="shared" si="13"/>
        <v/>
      </c>
      <c r="K25" s="58" t="str">
        <f t="shared" si="14"/>
        <v/>
      </c>
      <c r="L25" s="14" t="str">
        <f t="shared" si="15"/>
        <v/>
      </c>
      <c r="M25" s="14" t="str">
        <f t="shared" si="16"/>
        <v/>
      </c>
      <c r="N25" s="15" t="str">
        <f t="shared" si="17"/>
        <v/>
      </c>
      <c r="O25" s="15" t="str">
        <f t="shared" si="18"/>
        <v/>
      </c>
      <c r="P25" s="16" t="str">
        <f t="shared" si="19"/>
        <v/>
      </c>
      <c r="Q25" s="16" t="str">
        <f t="shared" si="20"/>
        <v/>
      </c>
    </row>
    <row r="26" spans="1:17" x14ac:dyDescent="0.15">
      <c r="A26" s="10" t="s">
        <v>1527</v>
      </c>
      <c r="B26" s="43"/>
      <c r="C26" s="49"/>
      <c r="D26" s="47"/>
      <c r="E26" s="50"/>
      <c r="F26" s="50"/>
      <c r="G26" s="17" t="str">
        <f t="shared" si="11"/>
        <v/>
      </c>
      <c r="H26" s="13"/>
      <c r="I26" s="12" t="str">
        <f t="shared" si="12"/>
        <v/>
      </c>
      <c r="J26" s="57" t="str">
        <f t="shared" si="13"/>
        <v/>
      </c>
      <c r="K26" s="58" t="str">
        <f t="shared" si="14"/>
        <v/>
      </c>
      <c r="L26" s="14" t="str">
        <f t="shared" si="15"/>
        <v/>
      </c>
      <c r="M26" s="14" t="str">
        <f t="shared" si="16"/>
        <v/>
      </c>
      <c r="N26" s="15" t="str">
        <f t="shared" si="17"/>
        <v/>
      </c>
      <c r="O26" s="15" t="str">
        <f t="shared" si="18"/>
        <v/>
      </c>
      <c r="P26" s="16" t="str">
        <f t="shared" si="19"/>
        <v/>
      </c>
      <c r="Q26" s="16" t="str">
        <f t="shared" si="20"/>
        <v/>
      </c>
    </row>
    <row r="27" spans="1:17" x14ac:dyDescent="0.15">
      <c r="A27" s="10" t="s">
        <v>1527</v>
      </c>
      <c r="B27" s="43"/>
      <c r="C27" s="49"/>
      <c r="D27" s="47"/>
      <c r="E27" s="50"/>
      <c r="F27" s="50"/>
      <c r="G27" s="17" t="str">
        <f t="shared" si="11"/>
        <v/>
      </c>
      <c r="H27" s="13"/>
      <c r="I27" s="12" t="str">
        <f t="shared" si="12"/>
        <v/>
      </c>
      <c r="J27" s="57" t="str">
        <f t="shared" si="13"/>
        <v/>
      </c>
      <c r="K27" s="58" t="str">
        <f t="shared" si="14"/>
        <v/>
      </c>
      <c r="L27" s="14" t="str">
        <f t="shared" si="15"/>
        <v/>
      </c>
      <c r="M27" s="14" t="str">
        <f t="shared" si="16"/>
        <v/>
      </c>
      <c r="N27" s="15" t="str">
        <f t="shared" si="17"/>
        <v/>
      </c>
      <c r="O27" s="15" t="str">
        <f t="shared" si="18"/>
        <v/>
      </c>
      <c r="P27" s="16" t="str">
        <f t="shared" si="19"/>
        <v/>
      </c>
      <c r="Q27" s="16" t="str">
        <f t="shared" si="20"/>
        <v/>
      </c>
    </row>
    <row r="28" spans="1:17" x14ac:dyDescent="0.15">
      <c r="A28" s="10" t="s">
        <v>1527</v>
      </c>
      <c r="B28" s="43"/>
      <c r="C28" s="49"/>
      <c r="D28" s="47"/>
      <c r="E28" s="50"/>
      <c r="F28" s="50"/>
      <c r="G28" s="17" t="str">
        <f t="shared" si="11"/>
        <v/>
      </c>
      <c r="H28" s="13"/>
      <c r="I28" s="12" t="str">
        <f t="shared" si="12"/>
        <v/>
      </c>
      <c r="J28" s="57" t="str">
        <f t="shared" si="13"/>
        <v/>
      </c>
      <c r="K28" s="58" t="str">
        <f t="shared" si="14"/>
        <v/>
      </c>
      <c r="L28" s="14" t="str">
        <f t="shared" si="15"/>
        <v/>
      </c>
      <c r="M28" s="14" t="str">
        <f t="shared" si="16"/>
        <v/>
      </c>
      <c r="N28" s="15" t="str">
        <f t="shared" si="17"/>
        <v/>
      </c>
      <c r="O28" s="15" t="str">
        <f t="shared" si="18"/>
        <v/>
      </c>
      <c r="P28" s="16" t="str">
        <f t="shared" si="19"/>
        <v/>
      </c>
      <c r="Q28" s="16" t="str">
        <f t="shared" si="20"/>
        <v/>
      </c>
    </row>
    <row r="29" spans="1:17" x14ac:dyDescent="0.15">
      <c r="A29" s="10" t="s">
        <v>1527</v>
      </c>
      <c r="B29" s="43"/>
      <c r="C29" s="49"/>
      <c r="D29" s="47"/>
      <c r="E29" s="50"/>
      <c r="F29" s="50"/>
      <c r="G29" s="17" t="str">
        <f t="shared" si="11"/>
        <v/>
      </c>
      <c r="H29" s="13"/>
      <c r="I29" s="12" t="str">
        <f t="shared" si="12"/>
        <v/>
      </c>
      <c r="J29" s="57" t="str">
        <f t="shared" si="13"/>
        <v/>
      </c>
      <c r="K29" s="58" t="str">
        <f t="shared" si="14"/>
        <v/>
      </c>
      <c r="L29" s="14" t="str">
        <f t="shared" si="15"/>
        <v/>
      </c>
      <c r="M29" s="14" t="str">
        <f t="shared" si="16"/>
        <v/>
      </c>
      <c r="N29" s="15" t="str">
        <f t="shared" si="17"/>
        <v/>
      </c>
      <c r="O29" s="15" t="str">
        <f t="shared" si="18"/>
        <v/>
      </c>
      <c r="P29" s="16" t="str">
        <f t="shared" si="19"/>
        <v/>
      </c>
      <c r="Q29" s="16" t="str">
        <f t="shared" si="20"/>
        <v/>
      </c>
    </row>
    <row r="30" spans="1:17" x14ac:dyDescent="0.15">
      <c r="A30" s="10" t="s">
        <v>1527</v>
      </c>
      <c r="B30" s="43"/>
      <c r="C30" s="49"/>
      <c r="D30" s="47"/>
      <c r="E30" s="50"/>
      <c r="F30" s="50"/>
      <c r="G30" s="17" t="str">
        <f t="shared" si="11"/>
        <v/>
      </c>
      <c r="H30" s="13"/>
      <c r="I30" s="12" t="str">
        <f t="shared" si="12"/>
        <v/>
      </c>
      <c r="J30" s="57" t="str">
        <f t="shared" si="13"/>
        <v/>
      </c>
      <c r="K30" s="58" t="str">
        <f t="shared" si="14"/>
        <v/>
      </c>
      <c r="L30" s="14" t="str">
        <f t="shared" si="15"/>
        <v/>
      </c>
      <c r="M30" s="14" t="str">
        <f t="shared" si="16"/>
        <v/>
      </c>
      <c r="N30" s="15" t="str">
        <f t="shared" si="17"/>
        <v/>
      </c>
      <c r="O30" s="15" t="str">
        <f t="shared" si="18"/>
        <v/>
      </c>
      <c r="P30" s="16" t="str">
        <f t="shared" si="19"/>
        <v/>
      </c>
      <c r="Q30" s="16" t="str">
        <f t="shared" si="20"/>
        <v/>
      </c>
    </row>
  </sheetData>
  <conditionalFormatting sqref="A2:A30 H2:H30">
    <cfRule type="cellIs" dxfId="43" priority="8" stopIfTrue="1" operator="equal">
      <formula>0.25</formula>
    </cfRule>
    <cfRule type="cellIs" dxfId="42" priority="9" operator="equal">
      <formula>0.5</formula>
    </cfRule>
    <cfRule type="cellIs" dxfId="41" priority="10" stopIfTrue="1" operator="equal">
      <formula>0.75</formula>
    </cfRule>
    <cfRule type="cellIs" dxfId="40" priority="11" operator="equal">
      <formula>1</formula>
    </cfRule>
  </conditionalFormatting>
  <conditionalFormatting sqref="A2:A30">
    <cfRule type="cellIs" dxfId="39" priority="1" operator="equal">
      <formula>"BSE"</formula>
    </cfRule>
  </conditionalFormatting>
  <conditionalFormatting sqref="G2:G30">
    <cfRule type="cellIs" dxfId="38" priority="12" operator="lessThanOrEqual">
      <formula>-0.1</formula>
    </cfRule>
    <cfRule type="cellIs" dxfId="37" priority="13" stopIfTrue="1" operator="between">
      <formula>-0.07</formula>
      <formula>-0.1</formula>
    </cfRule>
    <cfRule type="cellIs" dxfId="36" priority="14" operator="between">
      <formula>-0.05</formula>
      <formula>-0.07</formula>
    </cfRule>
    <cfRule type="cellIs" dxfId="35" priority="15" stopIfTrue="1" operator="between">
      <formula>0</formula>
      <formula>-0.05</formula>
    </cfRule>
  </conditionalFormatting>
  <conditionalFormatting sqref="I2:I30">
    <cfRule type="expression" dxfId="34" priority="4">
      <formula>AND(I2&lt;&gt;"", I2&gt;=0.15)</formula>
    </cfRule>
    <cfRule type="expression" dxfId="33" priority="5" stopIfTrue="1">
      <formula>AND(I2&lt;&gt;"", I2&gt;=0.1)</formula>
    </cfRule>
    <cfRule type="expression" dxfId="32" priority="6" stopIfTrue="1">
      <formula>AND(I2&lt;&gt;"", I2&gt;=0.07)</formula>
    </cfRule>
    <cfRule type="expression" dxfId="31" priority="7">
      <formula>AND(I2&lt;&gt;"", I2&lt;=0.07)</formula>
    </cfRule>
  </conditionalFormatting>
  <conditionalFormatting sqref="J2:K30">
    <cfRule type="expression" dxfId="30" priority="2" stopIfTrue="1">
      <formula>AND(J2&lt;&gt;"", J2&gt;=0)</formula>
    </cfRule>
    <cfRule type="expression" dxfId="29" priority="3">
      <formula>J2&lt;0</formula>
    </cfRule>
  </conditionalFormatting>
  <dataValidations count="2">
    <dataValidation type="list" allowBlank="1" showErrorMessage="1" sqref="A2:A30" xr:uid="{221CABAF-C6EE-3649-9C8F-2946397799C4}">
      <formula1>"NSE,BSE"</formula1>
    </dataValidation>
    <dataValidation type="list" allowBlank="1" showErrorMessage="1" sqref="H2:H30" xr:uid="{93C9B802-8505-9F4B-8E5F-01BF531101B2}">
      <formula1>"0.25,0.30,0.40,0.50,0.75,1.00"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A435A8-749C-1140-B4A9-4B6BC21DF692}">
          <x14:formula1>
            <xm:f>STOCKS!$A$2:$A$3000</xm:f>
          </x14:formula1>
          <xm:sqref>B2:B30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1C46-2AFE-A54B-BA0D-3265BAA7831A}">
  <sheetPr>
    <tabColor theme="4" tint="-0.249977111117893"/>
  </sheetPr>
  <dimension ref="A1:J30"/>
  <sheetViews>
    <sheetView topLeftCell="C1" zoomScale="359" zoomScaleNormal="359" workbookViewId="0">
      <pane ySplit="1" topLeftCell="A2" activePane="bottomLeft" state="frozen"/>
      <selection pane="bottomLeft" activeCell="F6" sqref="F6"/>
    </sheetView>
  </sheetViews>
  <sheetFormatPr baseColWidth="10" defaultRowHeight="12" x14ac:dyDescent="0.15"/>
  <cols>
    <col min="1" max="1" width="7" style="18" customWidth="1"/>
    <col min="2" max="2" width="11" style="3" customWidth="1"/>
    <col min="3" max="3" width="7.1640625" style="3" customWidth="1"/>
    <col min="4" max="4" width="7.83203125" style="4" customWidth="1"/>
    <col min="5" max="5" width="7.83203125" style="51" customWidth="1"/>
    <col min="6" max="6" width="12.33203125" style="3" customWidth="1"/>
    <col min="7" max="7" width="12.5" style="3" customWidth="1"/>
    <col min="8" max="8" width="12.33203125" style="51" customWidth="1"/>
    <col min="9" max="9" width="13.1640625" style="51" customWidth="1"/>
    <col min="10" max="16384" width="10.83203125" style="3"/>
  </cols>
  <sheetData>
    <row r="1" spans="1:10" s="18" customFormat="1" ht="13" thickBot="1" x14ac:dyDescent="0.2">
      <c r="A1" s="40" t="s">
        <v>1518</v>
      </c>
      <c r="B1" s="40" t="s">
        <v>1519</v>
      </c>
      <c r="C1" s="40" t="s">
        <v>1520</v>
      </c>
      <c r="D1" s="45" t="s">
        <v>1521</v>
      </c>
      <c r="E1" s="48" t="s">
        <v>1522</v>
      </c>
      <c r="F1" s="40" t="s">
        <v>3468</v>
      </c>
      <c r="G1" s="40" t="s">
        <v>3469</v>
      </c>
      <c r="H1" s="48" t="s">
        <v>3476</v>
      </c>
      <c r="I1" s="48" t="s">
        <v>3477</v>
      </c>
    </row>
    <row r="2" spans="1:10" x14ac:dyDescent="0.15">
      <c r="A2" s="10" t="s">
        <v>1527</v>
      </c>
      <c r="B2" s="43"/>
      <c r="C2" s="11"/>
      <c r="D2" s="46"/>
      <c r="E2" s="49"/>
      <c r="F2" s="39"/>
      <c r="G2" s="39"/>
      <c r="H2" s="52" t="str">
        <f t="shared" ref="H2:H9" si="0">IF(OR(E2="", F2=""), "", E2+(E2*F2))</f>
        <v/>
      </c>
      <c r="I2" s="52" t="str">
        <f t="shared" ref="I2:I9" si="1">IF(OR(E2="", G2=""), "", E2+(E2*G2))</f>
        <v/>
      </c>
    </row>
    <row r="3" spans="1:10" x14ac:dyDescent="0.15">
      <c r="A3" s="10" t="s">
        <v>1527</v>
      </c>
      <c r="B3" s="43"/>
      <c r="C3" s="11"/>
      <c r="D3" s="47"/>
      <c r="E3" s="49"/>
      <c r="F3" s="39"/>
      <c r="G3" s="39"/>
      <c r="H3" s="52" t="str">
        <f t="shared" si="0"/>
        <v/>
      </c>
      <c r="I3" s="52" t="str">
        <f t="shared" si="1"/>
        <v/>
      </c>
    </row>
    <row r="4" spans="1:10" x14ac:dyDescent="0.15">
      <c r="A4" s="10" t="s">
        <v>1527</v>
      </c>
      <c r="B4" s="43"/>
      <c r="C4" s="11"/>
      <c r="D4" s="47"/>
      <c r="E4" s="50"/>
      <c r="F4" s="39"/>
      <c r="G4" s="39"/>
      <c r="H4" s="52" t="str">
        <f t="shared" si="0"/>
        <v/>
      </c>
      <c r="I4" s="52" t="str">
        <f t="shared" si="1"/>
        <v/>
      </c>
    </row>
    <row r="5" spans="1:10" x14ac:dyDescent="0.15">
      <c r="A5" s="10" t="s">
        <v>1527</v>
      </c>
      <c r="B5" s="43"/>
      <c r="C5" s="11"/>
      <c r="D5" s="47"/>
      <c r="E5" s="50"/>
      <c r="F5" s="39"/>
      <c r="G5" s="39"/>
      <c r="H5" s="52" t="str">
        <f t="shared" si="0"/>
        <v/>
      </c>
      <c r="I5" s="52" t="str">
        <f t="shared" si="1"/>
        <v/>
      </c>
    </row>
    <row r="6" spans="1:10" x14ac:dyDescent="0.15">
      <c r="A6" s="10" t="s">
        <v>1527</v>
      </c>
      <c r="B6" s="43"/>
      <c r="C6" s="11"/>
      <c r="D6" s="47"/>
      <c r="E6" s="50"/>
      <c r="F6" s="39"/>
      <c r="G6" s="39"/>
      <c r="H6" s="52" t="str">
        <f t="shared" si="0"/>
        <v/>
      </c>
      <c r="I6" s="52" t="str">
        <f t="shared" si="1"/>
        <v/>
      </c>
      <c r="J6" s="44"/>
    </row>
    <row r="7" spans="1:10" x14ac:dyDescent="0.15">
      <c r="A7" s="10" t="s">
        <v>1527</v>
      </c>
      <c r="B7" s="43"/>
      <c r="C7" s="11"/>
      <c r="D7" s="47"/>
      <c r="E7" s="50"/>
      <c r="F7" s="39"/>
      <c r="G7" s="39"/>
      <c r="H7" s="52" t="str">
        <f t="shared" si="0"/>
        <v/>
      </c>
      <c r="I7" s="52" t="str">
        <f t="shared" si="1"/>
        <v/>
      </c>
      <c r="J7" s="44"/>
    </row>
    <row r="8" spans="1:10" x14ac:dyDescent="0.15">
      <c r="A8" s="10" t="s">
        <v>1527</v>
      </c>
      <c r="B8" s="43"/>
      <c r="C8" s="11"/>
      <c r="D8" s="47"/>
      <c r="E8" s="50"/>
      <c r="F8" s="39"/>
      <c r="G8" s="39"/>
      <c r="H8" s="52" t="str">
        <f t="shared" si="0"/>
        <v/>
      </c>
      <c r="I8" s="52" t="str">
        <f t="shared" si="1"/>
        <v/>
      </c>
    </row>
    <row r="9" spans="1:10" x14ac:dyDescent="0.15">
      <c r="A9" s="10" t="s">
        <v>1527</v>
      </c>
      <c r="B9" s="43"/>
      <c r="C9" s="11"/>
      <c r="D9" s="47"/>
      <c r="E9" s="50"/>
      <c r="F9" s="39"/>
      <c r="G9" s="39"/>
      <c r="H9" s="52" t="str">
        <f t="shared" si="0"/>
        <v/>
      </c>
      <c r="I9" s="52" t="str">
        <f t="shared" si="1"/>
        <v/>
      </c>
    </row>
    <row r="10" spans="1:10" x14ac:dyDescent="0.15">
      <c r="A10" s="10" t="s">
        <v>1527</v>
      </c>
      <c r="B10" s="43"/>
      <c r="C10" s="11"/>
      <c r="D10" s="47"/>
      <c r="E10" s="50"/>
      <c r="F10" s="39"/>
      <c r="G10" s="39"/>
      <c r="H10" s="52" t="str">
        <f t="shared" ref="H2:H15" si="2">IF(OR(E10="", F10=""), "", E10+(E10*F10))</f>
        <v/>
      </c>
      <c r="I10" s="52" t="str">
        <f t="shared" ref="I2:I15" si="3">IF(OR(E10="", G10=""), "", E10+(E10*G10))</f>
        <v/>
      </c>
    </row>
    <row r="11" spans="1:10" x14ac:dyDescent="0.15">
      <c r="A11" s="10" t="s">
        <v>1527</v>
      </c>
      <c r="B11" s="43"/>
      <c r="C11" s="11"/>
      <c r="D11" s="47"/>
      <c r="E11" s="50"/>
      <c r="F11" s="39"/>
      <c r="G11" s="39"/>
      <c r="H11" s="52" t="str">
        <f t="shared" si="2"/>
        <v/>
      </c>
      <c r="I11" s="52" t="str">
        <f t="shared" si="3"/>
        <v/>
      </c>
    </row>
    <row r="12" spans="1:10" x14ac:dyDescent="0.15">
      <c r="A12" s="10" t="s">
        <v>1527</v>
      </c>
      <c r="B12" s="43"/>
      <c r="C12" s="11"/>
      <c r="D12" s="47"/>
      <c r="E12" s="50"/>
      <c r="F12" s="39"/>
      <c r="G12" s="39"/>
      <c r="H12" s="52" t="str">
        <f t="shared" si="2"/>
        <v/>
      </c>
      <c r="I12" s="52" t="str">
        <f t="shared" si="3"/>
        <v/>
      </c>
    </row>
    <row r="13" spans="1:10" x14ac:dyDescent="0.15">
      <c r="A13" s="10" t="s">
        <v>1527</v>
      </c>
      <c r="B13" s="43"/>
      <c r="C13" s="11"/>
      <c r="D13" s="47"/>
      <c r="E13" s="50"/>
      <c r="F13" s="39"/>
      <c r="G13" s="39"/>
      <c r="H13" s="52" t="str">
        <f t="shared" si="2"/>
        <v/>
      </c>
      <c r="I13" s="52" t="str">
        <f t="shared" si="3"/>
        <v/>
      </c>
    </row>
    <row r="14" spans="1:10" x14ac:dyDescent="0.15">
      <c r="A14" s="10" t="s">
        <v>1527</v>
      </c>
      <c r="B14" s="43"/>
      <c r="C14" s="11"/>
      <c r="D14" s="47"/>
      <c r="E14" s="50"/>
      <c r="F14" s="39"/>
      <c r="G14" s="39"/>
      <c r="H14" s="52" t="str">
        <f t="shared" si="2"/>
        <v/>
      </c>
      <c r="I14" s="52" t="str">
        <f t="shared" si="3"/>
        <v/>
      </c>
    </row>
    <row r="15" spans="1:10" x14ac:dyDescent="0.15">
      <c r="A15" s="10" t="s">
        <v>1527</v>
      </c>
      <c r="B15" s="43"/>
      <c r="C15" s="11"/>
      <c r="D15" s="47"/>
      <c r="E15" s="50"/>
      <c r="F15" s="39"/>
      <c r="G15" s="39"/>
      <c r="H15" s="52" t="str">
        <f t="shared" si="2"/>
        <v/>
      </c>
      <c r="I15" s="52" t="str">
        <f t="shared" si="3"/>
        <v/>
      </c>
    </row>
    <row r="16" spans="1:10" x14ac:dyDescent="0.15">
      <c r="A16" s="10" t="s">
        <v>1527</v>
      </c>
      <c r="B16" s="43"/>
      <c r="C16" s="11"/>
      <c r="D16" s="47"/>
      <c r="E16" s="50"/>
      <c r="F16" s="39"/>
      <c r="G16" s="39"/>
      <c r="H16" s="52" t="str">
        <f t="shared" ref="H2:H30" si="4">IF(OR(E16="", F16=""), "", E16+(E16*F16))</f>
        <v/>
      </c>
      <c r="I16" s="52" t="str">
        <f t="shared" ref="I2:I30" si="5">IF(OR(E16="", G16=""), "", E16+(E16*G16))</f>
        <v/>
      </c>
    </row>
    <row r="17" spans="1:9" x14ac:dyDescent="0.15">
      <c r="A17" s="10" t="s">
        <v>1527</v>
      </c>
      <c r="B17" s="43"/>
      <c r="C17" s="11"/>
      <c r="D17" s="47"/>
      <c r="E17" s="50"/>
      <c r="F17" s="39"/>
      <c r="G17" s="39"/>
      <c r="H17" s="52" t="str">
        <f t="shared" si="4"/>
        <v/>
      </c>
      <c r="I17" s="52" t="str">
        <f t="shared" si="5"/>
        <v/>
      </c>
    </row>
    <row r="18" spans="1:9" x14ac:dyDescent="0.15">
      <c r="A18" s="10" t="s">
        <v>1527</v>
      </c>
      <c r="B18" s="43"/>
      <c r="C18" s="11"/>
      <c r="D18" s="47"/>
      <c r="E18" s="50"/>
      <c r="F18" s="39"/>
      <c r="G18" s="39"/>
      <c r="H18" s="52" t="str">
        <f t="shared" si="4"/>
        <v/>
      </c>
      <c r="I18" s="52" t="str">
        <f t="shared" si="5"/>
        <v/>
      </c>
    </row>
    <row r="19" spans="1:9" x14ac:dyDescent="0.15">
      <c r="A19" s="10" t="s">
        <v>1527</v>
      </c>
      <c r="B19" s="43"/>
      <c r="C19" s="11"/>
      <c r="D19" s="47"/>
      <c r="E19" s="50"/>
      <c r="F19" s="39"/>
      <c r="G19" s="39"/>
      <c r="H19" s="52" t="str">
        <f t="shared" si="4"/>
        <v/>
      </c>
      <c r="I19" s="52" t="str">
        <f t="shared" si="5"/>
        <v/>
      </c>
    </row>
    <row r="20" spans="1:9" x14ac:dyDescent="0.15">
      <c r="A20" s="10" t="s">
        <v>1527</v>
      </c>
      <c r="B20" s="43"/>
      <c r="C20" s="11"/>
      <c r="D20" s="47"/>
      <c r="E20" s="50"/>
      <c r="F20" s="39"/>
      <c r="G20" s="39"/>
      <c r="H20" s="52" t="str">
        <f t="shared" si="4"/>
        <v/>
      </c>
      <c r="I20" s="52" t="str">
        <f t="shared" si="5"/>
        <v/>
      </c>
    </row>
    <row r="21" spans="1:9" x14ac:dyDescent="0.15">
      <c r="A21" s="10" t="s">
        <v>1527</v>
      </c>
      <c r="B21" s="43"/>
      <c r="C21" s="11"/>
      <c r="D21" s="47"/>
      <c r="E21" s="50"/>
      <c r="F21" s="39"/>
      <c r="G21" s="39"/>
      <c r="H21" s="52" t="str">
        <f t="shared" si="4"/>
        <v/>
      </c>
      <c r="I21" s="52" t="str">
        <f t="shared" si="5"/>
        <v/>
      </c>
    </row>
    <row r="22" spans="1:9" x14ac:dyDescent="0.15">
      <c r="A22" s="10" t="s">
        <v>1527</v>
      </c>
      <c r="B22" s="43"/>
      <c r="C22" s="11"/>
      <c r="D22" s="47"/>
      <c r="E22" s="50"/>
      <c r="F22" s="39"/>
      <c r="G22" s="39"/>
      <c r="H22" s="52" t="str">
        <f t="shared" si="4"/>
        <v/>
      </c>
      <c r="I22" s="52" t="str">
        <f t="shared" si="5"/>
        <v/>
      </c>
    </row>
    <row r="23" spans="1:9" x14ac:dyDescent="0.15">
      <c r="A23" s="10" t="s">
        <v>1527</v>
      </c>
      <c r="B23" s="43"/>
      <c r="C23" s="11"/>
      <c r="D23" s="47"/>
      <c r="E23" s="50"/>
      <c r="F23" s="39"/>
      <c r="G23" s="39"/>
      <c r="H23" s="52" t="str">
        <f t="shared" si="4"/>
        <v/>
      </c>
      <c r="I23" s="52" t="str">
        <f t="shared" si="5"/>
        <v/>
      </c>
    </row>
    <row r="24" spans="1:9" x14ac:dyDescent="0.15">
      <c r="A24" s="10" t="s">
        <v>1527</v>
      </c>
      <c r="B24" s="43"/>
      <c r="C24" s="11"/>
      <c r="D24" s="47"/>
      <c r="E24" s="50"/>
      <c r="F24" s="39"/>
      <c r="G24" s="39"/>
      <c r="H24" s="52" t="str">
        <f t="shared" si="4"/>
        <v/>
      </c>
      <c r="I24" s="52" t="str">
        <f t="shared" si="5"/>
        <v/>
      </c>
    </row>
    <row r="25" spans="1:9" x14ac:dyDescent="0.15">
      <c r="A25" s="10" t="s">
        <v>1527</v>
      </c>
      <c r="B25" s="43"/>
      <c r="C25" s="11"/>
      <c r="D25" s="47"/>
      <c r="E25" s="50"/>
      <c r="F25" s="39"/>
      <c r="G25" s="39"/>
      <c r="H25" s="52" t="str">
        <f t="shared" si="4"/>
        <v/>
      </c>
      <c r="I25" s="52" t="str">
        <f t="shared" si="5"/>
        <v/>
      </c>
    </row>
    <row r="26" spans="1:9" x14ac:dyDescent="0.15">
      <c r="A26" s="10" t="s">
        <v>1527</v>
      </c>
      <c r="B26" s="43"/>
      <c r="C26" s="11"/>
      <c r="D26" s="47"/>
      <c r="E26" s="50"/>
      <c r="F26" s="39"/>
      <c r="G26" s="39"/>
      <c r="H26" s="52" t="str">
        <f t="shared" si="4"/>
        <v/>
      </c>
      <c r="I26" s="52" t="str">
        <f t="shared" si="5"/>
        <v/>
      </c>
    </row>
    <row r="27" spans="1:9" x14ac:dyDescent="0.15">
      <c r="A27" s="10" t="s">
        <v>1527</v>
      </c>
      <c r="B27" s="43"/>
      <c r="C27" s="11"/>
      <c r="D27" s="47"/>
      <c r="E27" s="50"/>
      <c r="F27" s="39"/>
      <c r="G27" s="39"/>
      <c r="H27" s="52" t="str">
        <f t="shared" si="4"/>
        <v/>
      </c>
      <c r="I27" s="52" t="str">
        <f t="shared" si="5"/>
        <v/>
      </c>
    </row>
    <row r="28" spans="1:9" x14ac:dyDescent="0.15">
      <c r="A28" s="10" t="s">
        <v>1527</v>
      </c>
      <c r="B28" s="43"/>
      <c r="C28" s="11"/>
      <c r="D28" s="47"/>
      <c r="E28" s="50"/>
      <c r="F28" s="39"/>
      <c r="G28" s="39"/>
      <c r="H28" s="52" t="str">
        <f t="shared" si="4"/>
        <v/>
      </c>
      <c r="I28" s="52" t="str">
        <f t="shared" si="5"/>
        <v/>
      </c>
    </row>
    <row r="29" spans="1:9" x14ac:dyDescent="0.15">
      <c r="A29" s="10" t="s">
        <v>1527</v>
      </c>
      <c r="B29" s="43"/>
      <c r="C29" s="11"/>
      <c r="D29" s="47"/>
      <c r="E29" s="50"/>
      <c r="F29" s="39"/>
      <c r="G29" s="39"/>
      <c r="H29" s="52" t="str">
        <f t="shared" si="4"/>
        <v/>
      </c>
      <c r="I29" s="52" t="str">
        <f t="shared" si="5"/>
        <v/>
      </c>
    </row>
    <row r="30" spans="1:9" x14ac:dyDescent="0.15">
      <c r="A30" s="10" t="s">
        <v>1527</v>
      </c>
      <c r="B30" s="43"/>
      <c r="C30" s="11"/>
      <c r="D30" s="47"/>
      <c r="E30" s="50"/>
      <c r="F30" s="39"/>
      <c r="G30" s="39"/>
      <c r="H30" s="52" t="str">
        <f t="shared" si="4"/>
        <v/>
      </c>
      <c r="I30" s="52" t="str">
        <f t="shared" si="5"/>
        <v/>
      </c>
    </row>
  </sheetData>
  <conditionalFormatting sqref="A2:A30">
    <cfRule type="cellIs" dxfId="28" priority="3" operator="equal">
      <formula>"BSE"</formula>
    </cfRule>
    <cfRule type="cellIs" dxfId="27" priority="10" stopIfTrue="1" operator="equal">
      <formula>0.25</formula>
    </cfRule>
    <cfRule type="cellIs" dxfId="26" priority="11" operator="equal">
      <formula>0.5</formula>
    </cfRule>
    <cfRule type="cellIs" dxfId="25" priority="12" stopIfTrue="1" operator="equal">
      <formula>0.75</formula>
    </cfRule>
    <cfRule type="cellIs" dxfId="24" priority="13" operator="equal">
      <formula>1</formula>
    </cfRule>
  </conditionalFormatting>
  <conditionalFormatting sqref="F2:F30">
    <cfRule type="cellIs" dxfId="23" priority="2" operator="lessThan">
      <formula>0</formula>
    </cfRule>
  </conditionalFormatting>
  <conditionalFormatting sqref="G2:G30">
    <cfRule type="cellIs" dxfId="22" priority="1" operator="greaterThan">
      <formula>0</formula>
    </cfRule>
  </conditionalFormatting>
  <dataValidations count="1">
    <dataValidation type="list" allowBlank="1" showErrorMessage="1" sqref="A2:A30" xr:uid="{88FFD4B7-BF14-B24A-B931-20D3A66729D2}">
      <formula1>"NSE,BSE"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0EF48-58F1-2845-A216-7E5D04232195}">
          <x14:formula1>
            <xm:f>STOCKS!$A$2:$A$3000</xm:f>
          </x14:formula1>
          <xm:sqref>B2:B30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21DBE-71D0-7B48-8EFC-F6BAC6A5ADC1}">
  <sheetPr>
    <tabColor theme="6" tint="0.39997558519241921"/>
  </sheetPr>
  <dimension ref="A1:G30"/>
  <sheetViews>
    <sheetView zoomScale="309" zoomScaleNormal="309" workbookViewId="0">
      <pane ySplit="1" topLeftCell="A2" activePane="bottomLeft" state="frozen"/>
      <selection pane="bottomLeft" activeCell="E2" sqref="E2:E20"/>
    </sheetView>
  </sheetViews>
  <sheetFormatPr baseColWidth="10" defaultRowHeight="12" x14ac:dyDescent="0.15"/>
  <cols>
    <col min="1" max="1" width="7" style="18" customWidth="1"/>
    <col min="2" max="2" width="11" style="3" customWidth="1"/>
    <col min="3" max="3" width="7.83203125" style="4" customWidth="1"/>
    <col min="4" max="5" width="9.33203125" style="3" customWidth="1"/>
    <col min="6" max="16384" width="10.83203125" style="3"/>
  </cols>
  <sheetData>
    <row r="1" spans="1:7" s="18" customFormat="1" ht="13" thickBot="1" x14ac:dyDescent="0.2">
      <c r="A1" s="40" t="s">
        <v>1518</v>
      </c>
      <c r="B1" s="40" t="s">
        <v>1519</v>
      </c>
      <c r="C1" s="45" t="s">
        <v>8484</v>
      </c>
      <c r="D1" s="40" t="s">
        <v>8483</v>
      </c>
      <c r="E1" s="40" t="s">
        <v>1520</v>
      </c>
      <c r="G1" s="3"/>
    </row>
    <row r="2" spans="1:7" x14ac:dyDescent="0.15">
      <c r="A2" s="10" t="s">
        <v>1527</v>
      </c>
      <c r="B2" s="43" t="s">
        <v>562</v>
      </c>
      <c r="C2" s="63" t="s">
        <v>3490</v>
      </c>
      <c r="D2" s="11">
        <v>1500</v>
      </c>
      <c r="E2" s="11"/>
    </row>
    <row r="3" spans="1:7" x14ac:dyDescent="0.15">
      <c r="A3" s="10" t="s">
        <v>1527</v>
      </c>
      <c r="B3" s="43" t="s">
        <v>289</v>
      </c>
      <c r="C3" s="63" t="s">
        <v>8485</v>
      </c>
      <c r="D3" s="11">
        <v>855.2</v>
      </c>
      <c r="E3" s="11"/>
    </row>
    <row r="4" spans="1:7" x14ac:dyDescent="0.15">
      <c r="A4" s="10" t="s">
        <v>1527</v>
      </c>
      <c r="B4" s="43" t="s">
        <v>562</v>
      </c>
      <c r="C4" s="63" t="s">
        <v>3490</v>
      </c>
      <c r="D4" s="11">
        <v>1500</v>
      </c>
      <c r="E4" s="11"/>
    </row>
    <row r="5" spans="1:7" x14ac:dyDescent="0.15">
      <c r="A5" s="10" t="s">
        <v>1527</v>
      </c>
      <c r="B5" s="43" t="s">
        <v>289</v>
      </c>
      <c r="C5" s="63" t="s">
        <v>8485</v>
      </c>
      <c r="D5" s="11">
        <v>855.2</v>
      </c>
      <c r="E5" s="11"/>
    </row>
    <row r="6" spans="1:7" x14ac:dyDescent="0.15">
      <c r="A6" s="10" t="s">
        <v>1527</v>
      </c>
      <c r="B6" s="43"/>
      <c r="C6" s="63"/>
      <c r="D6" s="11"/>
      <c r="E6" s="11"/>
    </row>
    <row r="7" spans="1:7" x14ac:dyDescent="0.15">
      <c r="A7" s="10" t="s">
        <v>1527</v>
      </c>
      <c r="B7" s="43"/>
      <c r="C7" s="63"/>
      <c r="D7" s="11"/>
      <c r="E7" s="11"/>
    </row>
    <row r="8" spans="1:7" x14ac:dyDescent="0.15">
      <c r="A8" s="10" t="s">
        <v>1527</v>
      </c>
      <c r="B8" s="43"/>
      <c r="C8" s="63"/>
      <c r="D8" s="11"/>
      <c r="E8" s="11"/>
    </row>
    <row r="9" spans="1:7" x14ac:dyDescent="0.15">
      <c r="A9" s="10" t="s">
        <v>1527</v>
      </c>
      <c r="B9" s="43"/>
      <c r="C9" s="63"/>
      <c r="D9" s="11"/>
      <c r="E9" s="11"/>
    </row>
    <row r="10" spans="1:7" x14ac:dyDescent="0.15">
      <c r="A10" s="10" t="s">
        <v>1527</v>
      </c>
      <c r="B10" s="43"/>
      <c r="C10" s="63"/>
      <c r="D10" s="11"/>
      <c r="E10" s="11"/>
    </row>
    <row r="11" spans="1:7" x14ac:dyDescent="0.15">
      <c r="A11" s="10" t="s">
        <v>1527</v>
      </c>
      <c r="B11" s="43"/>
      <c r="C11" s="63"/>
      <c r="D11" s="11"/>
      <c r="E11" s="11"/>
    </row>
    <row r="12" spans="1:7" x14ac:dyDescent="0.15">
      <c r="A12" s="10" t="s">
        <v>1527</v>
      </c>
      <c r="B12" s="43"/>
      <c r="C12" s="63"/>
      <c r="D12" s="11"/>
      <c r="E12" s="11"/>
    </row>
    <row r="13" spans="1:7" x14ac:dyDescent="0.15">
      <c r="A13" s="10" t="s">
        <v>1527</v>
      </c>
      <c r="B13" s="43"/>
      <c r="C13" s="63"/>
      <c r="D13" s="11"/>
      <c r="E13" s="11"/>
    </row>
    <row r="14" spans="1:7" x14ac:dyDescent="0.15">
      <c r="A14" s="10" t="s">
        <v>1527</v>
      </c>
      <c r="B14" s="43"/>
      <c r="C14" s="63"/>
      <c r="D14" s="11"/>
      <c r="E14" s="11"/>
    </row>
    <row r="15" spans="1:7" x14ac:dyDescent="0.15">
      <c r="A15" s="10" t="s">
        <v>1527</v>
      </c>
      <c r="B15" s="43"/>
      <c r="C15" s="63"/>
      <c r="D15" s="11"/>
      <c r="E15" s="11"/>
    </row>
    <row r="16" spans="1:7" x14ac:dyDescent="0.15">
      <c r="A16" s="10" t="s">
        <v>1527</v>
      </c>
      <c r="B16" s="43"/>
      <c r="C16" s="63"/>
      <c r="D16" s="11"/>
      <c r="E16" s="11"/>
    </row>
    <row r="17" spans="1:5" x14ac:dyDescent="0.15">
      <c r="A17" s="10" t="s">
        <v>1527</v>
      </c>
      <c r="B17" s="43"/>
      <c r="C17" s="63"/>
      <c r="D17" s="11"/>
      <c r="E17" s="11"/>
    </row>
    <row r="18" spans="1:5" x14ac:dyDescent="0.15">
      <c r="A18" s="10" t="s">
        <v>1527</v>
      </c>
      <c r="B18" s="43"/>
      <c r="C18" s="63"/>
      <c r="D18" s="11"/>
      <c r="E18" s="11"/>
    </row>
    <row r="19" spans="1:5" x14ac:dyDescent="0.15">
      <c r="A19" s="10" t="s">
        <v>1527</v>
      </c>
      <c r="B19" s="43"/>
      <c r="C19" s="63"/>
      <c r="D19" s="11"/>
      <c r="E19" s="11"/>
    </row>
    <row r="20" spans="1:5" x14ac:dyDescent="0.15">
      <c r="A20" s="10" t="s">
        <v>1527</v>
      </c>
      <c r="B20" s="43"/>
      <c r="C20" s="63"/>
      <c r="D20" s="11"/>
      <c r="E20" s="11"/>
    </row>
    <row r="21" spans="1:5" x14ac:dyDescent="0.15">
      <c r="A21" s="10" t="s">
        <v>1527</v>
      </c>
      <c r="B21" s="43"/>
      <c r="C21" s="63"/>
      <c r="D21" s="11"/>
      <c r="E21" s="11"/>
    </row>
    <row r="22" spans="1:5" x14ac:dyDescent="0.15">
      <c r="A22" s="10" t="s">
        <v>1527</v>
      </c>
      <c r="B22" s="43"/>
      <c r="C22" s="63"/>
      <c r="D22" s="11"/>
      <c r="E22" s="11"/>
    </row>
    <row r="23" spans="1:5" x14ac:dyDescent="0.15">
      <c r="A23" s="10" t="s">
        <v>1527</v>
      </c>
      <c r="B23" s="43"/>
      <c r="C23" s="63"/>
      <c r="D23" s="11"/>
      <c r="E23" s="11"/>
    </row>
    <row r="24" spans="1:5" x14ac:dyDescent="0.15">
      <c r="A24" s="10" t="s">
        <v>1527</v>
      </c>
      <c r="B24" s="43"/>
      <c r="C24" s="63"/>
      <c r="D24" s="11"/>
      <c r="E24" s="11"/>
    </row>
    <row r="25" spans="1:5" x14ac:dyDescent="0.15">
      <c r="A25" s="10" t="s">
        <v>1527</v>
      </c>
      <c r="B25" s="43"/>
      <c r="C25" s="63"/>
      <c r="D25" s="11"/>
      <c r="E25" s="11"/>
    </row>
    <row r="26" spans="1:5" x14ac:dyDescent="0.15">
      <c r="A26" s="10" t="s">
        <v>1527</v>
      </c>
      <c r="B26" s="43"/>
      <c r="C26" s="63"/>
      <c r="D26" s="11"/>
      <c r="E26" s="11"/>
    </row>
    <row r="27" spans="1:5" x14ac:dyDescent="0.15">
      <c r="A27" s="10" t="s">
        <v>1527</v>
      </c>
      <c r="B27" s="43"/>
      <c r="C27" s="63"/>
      <c r="D27" s="11"/>
      <c r="E27" s="11"/>
    </row>
    <row r="28" spans="1:5" x14ac:dyDescent="0.15">
      <c r="A28" s="10" t="s">
        <v>1527</v>
      </c>
      <c r="B28" s="43"/>
      <c r="C28" s="63"/>
      <c r="D28" s="11"/>
      <c r="E28" s="11"/>
    </row>
    <row r="29" spans="1:5" x14ac:dyDescent="0.15">
      <c r="A29" s="10" t="s">
        <v>1527</v>
      </c>
      <c r="B29" s="43"/>
      <c r="C29" s="63"/>
      <c r="D29" s="11"/>
      <c r="E29" s="11"/>
    </row>
    <row r="30" spans="1:5" x14ac:dyDescent="0.15">
      <c r="A30" s="10" t="s">
        <v>1527</v>
      </c>
      <c r="B30" s="43"/>
      <c r="C30" s="63"/>
      <c r="D30" s="11"/>
      <c r="E30" s="11"/>
    </row>
  </sheetData>
  <conditionalFormatting sqref="A2:A30">
    <cfRule type="cellIs" dxfId="21" priority="3" operator="equal">
      <formula>"BSE"</formula>
    </cfRule>
    <cfRule type="cellIs" dxfId="20" priority="4" stopIfTrue="1" operator="equal">
      <formula>0.25</formula>
    </cfRule>
    <cfRule type="cellIs" dxfId="19" priority="5" operator="equal">
      <formula>0.5</formula>
    </cfRule>
    <cfRule type="cellIs" dxfId="18" priority="6" stopIfTrue="1" operator="equal">
      <formula>0.75</formula>
    </cfRule>
    <cfRule type="cellIs" dxfId="17" priority="7" operator="equal">
      <formula>1</formula>
    </cfRule>
  </conditionalFormatting>
  <dataValidations count="2">
    <dataValidation type="list" allowBlank="1" showErrorMessage="1" sqref="A2:A30" xr:uid="{3AE96089-7D18-2348-9B03-301F8E265BB8}">
      <formula1>"NSE,BSE"</formula1>
    </dataValidation>
    <dataValidation type="list" allowBlank="1" showInputMessage="1" showErrorMessage="1" sqref="C2:C30" xr:uid="{DC3C6333-B9E5-3345-B5AB-0FBA44A56D2A}">
      <formula1>"&gt;=,&gt;,&lt;=,&lt;,EQ"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8E0F50-B9A7-A649-AB83-58ADDBC6E58D}">
          <x14:formula1>
            <xm:f>STOCKS!$A$2:$A$3000</xm:f>
          </x14:formula1>
          <xm:sqref>B2:B30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D6CCF-D8C1-4340-AAB1-AAD55FE15299}">
  <dimension ref="A1:R42"/>
  <sheetViews>
    <sheetView zoomScale="229" zoomScaleNormal="229" workbookViewId="0">
      <pane ySplit="2" topLeftCell="A3" activePane="bottomLeft" state="frozen"/>
      <selection pane="bottomLeft" activeCell="L15" sqref="L15"/>
    </sheetView>
  </sheetViews>
  <sheetFormatPr baseColWidth="10" defaultColWidth="8.83203125" defaultRowHeight="14" x14ac:dyDescent="0.15"/>
  <cols>
    <col min="1" max="1" width="4.1640625" style="27" customWidth="1"/>
    <col min="2" max="2" width="18.1640625" style="27" bestFit="1" customWidth="1"/>
    <col min="3" max="3" width="8" style="27" customWidth="1"/>
    <col min="4" max="4" width="9.83203125" style="27" customWidth="1"/>
    <col min="5" max="5" width="6.6640625" style="27" customWidth="1"/>
    <col min="6" max="6" width="12.1640625" style="27" customWidth="1"/>
    <col min="7" max="7" width="12" style="27" customWidth="1"/>
    <col min="8" max="8" width="7.83203125" style="27" customWidth="1"/>
    <col min="9" max="9" width="9.83203125" style="27" customWidth="1"/>
    <col min="10" max="10" width="12.33203125" style="27" customWidth="1"/>
    <col min="11" max="11" width="7.33203125" style="27" customWidth="1"/>
    <col min="12" max="13" width="12.33203125" style="27" customWidth="1"/>
    <col min="14" max="14" width="7.33203125" style="27" customWidth="1"/>
    <col min="15" max="15" width="12.33203125" style="27" customWidth="1"/>
    <col min="16" max="16" width="16.5" style="27" bestFit="1" customWidth="1"/>
    <col min="17" max="17" width="7" style="27" bestFit="1" customWidth="1"/>
    <col min="18" max="18" width="9.6640625" style="27" bestFit="1" customWidth="1"/>
    <col min="19" max="16384" width="8.83203125" style="27"/>
  </cols>
  <sheetData>
    <row r="1" spans="1:18" ht="23.25" customHeight="1" x14ac:dyDescent="0.15">
      <c r="A1" s="60" t="s">
        <v>3443</v>
      </c>
      <c r="B1" s="25"/>
      <c r="C1" s="60" t="s">
        <v>3444</v>
      </c>
      <c r="D1" s="60" t="s">
        <v>3445</v>
      </c>
      <c r="E1" s="26" t="s">
        <v>3446</v>
      </c>
      <c r="F1" s="26" t="s">
        <v>3447</v>
      </c>
      <c r="G1" s="61" t="s">
        <v>3448</v>
      </c>
      <c r="H1" s="61"/>
      <c r="I1" s="61"/>
      <c r="J1" s="62" t="s">
        <v>3449</v>
      </c>
      <c r="K1" s="62"/>
      <c r="L1" s="62"/>
      <c r="M1" s="62" t="s">
        <v>3450</v>
      </c>
      <c r="N1" s="62"/>
      <c r="O1" s="62"/>
      <c r="P1" s="59" t="s">
        <v>3451</v>
      </c>
      <c r="Q1" s="59"/>
      <c r="R1" s="59"/>
    </row>
    <row r="2" spans="1:18" ht="45" x14ac:dyDescent="0.15">
      <c r="A2" s="60"/>
      <c r="B2" s="28" t="s">
        <v>3452</v>
      </c>
      <c r="C2" s="60"/>
      <c r="D2" s="60"/>
      <c r="E2" s="24" t="s">
        <v>3453</v>
      </c>
      <c r="F2" s="24" t="s">
        <v>3454</v>
      </c>
      <c r="G2" s="29" t="s">
        <v>3455</v>
      </c>
      <c r="H2" s="29" t="s">
        <v>3456</v>
      </c>
      <c r="I2" s="29" t="s">
        <v>3457</v>
      </c>
      <c r="J2" s="30" t="s">
        <v>3458</v>
      </c>
      <c r="K2" s="30" t="s">
        <v>3459</v>
      </c>
      <c r="L2" s="30" t="s">
        <v>3460</v>
      </c>
      <c r="M2" s="30" t="s">
        <v>3461</v>
      </c>
      <c r="N2" s="30" t="s">
        <v>3459</v>
      </c>
      <c r="O2" s="30" t="s">
        <v>3460</v>
      </c>
      <c r="P2" s="31" t="s">
        <v>3462</v>
      </c>
      <c r="Q2" s="31" t="s">
        <v>3459</v>
      </c>
      <c r="R2" s="31" t="s">
        <v>3460</v>
      </c>
    </row>
    <row r="3" spans="1:18" ht="15" x14ac:dyDescent="0.2">
      <c r="A3" s="32">
        <v>1</v>
      </c>
      <c r="B3" s="33" t="s">
        <v>3463</v>
      </c>
      <c r="C3" s="34">
        <v>50</v>
      </c>
      <c r="D3" s="35">
        <v>149</v>
      </c>
      <c r="E3" s="32" t="s">
        <v>3464</v>
      </c>
      <c r="F3" s="32" t="s">
        <v>3465</v>
      </c>
      <c r="G3" s="36">
        <v>156</v>
      </c>
      <c r="H3" s="37">
        <f>IF(AND(E3="BUY",F3="SINGLE"),C3,"")</f>
        <v>50</v>
      </c>
      <c r="I3" s="36">
        <v>156.5</v>
      </c>
      <c r="J3" s="36"/>
      <c r="K3" s="37" t="str">
        <f>IF(AND(E3="SELL",F3="OCO"),C3,"")</f>
        <v/>
      </c>
      <c r="L3" s="36"/>
      <c r="M3" s="36"/>
      <c r="N3" s="37" t="str">
        <f>IF(AND(E3="SELL",F3="OCO"),C3,"")</f>
        <v/>
      </c>
      <c r="O3" s="36"/>
      <c r="P3" s="36"/>
      <c r="Q3" s="37" t="str">
        <f>IF(AND(E3="SELL",F3="SINGLE"),C3,"")</f>
        <v/>
      </c>
      <c r="R3" s="36"/>
    </row>
    <row r="4" spans="1:18" ht="15" x14ac:dyDescent="0.2">
      <c r="A4" s="32">
        <v>2</v>
      </c>
      <c r="B4" s="33" t="s">
        <v>3463</v>
      </c>
      <c r="C4" s="34">
        <v>100</v>
      </c>
      <c r="D4" s="35">
        <v>149</v>
      </c>
      <c r="E4" s="32" t="s">
        <v>3464</v>
      </c>
      <c r="F4" s="32" t="s">
        <v>3465</v>
      </c>
      <c r="G4" s="36">
        <v>147.5</v>
      </c>
      <c r="H4" s="37">
        <f>IF(AND(E4="BUY",F4="SINGLE"),C4,"")</f>
        <v>100</v>
      </c>
      <c r="I4" s="36">
        <v>147.1</v>
      </c>
      <c r="J4" s="36"/>
      <c r="K4" s="37" t="str">
        <f>IF(AND(E4="SELL",F4="OCO"),C4,"")</f>
        <v/>
      </c>
      <c r="L4" s="36"/>
      <c r="M4" s="36"/>
      <c r="N4" s="37" t="str">
        <f t="shared" ref="N4:N42" si="0">IF(AND(E4="SELL",F4="OCO"),C4,"")</f>
        <v/>
      </c>
      <c r="O4" s="36"/>
      <c r="P4" s="36"/>
      <c r="Q4" s="37" t="str">
        <f>IF(AND(E4="SELL",F4="SINGLE"),C4,"")</f>
        <v/>
      </c>
      <c r="R4" s="36"/>
    </row>
    <row r="5" spans="1:18" ht="15" x14ac:dyDescent="0.2">
      <c r="A5" s="32">
        <v>3</v>
      </c>
      <c r="B5" s="33" t="s">
        <v>3463</v>
      </c>
      <c r="C5" s="34">
        <v>200</v>
      </c>
      <c r="D5" s="35">
        <v>149</v>
      </c>
      <c r="E5" s="32" t="s">
        <v>3464</v>
      </c>
      <c r="F5" s="32" t="s">
        <v>3465</v>
      </c>
      <c r="G5" s="36">
        <v>159</v>
      </c>
      <c r="H5" s="37">
        <f t="shared" ref="H5:H42" si="1">IF(AND(E5="BUY",F5="SINGLE"),C5,"")</f>
        <v>200</v>
      </c>
      <c r="I5" s="36">
        <v>159.5</v>
      </c>
      <c r="J5" s="36"/>
      <c r="K5" s="37" t="str">
        <f t="shared" ref="K5:K42" si="2">IF(AND(E5="SELL",F5="OCO"),C5,"")</f>
        <v/>
      </c>
      <c r="L5" s="36"/>
      <c r="M5" s="36"/>
      <c r="N5" s="37" t="str">
        <f t="shared" si="0"/>
        <v/>
      </c>
      <c r="O5" s="36"/>
      <c r="P5" s="36"/>
      <c r="Q5" s="37" t="str">
        <f t="shared" ref="Q5:Q42" si="3">IF(AND(E5="SELL",F5="SINGLE"),C5,"")</f>
        <v/>
      </c>
      <c r="R5" s="36"/>
    </row>
    <row r="6" spans="1:18" ht="15" x14ac:dyDescent="0.2">
      <c r="A6" s="32">
        <v>4</v>
      </c>
      <c r="B6" s="33" t="s">
        <v>3463</v>
      </c>
      <c r="C6" s="34">
        <v>100</v>
      </c>
      <c r="D6" s="35">
        <v>149</v>
      </c>
      <c r="E6" s="32" t="s">
        <v>3466</v>
      </c>
      <c r="F6" s="32" t="s">
        <v>3465</v>
      </c>
      <c r="G6" s="36"/>
      <c r="H6" s="37" t="str">
        <f t="shared" si="1"/>
        <v/>
      </c>
      <c r="I6" s="36"/>
      <c r="J6" s="36"/>
      <c r="K6" s="37" t="str">
        <f t="shared" si="2"/>
        <v/>
      </c>
      <c r="L6" s="36"/>
      <c r="M6" s="36"/>
      <c r="N6" s="37" t="str">
        <f t="shared" si="0"/>
        <v/>
      </c>
      <c r="O6" s="36"/>
      <c r="P6" s="36">
        <v>143.5</v>
      </c>
      <c r="Q6" s="37">
        <f t="shared" si="3"/>
        <v>100</v>
      </c>
      <c r="R6" s="36">
        <v>143</v>
      </c>
    </row>
    <row r="7" spans="1:18" ht="15" x14ac:dyDescent="0.2">
      <c r="A7" s="32">
        <v>5</v>
      </c>
      <c r="B7" s="33" t="s">
        <v>3463</v>
      </c>
      <c r="C7" s="34">
        <v>100</v>
      </c>
      <c r="D7" s="35">
        <v>149</v>
      </c>
      <c r="E7" s="32" t="s">
        <v>3466</v>
      </c>
      <c r="F7" s="32" t="s">
        <v>3465</v>
      </c>
      <c r="G7" s="36"/>
      <c r="H7" s="37" t="str">
        <f t="shared" si="1"/>
        <v/>
      </c>
      <c r="I7" s="36"/>
      <c r="J7" s="36"/>
      <c r="K7" s="37" t="str">
        <f t="shared" si="2"/>
        <v/>
      </c>
      <c r="L7" s="36"/>
      <c r="M7" s="36"/>
      <c r="N7" s="37" t="str">
        <f t="shared" si="0"/>
        <v/>
      </c>
      <c r="O7" s="36"/>
      <c r="P7" s="36">
        <v>160</v>
      </c>
      <c r="Q7" s="37">
        <f t="shared" si="3"/>
        <v>100</v>
      </c>
      <c r="R7" s="36">
        <v>159.5</v>
      </c>
    </row>
    <row r="8" spans="1:18" ht="15" x14ac:dyDescent="0.2">
      <c r="A8" s="32">
        <v>6</v>
      </c>
      <c r="B8" s="33" t="s">
        <v>81</v>
      </c>
      <c r="C8" s="34">
        <v>200</v>
      </c>
      <c r="D8" s="35">
        <v>260</v>
      </c>
      <c r="E8" s="32" t="s">
        <v>3466</v>
      </c>
      <c r="F8" s="32" t="s">
        <v>3467</v>
      </c>
      <c r="G8" s="36"/>
      <c r="H8" s="37" t="str">
        <f t="shared" si="1"/>
        <v/>
      </c>
      <c r="I8" s="36"/>
      <c r="J8" s="36">
        <v>240</v>
      </c>
      <c r="K8" s="37">
        <f t="shared" si="2"/>
        <v>200</v>
      </c>
      <c r="L8" s="36">
        <v>239.5</v>
      </c>
      <c r="M8" s="36">
        <v>290</v>
      </c>
      <c r="N8" s="37">
        <f t="shared" si="0"/>
        <v>200</v>
      </c>
      <c r="O8" s="36">
        <v>289.5</v>
      </c>
      <c r="P8" s="36"/>
      <c r="Q8" s="37" t="str">
        <f t="shared" si="3"/>
        <v/>
      </c>
      <c r="R8" s="36"/>
    </row>
    <row r="9" spans="1:18" ht="15" x14ac:dyDescent="0.2">
      <c r="A9" s="32">
        <v>7</v>
      </c>
      <c r="B9" s="33" t="s">
        <v>81</v>
      </c>
      <c r="C9" s="34">
        <v>300</v>
      </c>
      <c r="D9" s="35">
        <v>260</v>
      </c>
      <c r="E9" s="32" t="s">
        <v>3466</v>
      </c>
      <c r="F9" s="32" t="s">
        <v>3467</v>
      </c>
      <c r="G9" s="36"/>
      <c r="H9" s="37" t="str">
        <f t="shared" si="1"/>
        <v/>
      </c>
      <c r="I9" s="36"/>
      <c r="J9" s="36">
        <v>230</v>
      </c>
      <c r="K9" s="37">
        <f t="shared" si="2"/>
        <v>300</v>
      </c>
      <c r="L9" s="36">
        <v>229.5</v>
      </c>
      <c r="M9" s="36">
        <v>310</v>
      </c>
      <c r="N9" s="37">
        <f t="shared" si="0"/>
        <v>300</v>
      </c>
      <c r="O9" s="36">
        <v>309.5</v>
      </c>
      <c r="P9" s="36"/>
      <c r="Q9" s="37" t="str">
        <f t="shared" si="3"/>
        <v/>
      </c>
      <c r="R9" s="36"/>
    </row>
    <row r="10" spans="1:18" ht="15" x14ac:dyDescent="0.2">
      <c r="A10" s="32">
        <v>8</v>
      </c>
      <c r="B10" s="33" t="s">
        <v>81</v>
      </c>
      <c r="C10" s="34">
        <v>400</v>
      </c>
      <c r="D10" s="35">
        <v>260</v>
      </c>
      <c r="E10" s="32" t="s">
        <v>3466</v>
      </c>
      <c r="F10" s="32" t="s">
        <v>3467</v>
      </c>
      <c r="G10" s="36"/>
      <c r="H10" s="37" t="str">
        <f t="shared" si="1"/>
        <v/>
      </c>
      <c r="I10" s="36"/>
      <c r="J10" s="36">
        <v>220</v>
      </c>
      <c r="K10" s="37">
        <f t="shared" si="2"/>
        <v>400</v>
      </c>
      <c r="L10" s="36">
        <v>219.5</v>
      </c>
      <c r="M10" s="36">
        <v>320</v>
      </c>
      <c r="N10" s="37">
        <f t="shared" si="0"/>
        <v>400</v>
      </c>
      <c r="O10" s="36">
        <v>319.5</v>
      </c>
      <c r="P10" s="36"/>
      <c r="Q10" s="37" t="str">
        <f t="shared" si="3"/>
        <v/>
      </c>
      <c r="R10" s="36"/>
    </row>
    <row r="11" spans="1:18" ht="15" x14ac:dyDescent="0.2">
      <c r="A11" s="32">
        <v>9</v>
      </c>
      <c r="B11" s="33"/>
      <c r="C11" s="34"/>
      <c r="D11" s="35"/>
      <c r="E11" s="32"/>
      <c r="F11" s="32"/>
      <c r="G11" s="36"/>
      <c r="H11" s="37" t="str">
        <f t="shared" si="1"/>
        <v/>
      </c>
      <c r="I11" s="36"/>
      <c r="J11" s="36"/>
      <c r="K11" s="37" t="str">
        <f t="shared" si="2"/>
        <v/>
      </c>
      <c r="L11" s="36"/>
      <c r="M11" s="36"/>
      <c r="N11" s="37" t="str">
        <f t="shared" si="0"/>
        <v/>
      </c>
      <c r="O11" s="36"/>
      <c r="P11" s="36"/>
      <c r="Q11" s="37" t="str">
        <f t="shared" si="3"/>
        <v/>
      </c>
      <c r="R11" s="36"/>
    </row>
    <row r="12" spans="1:18" ht="15" x14ac:dyDescent="0.2">
      <c r="A12" s="32">
        <v>10</v>
      </c>
      <c r="B12" s="33"/>
      <c r="C12" s="34"/>
      <c r="D12" s="35"/>
      <c r="E12" s="32"/>
      <c r="F12" s="32"/>
      <c r="G12" s="36"/>
      <c r="H12" s="37" t="str">
        <f t="shared" si="1"/>
        <v/>
      </c>
      <c r="I12" s="36"/>
      <c r="J12" s="36"/>
      <c r="K12" s="37" t="str">
        <f t="shared" si="2"/>
        <v/>
      </c>
      <c r="L12" s="36"/>
      <c r="M12" s="36"/>
      <c r="N12" s="37" t="str">
        <f t="shared" si="0"/>
        <v/>
      </c>
      <c r="O12" s="36"/>
      <c r="P12" s="36"/>
      <c r="Q12" s="37" t="str">
        <f t="shared" si="3"/>
        <v/>
      </c>
      <c r="R12" s="36"/>
    </row>
    <row r="13" spans="1:18" ht="15" x14ac:dyDescent="0.2">
      <c r="A13" s="32">
        <v>11</v>
      </c>
      <c r="B13" s="33"/>
      <c r="C13" s="34"/>
      <c r="D13" s="35"/>
      <c r="E13" s="32"/>
      <c r="F13" s="32"/>
      <c r="G13" s="36"/>
      <c r="H13" s="37" t="str">
        <f t="shared" si="1"/>
        <v/>
      </c>
      <c r="I13" s="36"/>
      <c r="J13" s="36"/>
      <c r="K13" s="37" t="str">
        <f t="shared" si="2"/>
        <v/>
      </c>
      <c r="L13" s="36"/>
      <c r="M13" s="36"/>
      <c r="N13" s="37" t="str">
        <f t="shared" si="0"/>
        <v/>
      </c>
      <c r="O13" s="36"/>
      <c r="P13" s="36"/>
      <c r="Q13" s="37" t="str">
        <f t="shared" si="3"/>
        <v/>
      </c>
      <c r="R13" s="36"/>
    </row>
    <row r="14" spans="1:18" ht="15" x14ac:dyDescent="0.2">
      <c r="A14" s="32">
        <v>12</v>
      </c>
      <c r="B14" s="33"/>
      <c r="C14" s="34"/>
      <c r="D14" s="35"/>
      <c r="E14" s="32"/>
      <c r="F14" s="32"/>
      <c r="G14" s="36"/>
      <c r="H14" s="37" t="str">
        <f t="shared" si="1"/>
        <v/>
      </c>
      <c r="I14" s="36"/>
      <c r="J14" s="36"/>
      <c r="K14" s="37" t="str">
        <f t="shared" si="2"/>
        <v/>
      </c>
      <c r="L14" s="36"/>
      <c r="M14" s="36"/>
      <c r="N14" s="37" t="str">
        <f t="shared" si="0"/>
        <v/>
      </c>
      <c r="O14" s="36"/>
      <c r="P14" s="36"/>
      <c r="Q14" s="37" t="str">
        <f t="shared" si="3"/>
        <v/>
      </c>
      <c r="R14" s="36"/>
    </row>
    <row r="15" spans="1:18" ht="15" x14ac:dyDescent="0.2">
      <c r="A15" s="32">
        <v>13</v>
      </c>
      <c r="B15" s="33"/>
      <c r="C15" s="34"/>
      <c r="D15" s="35"/>
      <c r="E15" s="32"/>
      <c r="F15" s="32"/>
      <c r="G15" s="36"/>
      <c r="H15" s="37" t="str">
        <f t="shared" si="1"/>
        <v/>
      </c>
      <c r="I15" s="36"/>
      <c r="J15" s="36"/>
      <c r="K15" s="37" t="str">
        <f t="shared" si="2"/>
        <v/>
      </c>
      <c r="L15" s="36"/>
      <c r="M15" s="36"/>
      <c r="N15" s="37" t="str">
        <f t="shared" si="0"/>
        <v/>
      </c>
      <c r="O15" s="36"/>
      <c r="P15" s="36"/>
      <c r="Q15" s="37" t="str">
        <f t="shared" si="3"/>
        <v/>
      </c>
      <c r="R15" s="36"/>
    </row>
    <row r="16" spans="1:18" ht="15" x14ac:dyDescent="0.2">
      <c r="A16" s="32">
        <v>14</v>
      </c>
      <c r="B16" s="33"/>
      <c r="C16" s="34"/>
      <c r="D16" s="35"/>
      <c r="E16" s="32"/>
      <c r="F16" s="32"/>
      <c r="G16" s="36"/>
      <c r="H16" s="37" t="str">
        <f t="shared" si="1"/>
        <v/>
      </c>
      <c r="I16" s="36"/>
      <c r="J16" s="36"/>
      <c r="K16" s="37" t="str">
        <f t="shared" si="2"/>
        <v/>
      </c>
      <c r="L16" s="36"/>
      <c r="M16" s="36"/>
      <c r="N16" s="37" t="str">
        <f t="shared" si="0"/>
        <v/>
      </c>
      <c r="O16" s="36"/>
      <c r="P16" s="36"/>
      <c r="Q16" s="37" t="str">
        <f t="shared" si="3"/>
        <v/>
      </c>
      <c r="R16" s="36"/>
    </row>
    <row r="17" spans="1:18" ht="15" x14ac:dyDescent="0.2">
      <c r="A17" s="32">
        <v>15</v>
      </c>
      <c r="B17" s="33"/>
      <c r="C17" s="34"/>
      <c r="D17" s="35"/>
      <c r="E17" s="32"/>
      <c r="F17" s="32"/>
      <c r="G17" s="36"/>
      <c r="H17" s="37" t="str">
        <f t="shared" si="1"/>
        <v/>
      </c>
      <c r="I17" s="36"/>
      <c r="J17" s="36"/>
      <c r="K17" s="37" t="str">
        <f t="shared" si="2"/>
        <v/>
      </c>
      <c r="L17" s="36"/>
      <c r="M17" s="36"/>
      <c r="N17" s="37" t="str">
        <f t="shared" si="0"/>
        <v/>
      </c>
      <c r="O17" s="36"/>
      <c r="P17" s="36"/>
      <c r="Q17" s="37" t="str">
        <f t="shared" si="3"/>
        <v/>
      </c>
      <c r="R17" s="36"/>
    </row>
    <row r="18" spans="1:18" ht="15" x14ac:dyDescent="0.2">
      <c r="A18" s="32">
        <v>16</v>
      </c>
      <c r="B18" s="33"/>
      <c r="C18" s="34"/>
      <c r="D18" s="35"/>
      <c r="E18" s="32"/>
      <c r="F18" s="32"/>
      <c r="G18" s="36"/>
      <c r="H18" s="37" t="str">
        <f t="shared" si="1"/>
        <v/>
      </c>
      <c r="I18" s="36"/>
      <c r="J18" s="36"/>
      <c r="K18" s="37" t="str">
        <f t="shared" si="2"/>
        <v/>
      </c>
      <c r="L18" s="36"/>
      <c r="M18" s="36"/>
      <c r="N18" s="37" t="str">
        <f t="shared" si="0"/>
        <v/>
      </c>
      <c r="O18" s="36"/>
      <c r="P18" s="36"/>
      <c r="Q18" s="37" t="str">
        <f t="shared" si="3"/>
        <v/>
      </c>
      <c r="R18" s="36"/>
    </row>
    <row r="19" spans="1:18" ht="15" x14ac:dyDescent="0.2">
      <c r="A19" s="32">
        <v>17</v>
      </c>
      <c r="B19" s="33"/>
      <c r="C19" s="34"/>
      <c r="D19" s="35"/>
      <c r="E19" s="32"/>
      <c r="F19" s="32"/>
      <c r="G19" s="36"/>
      <c r="H19" s="37" t="str">
        <f t="shared" si="1"/>
        <v/>
      </c>
      <c r="I19" s="36"/>
      <c r="J19" s="36"/>
      <c r="K19" s="37" t="str">
        <f t="shared" si="2"/>
        <v/>
      </c>
      <c r="L19" s="36"/>
      <c r="M19" s="36"/>
      <c r="N19" s="37" t="str">
        <f t="shared" si="0"/>
        <v/>
      </c>
      <c r="O19" s="36"/>
      <c r="P19" s="36"/>
      <c r="Q19" s="37" t="str">
        <f t="shared" si="3"/>
        <v/>
      </c>
      <c r="R19" s="36"/>
    </row>
    <row r="20" spans="1:18" ht="15" x14ac:dyDescent="0.2">
      <c r="A20" s="32">
        <v>18</v>
      </c>
      <c r="B20" s="33"/>
      <c r="C20" s="34"/>
      <c r="D20" s="35"/>
      <c r="E20" s="32"/>
      <c r="F20" s="32"/>
      <c r="G20" s="36"/>
      <c r="H20" s="37" t="str">
        <f t="shared" si="1"/>
        <v/>
      </c>
      <c r="I20" s="36"/>
      <c r="J20" s="36"/>
      <c r="K20" s="37" t="str">
        <f t="shared" si="2"/>
        <v/>
      </c>
      <c r="L20" s="36"/>
      <c r="M20" s="36"/>
      <c r="N20" s="37" t="str">
        <f t="shared" si="0"/>
        <v/>
      </c>
      <c r="O20" s="36"/>
      <c r="P20" s="36"/>
      <c r="Q20" s="37" t="str">
        <f t="shared" si="3"/>
        <v/>
      </c>
      <c r="R20" s="36"/>
    </row>
    <row r="21" spans="1:18" ht="15" x14ac:dyDescent="0.2">
      <c r="A21" s="32">
        <v>19</v>
      </c>
      <c r="B21" s="33"/>
      <c r="C21" s="34"/>
      <c r="D21" s="35"/>
      <c r="E21" s="32"/>
      <c r="F21" s="32"/>
      <c r="G21" s="36"/>
      <c r="H21" s="37" t="str">
        <f t="shared" si="1"/>
        <v/>
      </c>
      <c r="I21" s="36"/>
      <c r="J21" s="36"/>
      <c r="K21" s="37" t="str">
        <f t="shared" si="2"/>
        <v/>
      </c>
      <c r="L21" s="36"/>
      <c r="M21" s="36"/>
      <c r="N21" s="37" t="str">
        <f t="shared" si="0"/>
        <v/>
      </c>
      <c r="O21" s="36"/>
      <c r="P21" s="36"/>
      <c r="Q21" s="37" t="str">
        <f t="shared" si="3"/>
        <v/>
      </c>
      <c r="R21" s="36"/>
    </row>
    <row r="22" spans="1:18" ht="15" x14ac:dyDescent="0.2">
      <c r="A22" s="32">
        <v>20</v>
      </c>
      <c r="B22" s="33"/>
      <c r="C22" s="34"/>
      <c r="D22" s="35"/>
      <c r="E22" s="32"/>
      <c r="F22" s="32"/>
      <c r="G22" s="36"/>
      <c r="H22" s="37" t="str">
        <f t="shared" si="1"/>
        <v/>
      </c>
      <c r="I22" s="36"/>
      <c r="J22" s="36"/>
      <c r="K22" s="37" t="str">
        <f t="shared" si="2"/>
        <v/>
      </c>
      <c r="L22" s="36"/>
      <c r="M22" s="36"/>
      <c r="N22" s="37" t="str">
        <f t="shared" si="0"/>
        <v/>
      </c>
      <c r="O22" s="36"/>
      <c r="P22" s="36"/>
      <c r="Q22" s="37" t="str">
        <f t="shared" si="3"/>
        <v/>
      </c>
      <c r="R22" s="36"/>
    </row>
    <row r="23" spans="1:18" ht="15" x14ac:dyDescent="0.2">
      <c r="A23" s="32">
        <v>21</v>
      </c>
      <c r="B23" s="33"/>
      <c r="C23" s="34"/>
      <c r="D23" s="35"/>
      <c r="E23" s="32"/>
      <c r="F23" s="32"/>
      <c r="G23" s="36"/>
      <c r="H23" s="37" t="str">
        <f t="shared" si="1"/>
        <v/>
      </c>
      <c r="I23" s="36"/>
      <c r="J23" s="36"/>
      <c r="K23" s="37" t="str">
        <f t="shared" si="2"/>
        <v/>
      </c>
      <c r="L23" s="36"/>
      <c r="M23" s="36"/>
      <c r="N23" s="37" t="str">
        <f t="shared" si="0"/>
        <v/>
      </c>
      <c r="O23" s="36"/>
      <c r="P23" s="36"/>
      <c r="Q23" s="37" t="str">
        <f t="shared" si="3"/>
        <v/>
      </c>
      <c r="R23" s="36"/>
    </row>
    <row r="24" spans="1:18" ht="15" x14ac:dyDescent="0.2">
      <c r="A24" s="32">
        <v>22</v>
      </c>
      <c r="B24" s="33"/>
      <c r="C24" s="34"/>
      <c r="D24" s="35"/>
      <c r="E24" s="32"/>
      <c r="F24" s="32"/>
      <c r="G24" s="36"/>
      <c r="H24" s="37" t="str">
        <f t="shared" si="1"/>
        <v/>
      </c>
      <c r="I24" s="36"/>
      <c r="J24" s="36"/>
      <c r="K24" s="37" t="str">
        <f t="shared" si="2"/>
        <v/>
      </c>
      <c r="L24" s="36"/>
      <c r="M24" s="36"/>
      <c r="N24" s="37" t="str">
        <f t="shared" si="0"/>
        <v/>
      </c>
      <c r="O24" s="36"/>
      <c r="P24" s="36"/>
      <c r="Q24" s="37" t="str">
        <f t="shared" si="3"/>
        <v/>
      </c>
      <c r="R24" s="36"/>
    </row>
    <row r="25" spans="1:18" ht="15" x14ac:dyDescent="0.2">
      <c r="A25" s="32">
        <v>23</v>
      </c>
      <c r="B25" s="33"/>
      <c r="C25" s="34"/>
      <c r="D25" s="35"/>
      <c r="E25" s="32"/>
      <c r="F25" s="32"/>
      <c r="G25" s="36"/>
      <c r="H25" s="37" t="str">
        <f t="shared" si="1"/>
        <v/>
      </c>
      <c r="I25" s="36"/>
      <c r="J25" s="36"/>
      <c r="K25" s="37" t="str">
        <f t="shared" si="2"/>
        <v/>
      </c>
      <c r="L25" s="36"/>
      <c r="M25" s="36"/>
      <c r="N25" s="37" t="str">
        <f t="shared" si="0"/>
        <v/>
      </c>
      <c r="O25" s="36"/>
      <c r="P25" s="36"/>
      <c r="Q25" s="37" t="str">
        <f t="shared" si="3"/>
        <v/>
      </c>
      <c r="R25" s="36"/>
    </row>
    <row r="26" spans="1:18" ht="15" x14ac:dyDescent="0.2">
      <c r="A26" s="32">
        <v>24</v>
      </c>
      <c r="B26" s="33"/>
      <c r="C26" s="34"/>
      <c r="D26" s="35"/>
      <c r="E26" s="32"/>
      <c r="F26" s="32"/>
      <c r="G26" s="36"/>
      <c r="H26" s="37" t="str">
        <f t="shared" si="1"/>
        <v/>
      </c>
      <c r="I26" s="36"/>
      <c r="J26" s="36"/>
      <c r="K26" s="37" t="str">
        <f t="shared" si="2"/>
        <v/>
      </c>
      <c r="L26" s="36"/>
      <c r="M26" s="36"/>
      <c r="N26" s="37" t="str">
        <f t="shared" si="0"/>
        <v/>
      </c>
      <c r="O26" s="36"/>
      <c r="P26" s="36"/>
      <c r="Q26" s="37" t="str">
        <f t="shared" si="3"/>
        <v/>
      </c>
      <c r="R26" s="36"/>
    </row>
    <row r="27" spans="1:18" ht="15" x14ac:dyDescent="0.2">
      <c r="A27" s="32">
        <v>25</v>
      </c>
      <c r="B27" s="33"/>
      <c r="C27" s="34"/>
      <c r="D27" s="35"/>
      <c r="E27" s="32"/>
      <c r="F27" s="32"/>
      <c r="G27" s="36"/>
      <c r="H27" s="37" t="str">
        <f t="shared" si="1"/>
        <v/>
      </c>
      <c r="I27" s="36"/>
      <c r="J27" s="36"/>
      <c r="K27" s="37" t="str">
        <f t="shared" si="2"/>
        <v/>
      </c>
      <c r="L27" s="36"/>
      <c r="M27" s="36"/>
      <c r="N27" s="37" t="str">
        <f t="shared" si="0"/>
        <v/>
      </c>
      <c r="O27" s="36"/>
      <c r="P27" s="36"/>
      <c r="Q27" s="37" t="str">
        <f t="shared" si="3"/>
        <v/>
      </c>
      <c r="R27" s="36"/>
    </row>
    <row r="28" spans="1:18" ht="15" x14ac:dyDescent="0.2">
      <c r="A28" s="32">
        <v>26</v>
      </c>
      <c r="B28" s="33"/>
      <c r="C28" s="34"/>
      <c r="D28" s="35"/>
      <c r="E28" s="32"/>
      <c r="F28" s="32"/>
      <c r="G28" s="36"/>
      <c r="H28" s="37" t="str">
        <f t="shared" si="1"/>
        <v/>
      </c>
      <c r="I28" s="36"/>
      <c r="J28" s="36"/>
      <c r="K28" s="37" t="str">
        <f t="shared" si="2"/>
        <v/>
      </c>
      <c r="L28" s="36"/>
      <c r="M28" s="36"/>
      <c r="N28" s="37" t="str">
        <f t="shared" si="0"/>
        <v/>
      </c>
      <c r="O28" s="36"/>
      <c r="P28" s="36"/>
      <c r="Q28" s="37" t="str">
        <f t="shared" si="3"/>
        <v/>
      </c>
      <c r="R28" s="36"/>
    </row>
    <row r="29" spans="1:18" ht="15" x14ac:dyDescent="0.2">
      <c r="A29" s="32">
        <v>27</v>
      </c>
      <c r="B29" s="33"/>
      <c r="C29" s="34"/>
      <c r="D29" s="35"/>
      <c r="E29" s="32"/>
      <c r="F29" s="32"/>
      <c r="G29" s="36"/>
      <c r="H29" s="37" t="str">
        <f t="shared" si="1"/>
        <v/>
      </c>
      <c r="I29" s="36"/>
      <c r="J29" s="36"/>
      <c r="K29" s="37" t="str">
        <f t="shared" si="2"/>
        <v/>
      </c>
      <c r="L29" s="36"/>
      <c r="M29" s="36"/>
      <c r="N29" s="37" t="str">
        <f t="shared" si="0"/>
        <v/>
      </c>
      <c r="O29" s="36"/>
      <c r="P29" s="36"/>
      <c r="Q29" s="37" t="str">
        <f t="shared" si="3"/>
        <v/>
      </c>
      <c r="R29" s="36"/>
    </row>
    <row r="30" spans="1:18" ht="15" x14ac:dyDescent="0.2">
      <c r="A30" s="32">
        <v>28</v>
      </c>
      <c r="B30" s="33"/>
      <c r="C30" s="34"/>
      <c r="D30" s="35"/>
      <c r="E30" s="32"/>
      <c r="F30" s="32"/>
      <c r="G30" s="36"/>
      <c r="H30" s="37" t="str">
        <f t="shared" si="1"/>
        <v/>
      </c>
      <c r="I30" s="36"/>
      <c r="J30" s="36"/>
      <c r="K30" s="37" t="str">
        <f t="shared" si="2"/>
        <v/>
      </c>
      <c r="L30" s="36"/>
      <c r="M30" s="36"/>
      <c r="N30" s="37" t="str">
        <f t="shared" si="0"/>
        <v/>
      </c>
      <c r="O30" s="36"/>
      <c r="P30" s="36"/>
      <c r="Q30" s="37" t="str">
        <f t="shared" si="3"/>
        <v/>
      </c>
      <c r="R30" s="36"/>
    </row>
    <row r="31" spans="1:18" ht="15" x14ac:dyDescent="0.2">
      <c r="A31" s="32">
        <v>29</v>
      </c>
      <c r="B31" s="33"/>
      <c r="C31" s="34"/>
      <c r="D31" s="35"/>
      <c r="E31" s="32"/>
      <c r="F31" s="32"/>
      <c r="G31" s="36"/>
      <c r="H31" s="37" t="str">
        <f t="shared" si="1"/>
        <v/>
      </c>
      <c r="I31" s="36"/>
      <c r="J31" s="36"/>
      <c r="K31" s="37" t="str">
        <f t="shared" si="2"/>
        <v/>
      </c>
      <c r="L31" s="36"/>
      <c r="M31" s="36"/>
      <c r="N31" s="37" t="str">
        <f t="shared" si="0"/>
        <v/>
      </c>
      <c r="O31" s="36"/>
      <c r="P31" s="36"/>
      <c r="Q31" s="37" t="str">
        <f t="shared" si="3"/>
        <v/>
      </c>
      <c r="R31" s="36"/>
    </row>
    <row r="32" spans="1:18" ht="15" x14ac:dyDescent="0.2">
      <c r="A32" s="32">
        <v>30</v>
      </c>
      <c r="B32" s="33"/>
      <c r="C32" s="34"/>
      <c r="D32" s="38"/>
      <c r="E32" s="32"/>
      <c r="F32" s="32"/>
      <c r="G32" s="36"/>
      <c r="H32" s="37" t="str">
        <f t="shared" si="1"/>
        <v/>
      </c>
      <c r="I32" s="36"/>
      <c r="J32" s="36"/>
      <c r="K32" s="37" t="str">
        <f t="shared" si="2"/>
        <v/>
      </c>
      <c r="L32" s="36"/>
      <c r="M32" s="36"/>
      <c r="N32" s="37" t="str">
        <f t="shared" si="0"/>
        <v/>
      </c>
      <c r="O32" s="36"/>
      <c r="P32" s="36"/>
      <c r="Q32" s="37" t="str">
        <f t="shared" si="3"/>
        <v/>
      </c>
      <c r="R32" s="36"/>
    </row>
    <row r="33" spans="1:18" ht="15" x14ac:dyDescent="0.2">
      <c r="A33" s="32">
        <v>31</v>
      </c>
      <c r="B33" s="33"/>
      <c r="C33" s="34"/>
      <c r="D33" s="38"/>
      <c r="E33" s="32"/>
      <c r="F33" s="32"/>
      <c r="G33" s="36"/>
      <c r="H33" s="37" t="str">
        <f t="shared" si="1"/>
        <v/>
      </c>
      <c r="I33" s="36"/>
      <c r="J33" s="36"/>
      <c r="K33" s="37" t="str">
        <f t="shared" si="2"/>
        <v/>
      </c>
      <c r="L33" s="36"/>
      <c r="M33" s="36"/>
      <c r="N33" s="37" t="str">
        <f t="shared" si="0"/>
        <v/>
      </c>
      <c r="O33" s="36"/>
      <c r="P33" s="36"/>
      <c r="Q33" s="37" t="str">
        <f t="shared" si="3"/>
        <v/>
      </c>
      <c r="R33" s="36"/>
    </row>
    <row r="34" spans="1:18" ht="15" x14ac:dyDescent="0.2">
      <c r="A34" s="32">
        <v>32</v>
      </c>
      <c r="B34" s="33"/>
      <c r="C34" s="34"/>
      <c r="D34" s="38"/>
      <c r="E34" s="32"/>
      <c r="F34" s="32"/>
      <c r="G34" s="36"/>
      <c r="H34" s="37" t="str">
        <f t="shared" si="1"/>
        <v/>
      </c>
      <c r="I34" s="36"/>
      <c r="J34" s="36"/>
      <c r="K34" s="37" t="str">
        <f t="shared" si="2"/>
        <v/>
      </c>
      <c r="L34" s="36"/>
      <c r="M34" s="36"/>
      <c r="N34" s="37" t="str">
        <f t="shared" si="0"/>
        <v/>
      </c>
      <c r="O34" s="36"/>
      <c r="P34" s="36"/>
      <c r="Q34" s="37" t="str">
        <f t="shared" si="3"/>
        <v/>
      </c>
      <c r="R34" s="36"/>
    </row>
    <row r="35" spans="1:18" ht="15" x14ac:dyDescent="0.2">
      <c r="A35" s="32">
        <v>33</v>
      </c>
      <c r="B35" s="33"/>
      <c r="C35" s="34"/>
      <c r="D35" s="38"/>
      <c r="E35" s="32"/>
      <c r="F35" s="32"/>
      <c r="G35" s="36"/>
      <c r="H35" s="37" t="str">
        <f t="shared" si="1"/>
        <v/>
      </c>
      <c r="I35" s="36"/>
      <c r="J35" s="36"/>
      <c r="K35" s="37" t="str">
        <f t="shared" si="2"/>
        <v/>
      </c>
      <c r="L35" s="36"/>
      <c r="M35" s="36"/>
      <c r="N35" s="37" t="str">
        <f t="shared" si="0"/>
        <v/>
      </c>
      <c r="O35" s="36"/>
      <c r="P35" s="36"/>
      <c r="Q35" s="37" t="str">
        <f t="shared" si="3"/>
        <v/>
      </c>
      <c r="R35" s="36"/>
    </row>
    <row r="36" spans="1:18" ht="15" x14ac:dyDescent="0.2">
      <c r="A36" s="32">
        <v>34</v>
      </c>
      <c r="B36" s="33"/>
      <c r="C36" s="34"/>
      <c r="D36" s="38"/>
      <c r="E36" s="32"/>
      <c r="F36" s="32"/>
      <c r="G36" s="36"/>
      <c r="H36" s="37" t="str">
        <f t="shared" si="1"/>
        <v/>
      </c>
      <c r="I36" s="36"/>
      <c r="J36" s="36"/>
      <c r="K36" s="37" t="str">
        <f t="shared" si="2"/>
        <v/>
      </c>
      <c r="L36" s="36"/>
      <c r="M36" s="36"/>
      <c r="N36" s="37" t="str">
        <f t="shared" si="0"/>
        <v/>
      </c>
      <c r="O36" s="36"/>
      <c r="P36" s="36"/>
      <c r="Q36" s="37" t="str">
        <f t="shared" si="3"/>
        <v/>
      </c>
      <c r="R36" s="36"/>
    </row>
    <row r="37" spans="1:18" ht="15" x14ac:dyDescent="0.2">
      <c r="A37" s="32">
        <v>35</v>
      </c>
      <c r="B37" s="33"/>
      <c r="C37" s="34"/>
      <c r="D37" s="38"/>
      <c r="E37" s="32"/>
      <c r="F37" s="32"/>
      <c r="G37" s="36"/>
      <c r="H37" s="37" t="str">
        <f t="shared" si="1"/>
        <v/>
      </c>
      <c r="I37" s="36"/>
      <c r="J37" s="36"/>
      <c r="K37" s="37" t="str">
        <f t="shared" si="2"/>
        <v/>
      </c>
      <c r="L37" s="36"/>
      <c r="M37" s="36"/>
      <c r="N37" s="37" t="str">
        <f t="shared" si="0"/>
        <v/>
      </c>
      <c r="O37" s="36"/>
      <c r="P37" s="36"/>
      <c r="Q37" s="37" t="str">
        <f t="shared" si="3"/>
        <v/>
      </c>
      <c r="R37" s="36"/>
    </row>
    <row r="38" spans="1:18" ht="15" x14ac:dyDescent="0.2">
      <c r="A38" s="32">
        <v>36</v>
      </c>
      <c r="B38" s="33"/>
      <c r="C38" s="34"/>
      <c r="D38" s="38"/>
      <c r="E38" s="32"/>
      <c r="F38" s="32"/>
      <c r="G38" s="36"/>
      <c r="H38" s="37" t="str">
        <f t="shared" si="1"/>
        <v/>
      </c>
      <c r="I38" s="36"/>
      <c r="J38" s="36"/>
      <c r="K38" s="37" t="str">
        <f t="shared" si="2"/>
        <v/>
      </c>
      <c r="L38" s="36"/>
      <c r="M38" s="36"/>
      <c r="N38" s="37" t="str">
        <f t="shared" si="0"/>
        <v/>
      </c>
      <c r="O38" s="36"/>
      <c r="P38" s="36"/>
      <c r="Q38" s="37" t="str">
        <f t="shared" si="3"/>
        <v/>
      </c>
      <c r="R38" s="36"/>
    </row>
    <row r="39" spans="1:18" ht="15" x14ac:dyDescent="0.2">
      <c r="A39" s="32">
        <v>37</v>
      </c>
      <c r="B39" s="33"/>
      <c r="C39" s="34"/>
      <c r="D39" s="38"/>
      <c r="E39" s="32"/>
      <c r="F39" s="32"/>
      <c r="G39" s="36"/>
      <c r="H39" s="37" t="str">
        <f t="shared" si="1"/>
        <v/>
      </c>
      <c r="I39" s="36"/>
      <c r="J39" s="36"/>
      <c r="K39" s="37" t="str">
        <f t="shared" si="2"/>
        <v/>
      </c>
      <c r="L39" s="36"/>
      <c r="M39" s="36"/>
      <c r="N39" s="37" t="str">
        <f t="shared" si="0"/>
        <v/>
      </c>
      <c r="O39" s="36"/>
      <c r="P39" s="36"/>
      <c r="Q39" s="37" t="str">
        <f t="shared" si="3"/>
        <v/>
      </c>
      <c r="R39" s="36"/>
    </row>
    <row r="40" spans="1:18" ht="15" x14ac:dyDescent="0.2">
      <c r="A40" s="32">
        <v>38</v>
      </c>
      <c r="B40" s="33"/>
      <c r="C40" s="34"/>
      <c r="D40" s="38"/>
      <c r="E40" s="32"/>
      <c r="F40" s="32"/>
      <c r="G40" s="36"/>
      <c r="H40" s="37" t="str">
        <f t="shared" si="1"/>
        <v/>
      </c>
      <c r="I40" s="36"/>
      <c r="J40" s="36"/>
      <c r="K40" s="37" t="str">
        <f t="shared" si="2"/>
        <v/>
      </c>
      <c r="L40" s="36"/>
      <c r="M40" s="36"/>
      <c r="N40" s="37" t="str">
        <f t="shared" si="0"/>
        <v/>
      </c>
      <c r="O40" s="36"/>
      <c r="P40" s="36"/>
      <c r="Q40" s="37" t="str">
        <f t="shared" si="3"/>
        <v/>
      </c>
      <c r="R40" s="36"/>
    </row>
    <row r="41" spans="1:18" ht="15" x14ac:dyDescent="0.2">
      <c r="A41" s="32">
        <v>39</v>
      </c>
      <c r="B41" s="33"/>
      <c r="C41" s="34"/>
      <c r="D41" s="38"/>
      <c r="E41" s="32"/>
      <c r="F41" s="32"/>
      <c r="G41" s="36"/>
      <c r="H41" s="37" t="str">
        <f t="shared" si="1"/>
        <v/>
      </c>
      <c r="I41" s="36"/>
      <c r="J41" s="36"/>
      <c r="K41" s="37" t="str">
        <f t="shared" si="2"/>
        <v/>
      </c>
      <c r="L41" s="36"/>
      <c r="M41" s="36"/>
      <c r="N41" s="37" t="str">
        <f t="shared" si="0"/>
        <v/>
      </c>
      <c r="O41" s="36"/>
      <c r="P41" s="36"/>
      <c r="Q41" s="37" t="str">
        <f t="shared" si="3"/>
        <v/>
      </c>
      <c r="R41" s="36"/>
    </row>
    <row r="42" spans="1:18" ht="15" x14ac:dyDescent="0.2">
      <c r="A42" s="32">
        <v>40</v>
      </c>
      <c r="B42" s="33"/>
      <c r="C42" s="34"/>
      <c r="D42" s="38"/>
      <c r="E42" s="32"/>
      <c r="F42" s="32"/>
      <c r="G42" s="36"/>
      <c r="H42" s="37" t="str">
        <f t="shared" si="1"/>
        <v/>
      </c>
      <c r="I42" s="36"/>
      <c r="J42" s="36"/>
      <c r="K42" s="37" t="str">
        <f t="shared" si="2"/>
        <v/>
      </c>
      <c r="L42" s="36"/>
      <c r="M42" s="36"/>
      <c r="N42" s="37" t="str">
        <f t="shared" si="0"/>
        <v/>
      </c>
      <c r="O42" s="36"/>
      <c r="P42" s="36"/>
      <c r="Q42" s="37" t="str">
        <f t="shared" si="3"/>
        <v/>
      </c>
      <c r="R42" s="36"/>
    </row>
  </sheetData>
  <mergeCells count="7">
    <mergeCell ref="P1:R1"/>
    <mergeCell ref="A1:A2"/>
    <mergeCell ref="C1:C2"/>
    <mergeCell ref="D1:D2"/>
    <mergeCell ref="G1:I1"/>
    <mergeCell ref="J1:L1"/>
    <mergeCell ref="M1:O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6561D-CDC6-B74F-9266-92B1E0357C9C}">
  <dimension ref="A1:S30"/>
  <sheetViews>
    <sheetView zoomScale="354" zoomScaleNormal="354" workbookViewId="0">
      <pane ySplit="1" topLeftCell="A2" activePane="bottomLeft" state="frozen"/>
      <selection pane="bottomLeft" activeCell="E11" sqref="E11"/>
    </sheetView>
  </sheetViews>
  <sheetFormatPr baseColWidth="10" defaultRowHeight="12" x14ac:dyDescent="0.15"/>
  <cols>
    <col min="1" max="1" width="7" style="18" customWidth="1"/>
    <col min="2" max="2" width="13" style="3" customWidth="1"/>
    <col min="3" max="3" width="7.1640625" style="51" customWidth="1"/>
    <col min="4" max="4" width="7.83203125" style="4" customWidth="1"/>
    <col min="5" max="6" width="7.83203125" style="51" customWidth="1"/>
    <col min="7" max="7" width="10.6640625" style="19" customWidth="1"/>
    <col min="8" max="8" width="7.33203125" style="3" customWidth="1"/>
    <col min="9" max="9" width="9.1640625" style="19" customWidth="1"/>
    <col min="10" max="10" width="9.33203125" style="4" customWidth="1"/>
    <col min="11" max="11" width="5.6640625" style="4" customWidth="1"/>
    <col min="12" max="17" width="6.1640625" style="3" customWidth="1"/>
    <col min="18" max="16384" width="10.83203125" style="3"/>
  </cols>
  <sheetData>
    <row r="1" spans="1:19" s="18" customFormat="1" ht="13" thickBot="1" x14ac:dyDescent="0.2">
      <c r="A1" s="5" t="s">
        <v>1518</v>
      </c>
      <c r="B1" s="5" t="s">
        <v>1519</v>
      </c>
      <c r="C1" s="54" t="s">
        <v>1520</v>
      </c>
      <c r="D1" s="53" t="s">
        <v>1521</v>
      </c>
      <c r="E1" s="54" t="s">
        <v>1522</v>
      </c>
      <c r="F1" s="54" t="s">
        <v>1523</v>
      </c>
      <c r="G1" s="6" t="s">
        <v>1524</v>
      </c>
      <c r="H1" s="5" t="s">
        <v>1525</v>
      </c>
      <c r="I1" s="6" t="s">
        <v>1526</v>
      </c>
      <c r="J1" s="53" t="s">
        <v>1528</v>
      </c>
      <c r="K1" s="53" t="s">
        <v>1529</v>
      </c>
      <c r="L1" s="9">
        <v>1</v>
      </c>
      <c r="M1" s="9" t="s">
        <v>1530</v>
      </c>
      <c r="N1" s="7">
        <v>15</v>
      </c>
      <c r="O1" s="7" t="s">
        <v>1530</v>
      </c>
      <c r="P1" s="8">
        <v>9</v>
      </c>
      <c r="Q1" s="8" t="s">
        <v>1530</v>
      </c>
      <c r="S1" s="22"/>
    </row>
    <row r="2" spans="1:19" x14ac:dyDescent="0.15">
      <c r="A2" s="10" t="s">
        <v>1527</v>
      </c>
      <c r="B2" s="43"/>
      <c r="C2" s="49"/>
      <c r="D2" s="46"/>
      <c r="E2" s="49"/>
      <c r="F2" s="49"/>
      <c r="G2" s="12" t="str">
        <f>IF(OR(E2="",F2=""), "", (F2/E2-1))</f>
        <v/>
      </c>
      <c r="H2" s="13">
        <v>0.5</v>
      </c>
      <c r="I2" s="12" t="str">
        <f>IF(G2&gt;=0, "", IF(OR(G2="", H2=""), "", (100/(G2*100)/100)*H2*1*-1))</f>
        <v/>
      </c>
      <c r="J2" s="55" t="str">
        <f t="shared" ref="J2:J30" si="0">IF(AND(I2&lt;&gt;"", I2&gt;0), 100000*$L$1*I2*G2, IF(AND(G2&lt;&gt;"", G2&gt;0), 100000*$L$1*G2, ""))</f>
        <v/>
      </c>
      <c r="K2" s="56" t="str">
        <f>IF(OR(E2="", F2=""), "", F2-E2)</f>
        <v/>
      </c>
      <c r="L2" s="14" t="str">
        <f>IFERROR(IF(AND(D2="",E2&lt;&gt;""), IF(I2="", "", $L$1*100000*I2), IF(AND(D2="", E2=""), "", D2*E2)), "")</f>
        <v/>
      </c>
      <c r="M2" s="14" t="str">
        <f>IFERROR(IF(L2="", "", ROUNDDOWN(L2/E2,0)), "")</f>
        <v/>
      </c>
      <c r="N2" s="15" t="str">
        <f>IFERROR(IF(AND(D2="",E2&lt;&gt;""), IF(I2="", "", $N$1*100000*I2), IF(AND(D2="", E2=""), "", D2*E2)), "")</f>
        <v/>
      </c>
      <c r="O2" s="15" t="str">
        <f>IFERROR(IF(N2="", "", ROUNDDOWN(N2/E2,0)), "")</f>
        <v/>
      </c>
      <c r="P2" s="16" t="str">
        <f>IFERROR(IF(AND(D2="",E2&lt;&gt;""), IF(I2="", "", $P$1*100000*I2), IF(AND(D2="", E2=""), "", D2*E2)), "")</f>
        <v/>
      </c>
      <c r="Q2" s="16" t="str">
        <f>IFERROR(IF(P2="", "", ROUNDDOWN(P2/E2,0)), "")</f>
        <v/>
      </c>
      <c r="S2" s="4" t="str">
        <f>IF(AND(I2&lt;&gt;"", I2&gt;0), 100000*$L$1*I2*G2, IF(AND(G2&lt;&gt;"", G2&gt;0), 100000*$L$1*G2, ""))</f>
        <v/>
      </c>
    </row>
    <row r="3" spans="1:19" x14ac:dyDescent="0.15">
      <c r="A3" s="10" t="s">
        <v>1527</v>
      </c>
      <c r="B3" s="43"/>
      <c r="C3" s="49"/>
      <c r="D3" s="47"/>
      <c r="E3" s="49"/>
      <c r="F3" s="49"/>
      <c r="G3" s="12" t="str">
        <f t="shared" ref="G3:G30" si="1">IF(OR(E3="",F3=""), "", (F3/E3-1))</f>
        <v/>
      </c>
      <c r="H3" s="13">
        <v>0.5</v>
      </c>
      <c r="I3" s="12" t="str">
        <f t="shared" ref="I3:I30" si="2">IF(G3&gt;=0, "", IF(OR(G3="", H3=""), "", (100/(G3*100)/100)*H3*1*-1))</f>
        <v/>
      </c>
      <c r="J3" s="57" t="str">
        <f t="shared" si="0"/>
        <v/>
      </c>
      <c r="K3" s="58" t="str">
        <f t="shared" ref="K3:K30" si="3">IF(OR(E3="", F3=""), "", F3-E3)</f>
        <v/>
      </c>
      <c r="L3" s="14" t="str">
        <f t="shared" ref="L3:L30" si="4">IFERROR(IF(AND(D3="",E3&lt;&gt;""), IF(I3="", "", $L$1*100000*I3), IF(AND(D3="", E3=""), "", D3*E3)), "")</f>
        <v/>
      </c>
      <c r="M3" s="14" t="str">
        <f t="shared" ref="M3:M30" si="5">IFERROR(IF(L3="", "", ROUNDDOWN(L3/E3,0)), "")</f>
        <v/>
      </c>
      <c r="N3" s="15" t="str">
        <f t="shared" ref="N3:N30" si="6">IFERROR(IF(AND(D3="",E3&lt;&gt;""), IF(I3="", "", $N$1*100000*I3), IF(AND(D3="", E3=""), "", D3*E3)), "")</f>
        <v/>
      </c>
      <c r="O3" s="15" t="str">
        <f t="shared" ref="O3:O30" si="7">IFERROR(IF(N3="", "", ROUNDDOWN(N3/E3,0)), "")</f>
        <v/>
      </c>
      <c r="P3" s="16" t="str">
        <f t="shared" ref="P3:P30" si="8">IFERROR(IF(AND(D3="",E3&lt;&gt;""), IF(I3="", "", $P$1*100000*I3), IF(AND(D3="", E3=""), "", D3*E3)), "")</f>
        <v/>
      </c>
      <c r="Q3" s="16" t="str">
        <f t="shared" ref="Q3:Q30" si="9">IFERROR(IF(P3="", "", ROUNDDOWN(P3/E3,0)), "")</f>
        <v/>
      </c>
      <c r="S3" s="4"/>
    </row>
    <row r="4" spans="1:19" x14ac:dyDescent="0.15">
      <c r="A4" s="10" t="s">
        <v>1527</v>
      </c>
      <c r="B4" s="43"/>
      <c r="C4" s="49"/>
      <c r="D4" s="46"/>
      <c r="E4" s="49"/>
      <c r="F4" s="49"/>
      <c r="G4" s="12" t="str">
        <f t="shared" si="1"/>
        <v/>
      </c>
      <c r="H4" s="13">
        <v>0.5</v>
      </c>
      <c r="I4" s="12" t="str">
        <f t="shared" si="2"/>
        <v/>
      </c>
      <c r="J4" s="57" t="str">
        <f t="shared" si="0"/>
        <v/>
      </c>
      <c r="K4" s="58" t="str">
        <f t="shared" si="3"/>
        <v/>
      </c>
      <c r="L4" s="14" t="str">
        <f t="shared" si="4"/>
        <v/>
      </c>
      <c r="M4" s="14" t="str">
        <f t="shared" si="5"/>
        <v/>
      </c>
      <c r="N4" s="15" t="str">
        <f t="shared" si="6"/>
        <v/>
      </c>
      <c r="O4" s="15" t="str">
        <f t="shared" si="7"/>
        <v/>
      </c>
      <c r="P4" s="16" t="str">
        <f t="shared" si="8"/>
        <v/>
      </c>
      <c r="Q4" s="16" t="str">
        <f t="shared" si="9"/>
        <v/>
      </c>
      <c r="S4" s="4"/>
    </row>
    <row r="5" spans="1:19" x14ac:dyDescent="0.15">
      <c r="A5" s="10" t="s">
        <v>1527</v>
      </c>
      <c r="B5" s="43"/>
      <c r="C5" s="49"/>
      <c r="D5" s="46"/>
      <c r="E5" s="49"/>
      <c r="F5" s="49"/>
      <c r="G5" s="12" t="str">
        <f t="shared" si="1"/>
        <v/>
      </c>
      <c r="H5" s="13">
        <v>0.5</v>
      </c>
      <c r="I5" s="12" t="str">
        <f t="shared" si="2"/>
        <v/>
      </c>
      <c r="J5" s="57" t="str">
        <f t="shared" si="0"/>
        <v/>
      </c>
      <c r="K5" s="58" t="str">
        <f t="shared" si="3"/>
        <v/>
      </c>
      <c r="L5" s="14" t="str">
        <f t="shared" si="4"/>
        <v/>
      </c>
      <c r="M5" s="14" t="str">
        <f t="shared" si="5"/>
        <v/>
      </c>
      <c r="N5" s="15" t="str">
        <f t="shared" si="6"/>
        <v/>
      </c>
      <c r="O5" s="15" t="str">
        <f t="shared" si="7"/>
        <v/>
      </c>
      <c r="P5" s="16" t="str">
        <f t="shared" si="8"/>
        <v/>
      </c>
      <c r="Q5" s="16" t="str">
        <f t="shared" si="9"/>
        <v/>
      </c>
      <c r="S5" s="4"/>
    </row>
    <row r="6" spans="1:19" x14ac:dyDescent="0.15">
      <c r="A6" s="10" t="s">
        <v>1527</v>
      </c>
      <c r="B6" s="43"/>
      <c r="C6" s="49"/>
      <c r="D6" s="46"/>
      <c r="E6" s="49"/>
      <c r="F6" s="49"/>
      <c r="G6" s="12" t="str">
        <f t="shared" si="1"/>
        <v/>
      </c>
      <c r="H6" s="13">
        <v>0.5</v>
      </c>
      <c r="I6" s="12" t="str">
        <f t="shared" si="2"/>
        <v/>
      </c>
      <c r="J6" s="57" t="str">
        <f t="shared" si="0"/>
        <v/>
      </c>
      <c r="K6" s="58" t="str">
        <f t="shared" si="3"/>
        <v/>
      </c>
      <c r="L6" s="14" t="str">
        <f t="shared" si="4"/>
        <v/>
      </c>
      <c r="M6" s="14" t="str">
        <f t="shared" si="5"/>
        <v/>
      </c>
      <c r="N6" s="15" t="str">
        <f t="shared" si="6"/>
        <v/>
      </c>
      <c r="O6" s="15" t="str">
        <f t="shared" si="7"/>
        <v/>
      </c>
      <c r="P6" s="16" t="str">
        <f t="shared" si="8"/>
        <v/>
      </c>
      <c r="Q6" s="16" t="str">
        <f t="shared" si="9"/>
        <v/>
      </c>
      <c r="S6" s="4"/>
    </row>
    <row r="7" spans="1:19" x14ac:dyDescent="0.15">
      <c r="A7" s="10" t="s">
        <v>1527</v>
      </c>
      <c r="B7" s="43"/>
      <c r="C7" s="49"/>
      <c r="D7" s="46"/>
      <c r="E7" s="49"/>
      <c r="F7" s="49"/>
      <c r="G7" s="17" t="str">
        <f t="shared" si="1"/>
        <v/>
      </c>
      <c r="H7" s="13">
        <v>0.5</v>
      </c>
      <c r="I7" s="12" t="str">
        <f t="shared" si="2"/>
        <v/>
      </c>
      <c r="J7" s="57" t="str">
        <f t="shared" si="0"/>
        <v/>
      </c>
      <c r="K7" s="58" t="str">
        <f t="shared" si="3"/>
        <v/>
      </c>
      <c r="L7" s="14" t="str">
        <f t="shared" si="4"/>
        <v/>
      </c>
      <c r="M7" s="14" t="str">
        <f t="shared" si="5"/>
        <v/>
      </c>
      <c r="N7" s="15" t="str">
        <f t="shared" si="6"/>
        <v/>
      </c>
      <c r="O7" s="15" t="str">
        <f t="shared" si="7"/>
        <v/>
      </c>
      <c r="P7" s="16" t="str">
        <f t="shared" si="8"/>
        <v/>
      </c>
      <c r="Q7" s="16" t="str">
        <f t="shared" si="9"/>
        <v/>
      </c>
      <c r="S7" s="4"/>
    </row>
    <row r="8" spans="1:19" x14ac:dyDescent="0.15">
      <c r="A8" s="10" t="s">
        <v>1527</v>
      </c>
      <c r="B8" s="43"/>
      <c r="C8" s="49"/>
      <c r="D8" s="46"/>
      <c r="E8" s="49"/>
      <c r="F8" s="49"/>
      <c r="G8" s="17" t="str">
        <f t="shared" si="1"/>
        <v/>
      </c>
      <c r="H8" s="13">
        <v>0.5</v>
      </c>
      <c r="I8" s="12" t="str">
        <f t="shared" si="2"/>
        <v/>
      </c>
      <c r="J8" s="57" t="str">
        <f t="shared" si="0"/>
        <v/>
      </c>
      <c r="K8" s="58" t="str">
        <f t="shared" si="3"/>
        <v/>
      </c>
      <c r="L8" s="14" t="str">
        <f t="shared" si="4"/>
        <v/>
      </c>
      <c r="M8" s="14" t="str">
        <f t="shared" si="5"/>
        <v/>
      </c>
      <c r="N8" s="15" t="str">
        <f t="shared" si="6"/>
        <v/>
      </c>
      <c r="O8" s="15" t="str">
        <f t="shared" si="7"/>
        <v/>
      </c>
      <c r="P8" s="16" t="str">
        <f t="shared" si="8"/>
        <v/>
      </c>
      <c r="Q8" s="16" t="str">
        <f t="shared" si="9"/>
        <v/>
      </c>
    </row>
    <row r="9" spans="1:19" x14ac:dyDescent="0.15">
      <c r="A9" s="10" t="s">
        <v>1527</v>
      </c>
      <c r="B9" s="43"/>
      <c r="C9" s="49"/>
      <c r="D9" s="47"/>
      <c r="E9" s="50"/>
      <c r="F9" s="50"/>
      <c r="G9" s="17" t="str">
        <f t="shared" si="1"/>
        <v/>
      </c>
      <c r="H9" s="13">
        <v>0.5</v>
      </c>
      <c r="I9" s="12" t="str">
        <f t="shared" si="2"/>
        <v/>
      </c>
      <c r="J9" s="57" t="str">
        <f t="shared" si="0"/>
        <v/>
      </c>
      <c r="K9" s="58" t="str">
        <f t="shared" si="3"/>
        <v/>
      </c>
      <c r="L9" s="14" t="str">
        <f t="shared" si="4"/>
        <v/>
      </c>
      <c r="M9" s="14" t="str">
        <f t="shared" si="5"/>
        <v/>
      </c>
      <c r="N9" s="15" t="str">
        <f t="shared" si="6"/>
        <v/>
      </c>
      <c r="O9" s="15" t="str">
        <f t="shared" si="7"/>
        <v/>
      </c>
      <c r="P9" s="16" t="str">
        <f t="shared" si="8"/>
        <v/>
      </c>
      <c r="Q9" s="16" t="str">
        <f t="shared" si="9"/>
        <v/>
      </c>
    </row>
    <row r="10" spans="1:19" x14ac:dyDescent="0.15">
      <c r="A10" s="10" t="s">
        <v>1527</v>
      </c>
      <c r="B10" s="43"/>
      <c r="C10" s="49"/>
      <c r="D10" s="47"/>
      <c r="E10" s="50"/>
      <c r="F10" s="50"/>
      <c r="G10" s="17" t="str">
        <f t="shared" si="1"/>
        <v/>
      </c>
      <c r="H10" s="13">
        <v>0.5</v>
      </c>
      <c r="I10" s="12" t="str">
        <f t="shared" si="2"/>
        <v/>
      </c>
      <c r="J10" s="57" t="str">
        <f t="shared" si="0"/>
        <v/>
      </c>
      <c r="K10" s="58" t="str">
        <f t="shared" si="3"/>
        <v/>
      </c>
      <c r="L10" s="14" t="str">
        <f t="shared" si="4"/>
        <v/>
      </c>
      <c r="M10" s="14" t="str">
        <f t="shared" si="5"/>
        <v/>
      </c>
      <c r="N10" s="15" t="str">
        <f t="shared" si="6"/>
        <v/>
      </c>
      <c r="O10" s="15" t="str">
        <f t="shared" si="7"/>
        <v/>
      </c>
      <c r="P10" s="16" t="str">
        <f t="shared" si="8"/>
        <v/>
      </c>
      <c r="Q10" s="16" t="str">
        <f t="shared" si="9"/>
        <v/>
      </c>
    </row>
    <row r="11" spans="1:19" x14ac:dyDescent="0.15">
      <c r="A11" s="10" t="s">
        <v>1527</v>
      </c>
      <c r="B11" s="43"/>
      <c r="C11" s="49"/>
      <c r="D11" s="47"/>
      <c r="E11" s="50"/>
      <c r="F11" s="50"/>
      <c r="G11" s="17" t="str">
        <f t="shared" si="1"/>
        <v/>
      </c>
      <c r="H11" s="13">
        <v>0.5</v>
      </c>
      <c r="I11" s="12" t="str">
        <f t="shared" si="2"/>
        <v/>
      </c>
      <c r="J11" s="57" t="str">
        <f t="shared" si="0"/>
        <v/>
      </c>
      <c r="K11" s="58" t="str">
        <f t="shared" si="3"/>
        <v/>
      </c>
      <c r="L11" s="14" t="str">
        <f t="shared" si="4"/>
        <v/>
      </c>
      <c r="M11" s="14" t="str">
        <f t="shared" si="5"/>
        <v/>
      </c>
      <c r="N11" s="15" t="str">
        <f t="shared" si="6"/>
        <v/>
      </c>
      <c r="O11" s="15" t="str">
        <f t="shared" si="7"/>
        <v/>
      </c>
      <c r="P11" s="16" t="str">
        <f t="shared" si="8"/>
        <v/>
      </c>
      <c r="Q11" s="16" t="str">
        <f t="shared" si="9"/>
        <v/>
      </c>
    </row>
    <row r="12" spans="1:19" x14ac:dyDescent="0.15">
      <c r="A12" s="10" t="s">
        <v>1527</v>
      </c>
      <c r="B12" s="43"/>
      <c r="C12" s="49"/>
      <c r="D12" s="47"/>
      <c r="E12" s="50"/>
      <c r="F12" s="50"/>
      <c r="G12" s="17" t="str">
        <f t="shared" si="1"/>
        <v/>
      </c>
      <c r="H12" s="13">
        <v>0.5</v>
      </c>
      <c r="I12" s="12" t="str">
        <f t="shared" si="2"/>
        <v/>
      </c>
      <c r="J12" s="57" t="str">
        <f t="shared" si="0"/>
        <v/>
      </c>
      <c r="K12" s="58" t="str">
        <f t="shared" si="3"/>
        <v/>
      </c>
      <c r="L12" s="14" t="str">
        <f t="shared" si="4"/>
        <v/>
      </c>
      <c r="M12" s="14" t="str">
        <f t="shared" si="5"/>
        <v/>
      </c>
      <c r="N12" s="15" t="str">
        <f t="shared" si="6"/>
        <v/>
      </c>
      <c r="O12" s="15" t="str">
        <f t="shared" si="7"/>
        <v/>
      </c>
      <c r="P12" s="16" t="str">
        <f t="shared" si="8"/>
        <v/>
      </c>
      <c r="Q12" s="16" t="str">
        <f t="shared" si="9"/>
        <v/>
      </c>
    </row>
    <row r="13" spans="1:19" x14ac:dyDescent="0.15">
      <c r="A13" s="10" t="s">
        <v>1527</v>
      </c>
      <c r="B13" s="43"/>
      <c r="C13" s="49"/>
      <c r="D13" s="47"/>
      <c r="E13" s="50"/>
      <c r="F13" s="50"/>
      <c r="G13" s="17" t="str">
        <f t="shared" si="1"/>
        <v/>
      </c>
      <c r="H13" s="13">
        <v>0.5</v>
      </c>
      <c r="I13" s="12" t="str">
        <f t="shared" si="2"/>
        <v/>
      </c>
      <c r="J13" s="57" t="str">
        <f t="shared" si="0"/>
        <v/>
      </c>
      <c r="K13" s="58" t="str">
        <f t="shared" si="3"/>
        <v/>
      </c>
      <c r="L13" s="14" t="str">
        <f t="shared" si="4"/>
        <v/>
      </c>
      <c r="M13" s="14" t="str">
        <f t="shared" si="5"/>
        <v/>
      </c>
      <c r="N13" s="15" t="str">
        <f t="shared" si="6"/>
        <v/>
      </c>
      <c r="O13" s="15" t="str">
        <f t="shared" si="7"/>
        <v/>
      </c>
      <c r="P13" s="16" t="str">
        <f t="shared" si="8"/>
        <v/>
      </c>
      <c r="Q13" s="16" t="str">
        <f t="shared" si="9"/>
        <v/>
      </c>
    </row>
    <row r="14" spans="1:19" x14ac:dyDescent="0.15">
      <c r="A14" s="10" t="s">
        <v>1527</v>
      </c>
      <c r="B14" s="43"/>
      <c r="C14" s="49"/>
      <c r="D14" s="47"/>
      <c r="E14" s="50"/>
      <c r="F14" s="50"/>
      <c r="G14" s="17" t="str">
        <f t="shared" si="1"/>
        <v/>
      </c>
      <c r="H14" s="13">
        <v>0.5</v>
      </c>
      <c r="I14" s="12" t="str">
        <f t="shared" si="2"/>
        <v/>
      </c>
      <c r="J14" s="57" t="str">
        <f t="shared" si="0"/>
        <v/>
      </c>
      <c r="K14" s="58" t="str">
        <f t="shared" si="3"/>
        <v/>
      </c>
      <c r="L14" s="14" t="str">
        <f t="shared" si="4"/>
        <v/>
      </c>
      <c r="M14" s="14" t="str">
        <f t="shared" si="5"/>
        <v/>
      </c>
      <c r="N14" s="15" t="str">
        <f t="shared" si="6"/>
        <v/>
      </c>
      <c r="O14" s="15" t="str">
        <f t="shared" si="7"/>
        <v/>
      </c>
      <c r="P14" s="16" t="str">
        <f t="shared" si="8"/>
        <v/>
      </c>
      <c r="Q14" s="16" t="str">
        <f t="shared" si="9"/>
        <v/>
      </c>
    </row>
    <row r="15" spans="1:19" x14ac:dyDescent="0.15">
      <c r="A15" s="10" t="s">
        <v>1527</v>
      </c>
      <c r="B15" s="43"/>
      <c r="C15" s="49"/>
      <c r="D15" s="47"/>
      <c r="E15" s="50"/>
      <c r="F15" s="50"/>
      <c r="G15" s="17" t="str">
        <f t="shared" si="1"/>
        <v/>
      </c>
      <c r="H15" s="13">
        <v>0.5</v>
      </c>
      <c r="I15" s="12" t="str">
        <f t="shared" si="2"/>
        <v/>
      </c>
      <c r="J15" s="57" t="str">
        <f t="shared" si="0"/>
        <v/>
      </c>
      <c r="K15" s="58" t="str">
        <f t="shared" si="3"/>
        <v/>
      </c>
      <c r="L15" s="14" t="str">
        <f t="shared" si="4"/>
        <v/>
      </c>
      <c r="M15" s="14" t="str">
        <f t="shared" si="5"/>
        <v/>
      </c>
      <c r="N15" s="15" t="str">
        <f t="shared" si="6"/>
        <v/>
      </c>
      <c r="O15" s="15" t="str">
        <f t="shared" si="7"/>
        <v/>
      </c>
      <c r="P15" s="16" t="str">
        <f t="shared" si="8"/>
        <v/>
      </c>
      <c r="Q15" s="16" t="str">
        <f t="shared" si="9"/>
        <v/>
      </c>
    </row>
    <row r="16" spans="1:19" x14ac:dyDescent="0.15">
      <c r="A16" s="10" t="s">
        <v>1527</v>
      </c>
      <c r="B16" s="43"/>
      <c r="C16" s="49"/>
      <c r="D16" s="47"/>
      <c r="E16" s="50"/>
      <c r="F16" s="50"/>
      <c r="G16" s="17" t="str">
        <f t="shared" si="1"/>
        <v/>
      </c>
      <c r="H16" s="13">
        <v>0.5</v>
      </c>
      <c r="I16" s="12" t="str">
        <f t="shared" si="2"/>
        <v/>
      </c>
      <c r="J16" s="57" t="str">
        <f t="shared" si="0"/>
        <v/>
      </c>
      <c r="K16" s="58" t="str">
        <f t="shared" si="3"/>
        <v/>
      </c>
      <c r="L16" s="14" t="str">
        <f t="shared" si="4"/>
        <v/>
      </c>
      <c r="M16" s="14" t="str">
        <f t="shared" si="5"/>
        <v/>
      </c>
      <c r="N16" s="15" t="str">
        <f t="shared" si="6"/>
        <v/>
      </c>
      <c r="O16" s="15" t="str">
        <f t="shared" si="7"/>
        <v/>
      </c>
      <c r="P16" s="16" t="str">
        <f t="shared" si="8"/>
        <v/>
      </c>
      <c r="Q16" s="16" t="str">
        <f t="shared" si="9"/>
        <v/>
      </c>
    </row>
    <row r="17" spans="1:17" x14ac:dyDescent="0.15">
      <c r="A17" s="10" t="s">
        <v>1527</v>
      </c>
      <c r="B17" s="43"/>
      <c r="C17" s="49"/>
      <c r="D17" s="47"/>
      <c r="E17" s="50"/>
      <c r="F17" s="50"/>
      <c r="G17" s="17" t="str">
        <f t="shared" si="1"/>
        <v/>
      </c>
      <c r="H17" s="13">
        <v>0.5</v>
      </c>
      <c r="I17" s="12" t="str">
        <f t="shared" si="2"/>
        <v/>
      </c>
      <c r="J17" s="57" t="str">
        <f t="shared" si="0"/>
        <v/>
      </c>
      <c r="K17" s="58" t="str">
        <f t="shared" si="3"/>
        <v/>
      </c>
      <c r="L17" s="14" t="str">
        <f t="shared" si="4"/>
        <v/>
      </c>
      <c r="M17" s="14" t="str">
        <f t="shared" si="5"/>
        <v/>
      </c>
      <c r="N17" s="15" t="str">
        <f t="shared" si="6"/>
        <v/>
      </c>
      <c r="O17" s="15" t="str">
        <f t="shared" si="7"/>
        <v/>
      </c>
      <c r="P17" s="16" t="str">
        <f t="shared" si="8"/>
        <v/>
      </c>
      <c r="Q17" s="16" t="str">
        <f t="shared" si="9"/>
        <v/>
      </c>
    </row>
    <row r="18" spans="1:17" x14ac:dyDescent="0.15">
      <c r="A18" s="10" t="s">
        <v>1527</v>
      </c>
      <c r="B18" s="43"/>
      <c r="C18" s="49"/>
      <c r="D18" s="47"/>
      <c r="E18" s="50"/>
      <c r="F18" s="50"/>
      <c r="G18" s="17" t="str">
        <f t="shared" si="1"/>
        <v/>
      </c>
      <c r="H18" s="13">
        <v>0.5</v>
      </c>
      <c r="I18" s="12" t="str">
        <f t="shared" si="2"/>
        <v/>
      </c>
      <c r="J18" s="57" t="str">
        <f t="shared" si="0"/>
        <v/>
      </c>
      <c r="K18" s="58" t="str">
        <f t="shared" si="3"/>
        <v/>
      </c>
      <c r="L18" s="14" t="str">
        <f t="shared" si="4"/>
        <v/>
      </c>
      <c r="M18" s="14" t="str">
        <f t="shared" si="5"/>
        <v/>
      </c>
      <c r="N18" s="15" t="str">
        <f t="shared" si="6"/>
        <v/>
      </c>
      <c r="O18" s="15" t="str">
        <f t="shared" si="7"/>
        <v/>
      </c>
      <c r="P18" s="16" t="str">
        <f t="shared" si="8"/>
        <v/>
      </c>
      <c r="Q18" s="16" t="str">
        <f t="shared" si="9"/>
        <v/>
      </c>
    </row>
    <row r="19" spans="1:17" x14ac:dyDescent="0.15">
      <c r="A19" s="10" t="s">
        <v>1527</v>
      </c>
      <c r="B19" s="43"/>
      <c r="C19" s="49"/>
      <c r="D19" s="47"/>
      <c r="E19" s="50"/>
      <c r="F19" s="50"/>
      <c r="G19" s="17" t="str">
        <f t="shared" si="1"/>
        <v/>
      </c>
      <c r="H19" s="13">
        <v>0.5</v>
      </c>
      <c r="I19" s="12" t="str">
        <f t="shared" si="2"/>
        <v/>
      </c>
      <c r="J19" s="57" t="str">
        <f t="shared" si="0"/>
        <v/>
      </c>
      <c r="K19" s="58" t="str">
        <f t="shared" si="3"/>
        <v/>
      </c>
      <c r="L19" s="14" t="str">
        <f t="shared" si="4"/>
        <v/>
      </c>
      <c r="M19" s="14" t="str">
        <f t="shared" si="5"/>
        <v/>
      </c>
      <c r="N19" s="15" t="str">
        <f t="shared" si="6"/>
        <v/>
      </c>
      <c r="O19" s="15" t="str">
        <f t="shared" si="7"/>
        <v/>
      </c>
      <c r="P19" s="16" t="str">
        <f t="shared" si="8"/>
        <v/>
      </c>
      <c r="Q19" s="16" t="str">
        <f t="shared" si="9"/>
        <v/>
      </c>
    </row>
    <row r="20" spans="1:17" x14ac:dyDescent="0.15">
      <c r="A20" s="10" t="s">
        <v>1527</v>
      </c>
      <c r="B20" s="43"/>
      <c r="C20" s="49"/>
      <c r="D20" s="47"/>
      <c r="E20" s="50"/>
      <c r="F20" s="50"/>
      <c r="G20" s="17" t="str">
        <f t="shared" si="1"/>
        <v/>
      </c>
      <c r="H20" s="13">
        <v>0.5</v>
      </c>
      <c r="I20" s="12" t="str">
        <f t="shared" si="2"/>
        <v/>
      </c>
      <c r="J20" s="57" t="str">
        <f t="shared" si="0"/>
        <v/>
      </c>
      <c r="K20" s="58" t="str">
        <f t="shared" si="3"/>
        <v/>
      </c>
      <c r="L20" s="14" t="str">
        <f t="shared" si="4"/>
        <v/>
      </c>
      <c r="M20" s="14" t="str">
        <f t="shared" si="5"/>
        <v/>
      </c>
      <c r="N20" s="15" t="str">
        <f t="shared" si="6"/>
        <v/>
      </c>
      <c r="O20" s="15" t="str">
        <f t="shared" si="7"/>
        <v/>
      </c>
      <c r="P20" s="16" t="str">
        <f t="shared" si="8"/>
        <v/>
      </c>
      <c r="Q20" s="16" t="str">
        <f t="shared" si="9"/>
        <v/>
      </c>
    </row>
    <row r="21" spans="1:17" x14ac:dyDescent="0.15">
      <c r="A21" s="10" t="s">
        <v>1527</v>
      </c>
      <c r="B21" s="43"/>
      <c r="C21" s="49"/>
      <c r="D21" s="47"/>
      <c r="E21" s="50"/>
      <c r="F21" s="50"/>
      <c r="G21" s="17" t="str">
        <f t="shared" si="1"/>
        <v/>
      </c>
      <c r="H21" s="13">
        <v>0.5</v>
      </c>
      <c r="I21" s="12" t="str">
        <f t="shared" si="2"/>
        <v/>
      </c>
      <c r="J21" s="57" t="str">
        <f t="shared" si="0"/>
        <v/>
      </c>
      <c r="K21" s="58" t="str">
        <f t="shared" si="3"/>
        <v/>
      </c>
      <c r="L21" s="14" t="str">
        <f t="shared" si="4"/>
        <v/>
      </c>
      <c r="M21" s="14" t="str">
        <f t="shared" si="5"/>
        <v/>
      </c>
      <c r="N21" s="15" t="str">
        <f t="shared" si="6"/>
        <v/>
      </c>
      <c r="O21" s="15" t="str">
        <f t="shared" si="7"/>
        <v/>
      </c>
      <c r="P21" s="16" t="str">
        <f t="shared" si="8"/>
        <v/>
      </c>
      <c r="Q21" s="16" t="str">
        <f t="shared" si="9"/>
        <v/>
      </c>
    </row>
    <row r="22" spans="1:17" x14ac:dyDescent="0.15">
      <c r="A22" s="10" t="s">
        <v>1527</v>
      </c>
      <c r="B22" s="43"/>
      <c r="C22" s="49"/>
      <c r="D22" s="47"/>
      <c r="E22" s="50"/>
      <c r="F22" s="50"/>
      <c r="G22" s="17" t="str">
        <f t="shared" si="1"/>
        <v/>
      </c>
      <c r="H22" s="13">
        <v>0.5</v>
      </c>
      <c r="I22" s="12" t="str">
        <f t="shared" si="2"/>
        <v/>
      </c>
      <c r="J22" s="57" t="str">
        <f t="shared" si="0"/>
        <v/>
      </c>
      <c r="K22" s="58" t="str">
        <f t="shared" si="3"/>
        <v/>
      </c>
      <c r="L22" s="14" t="str">
        <f t="shared" si="4"/>
        <v/>
      </c>
      <c r="M22" s="14" t="str">
        <f t="shared" si="5"/>
        <v/>
      </c>
      <c r="N22" s="15" t="str">
        <f t="shared" si="6"/>
        <v/>
      </c>
      <c r="O22" s="15" t="str">
        <f t="shared" si="7"/>
        <v/>
      </c>
      <c r="P22" s="16" t="str">
        <f t="shared" si="8"/>
        <v/>
      </c>
      <c r="Q22" s="16" t="str">
        <f t="shared" si="9"/>
        <v/>
      </c>
    </row>
    <row r="23" spans="1:17" x14ac:dyDescent="0.15">
      <c r="A23" s="10" t="s">
        <v>1527</v>
      </c>
      <c r="B23" s="43"/>
      <c r="C23" s="49"/>
      <c r="D23" s="47"/>
      <c r="E23" s="50"/>
      <c r="F23" s="50"/>
      <c r="G23" s="17" t="str">
        <f t="shared" si="1"/>
        <v/>
      </c>
      <c r="H23" s="13">
        <v>0.5</v>
      </c>
      <c r="I23" s="12" t="str">
        <f t="shared" si="2"/>
        <v/>
      </c>
      <c r="J23" s="57" t="str">
        <f t="shared" si="0"/>
        <v/>
      </c>
      <c r="K23" s="58" t="str">
        <f t="shared" si="3"/>
        <v/>
      </c>
      <c r="L23" s="14" t="str">
        <f t="shared" si="4"/>
        <v/>
      </c>
      <c r="M23" s="14" t="str">
        <f t="shared" si="5"/>
        <v/>
      </c>
      <c r="N23" s="15" t="str">
        <f t="shared" si="6"/>
        <v/>
      </c>
      <c r="O23" s="15" t="str">
        <f t="shared" si="7"/>
        <v/>
      </c>
      <c r="P23" s="16" t="str">
        <f t="shared" si="8"/>
        <v/>
      </c>
      <c r="Q23" s="16" t="str">
        <f t="shared" si="9"/>
        <v/>
      </c>
    </row>
    <row r="24" spans="1:17" x14ac:dyDescent="0.15">
      <c r="A24" s="10" t="s">
        <v>1527</v>
      </c>
      <c r="B24" s="43"/>
      <c r="C24" s="49"/>
      <c r="D24" s="47"/>
      <c r="E24" s="50"/>
      <c r="F24" s="50"/>
      <c r="G24" s="17" t="str">
        <f t="shared" si="1"/>
        <v/>
      </c>
      <c r="H24" s="13">
        <v>0.5</v>
      </c>
      <c r="I24" s="12" t="str">
        <f t="shared" si="2"/>
        <v/>
      </c>
      <c r="J24" s="57" t="str">
        <f t="shared" si="0"/>
        <v/>
      </c>
      <c r="K24" s="58" t="str">
        <f t="shared" si="3"/>
        <v/>
      </c>
      <c r="L24" s="14" t="str">
        <f t="shared" si="4"/>
        <v/>
      </c>
      <c r="M24" s="14" t="str">
        <f t="shared" si="5"/>
        <v/>
      </c>
      <c r="N24" s="15" t="str">
        <f t="shared" si="6"/>
        <v/>
      </c>
      <c r="O24" s="15" t="str">
        <f t="shared" si="7"/>
        <v/>
      </c>
      <c r="P24" s="16" t="str">
        <f t="shared" si="8"/>
        <v/>
      </c>
      <c r="Q24" s="16" t="str">
        <f t="shared" si="9"/>
        <v/>
      </c>
    </row>
    <row r="25" spans="1:17" x14ac:dyDescent="0.15">
      <c r="A25" s="10" t="s">
        <v>1527</v>
      </c>
      <c r="B25" s="43"/>
      <c r="C25" s="49"/>
      <c r="D25" s="47"/>
      <c r="E25" s="50"/>
      <c r="F25" s="50"/>
      <c r="G25" s="17" t="str">
        <f t="shared" si="1"/>
        <v/>
      </c>
      <c r="H25" s="13">
        <v>0.5</v>
      </c>
      <c r="I25" s="12" t="str">
        <f t="shared" si="2"/>
        <v/>
      </c>
      <c r="J25" s="57" t="str">
        <f t="shared" si="0"/>
        <v/>
      </c>
      <c r="K25" s="58" t="str">
        <f t="shared" si="3"/>
        <v/>
      </c>
      <c r="L25" s="14" t="str">
        <f t="shared" si="4"/>
        <v/>
      </c>
      <c r="M25" s="14" t="str">
        <f t="shared" si="5"/>
        <v/>
      </c>
      <c r="N25" s="15" t="str">
        <f t="shared" si="6"/>
        <v/>
      </c>
      <c r="O25" s="15" t="str">
        <f t="shared" si="7"/>
        <v/>
      </c>
      <c r="P25" s="16" t="str">
        <f t="shared" si="8"/>
        <v/>
      </c>
      <c r="Q25" s="16" t="str">
        <f t="shared" si="9"/>
        <v/>
      </c>
    </row>
    <row r="26" spans="1:17" x14ac:dyDescent="0.15">
      <c r="A26" s="10" t="s">
        <v>1527</v>
      </c>
      <c r="B26" s="43"/>
      <c r="C26" s="49"/>
      <c r="D26" s="47"/>
      <c r="E26" s="50"/>
      <c r="F26" s="50"/>
      <c r="G26" s="17" t="str">
        <f t="shared" si="1"/>
        <v/>
      </c>
      <c r="H26" s="13">
        <v>0.5</v>
      </c>
      <c r="I26" s="12" t="str">
        <f t="shared" si="2"/>
        <v/>
      </c>
      <c r="J26" s="57" t="str">
        <f t="shared" si="0"/>
        <v/>
      </c>
      <c r="K26" s="58" t="str">
        <f t="shared" si="3"/>
        <v/>
      </c>
      <c r="L26" s="14" t="str">
        <f t="shared" si="4"/>
        <v/>
      </c>
      <c r="M26" s="14" t="str">
        <f t="shared" si="5"/>
        <v/>
      </c>
      <c r="N26" s="15" t="str">
        <f t="shared" si="6"/>
        <v/>
      </c>
      <c r="O26" s="15" t="str">
        <f t="shared" si="7"/>
        <v/>
      </c>
      <c r="P26" s="16" t="str">
        <f t="shared" si="8"/>
        <v/>
      </c>
      <c r="Q26" s="16" t="str">
        <f t="shared" si="9"/>
        <v/>
      </c>
    </row>
    <row r="27" spans="1:17" x14ac:dyDescent="0.15">
      <c r="A27" s="10" t="s">
        <v>1527</v>
      </c>
      <c r="B27" s="43"/>
      <c r="C27" s="49"/>
      <c r="D27" s="47"/>
      <c r="E27" s="50"/>
      <c r="F27" s="50"/>
      <c r="G27" s="17" t="str">
        <f t="shared" si="1"/>
        <v/>
      </c>
      <c r="H27" s="13">
        <v>0.5</v>
      </c>
      <c r="I27" s="12" t="str">
        <f t="shared" si="2"/>
        <v/>
      </c>
      <c r="J27" s="57" t="str">
        <f t="shared" si="0"/>
        <v/>
      </c>
      <c r="K27" s="58" t="str">
        <f t="shared" si="3"/>
        <v/>
      </c>
      <c r="L27" s="14" t="str">
        <f t="shared" si="4"/>
        <v/>
      </c>
      <c r="M27" s="14" t="str">
        <f t="shared" si="5"/>
        <v/>
      </c>
      <c r="N27" s="15" t="str">
        <f t="shared" si="6"/>
        <v/>
      </c>
      <c r="O27" s="15" t="str">
        <f t="shared" si="7"/>
        <v/>
      </c>
      <c r="P27" s="16" t="str">
        <f t="shared" si="8"/>
        <v/>
      </c>
      <c r="Q27" s="16" t="str">
        <f t="shared" si="9"/>
        <v/>
      </c>
    </row>
    <row r="28" spans="1:17" x14ac:dyDescent="0.15">
      <c r="A28" s="10" t="s">
        <v>1527</v>
      </c>
      <c r="B28" s="43"/>
      <c r="C28" s="49"/>
      <c r="D28" s="47"/>
      <c r="E28" s="50"/>
      <c r="F28" s="50"/>
      <c r="G28" s="17" t="str">
        <f t="shared" si="1"/>
        <v/>
      </c>
      <c r="H28" s="13">
        <v>0.5</v>
      </c>
      <c r="I28" s="12" t="str">
        <f t="shared" si="2"/>
        <v/>
      </c>
      <c r="J28" s="57" t="str">
        <f t="shared" si="0"/>
        <v/>
      </c>
      <c r="K28" s="58" t="str">
        <f t="shared" si="3"/>
        <v/>
      </c>
      <c r="L28" s="14" t="str">
        <f t="shared" si="4"/>
        <v/>
      </c>
      <c r="M28" s="14" t="str">
        <f t="shared" si="5"/>
        <v/>
      </c>
      <c r="N28" s="15" t="str">
        <f t="shared" si="6"/>
        <v/>
      </c>
      <c r="O28" s="15" t="str">
        <f t="shared" si="7"/>
        <v/>
      </c>
      <c r="P28" s="16" t="str">
        <f t="shared" si="8"/>
        <v/>
      </c>
      <c r="Q28" s="16" t="str">
        <f t="shared" si="9"/>
        <v/>
      </c>
    </row>
    <row r="29" spans="1:17" x14ac:dyDescent="0.15">
      <c r="A29" s="10" t="s">
        <v>1527</v>
      </c>
      <c r="B29" s="43"/>
      <c r="C29" s="49"/>
      <c r="D29" s="47"/>
      <c r="E29" s="50"/>
      <c r="F29" s="50"/>
      <c r="G29" s="17" t="str">
        <f t="shared" si="1"/>
        <v/>
      </c>
      <c r="H29" s="13">
        <v>0.5</v>
      </c>
      <c r="I29" s="12" t="str">
        <f t="shared" si="2"/>
        <v/>
      </c>
      <c r="J29" s="57" t="str">
        <f t="shared" si="0"/>
        <v/>
      </c>
      <c r="K29" s="58" t="str">
        <f t="shared" si="3"/>
        <v/>
      </c>
      <c r="L29" s="14" t="str">
        <f t="shared" si="4"/>
        <v/>
      </c>
      <c r="M29" s="14" t="str">
        <f t="shared" si="5"/>
        <v/>
      </c>
      <c r="N29" s="15" t="str">
        <f t="shared" si="6"/>
        <v/>
      </c>
      <c r="O29" s="15" t="str">
        <f t="shared" si="7"/>
        <v/>
      </c>
      <c r="P29" s="16" t="str">
        <f t="shared" si="8"/>
        <v/>
      </c>
      <c r="Q29" s="16" t="str">
        <f t="shared" si="9"/>
        <v/>
      </c>
    </row>
    <row r="30" spans="1:17" x14ac:dyDescent="0.15">
      <c r="A30" s="10" t="s">
        <v>1527</v>
      </c>
      <c r="B30" s="43"/>
      <c r="C30" s="49"/>
      <c r="D30" s="47"/>
      <c r="E30" s="50"/>
      <c r="F30" s="50"/>
      <c r="G30" s="17" t="str">
        <f t="shared" si="1"/>
        <v/>
      </c>
      <c r="H30" s="13">
        <v>0.5</v>
      </c>
      <c r="I30" s="12" t="str">
        <f t="shared" si="2"/>
        <v/>
      </c>
      <c r="J30" s="57" t="str">
        <f t="shared" si="0"/>
        <v/>
      </c>
      <c r="K30" s="58" t="str">
        <f t="shared" si="3"/>
        <v/>
      </c>
      <c r="L30" s="14" t="str">
        <f t="shared" si="4"/>
        <v/>
      </c>
      <c r="M30" s="14" t="str">
        <f t="shared" si="5"/>
        <v/>
      </c>
      <c r="N30" s="15" t="str">
        <f t="shared" si="6"/>
        <v/>
      </c>
      <c r="O30" s="15" t="str">
        <f t="shared" si="7"/>
        <v/>
      </c>
      <c r="P30" s="16" t="str">
        <f t="shared" si="8"/>
        <v/>
      </c>
      <c r="Q30" s="16" t="str">
        <f t="shared" si="9"/>
        <v/>
      </c>
    </row>
  </sheetData>
  <conditionalFormatting sqref="A2:A30 H2:H30">
    <cfRule type="cellIs" dxfId="14" priority="8" stopIfTrue="1" operator="equal">
      <formula>0.25</formula>
    </cfRule>
    <cfRule type="cellIs" dxfId="13" priority="9" operator="equal">
      <formula>0.5</formula>
    </cfRule>
    <cfRule type="cellIs" dxfId="12" priority="10" stopIfTrue="1" operator="equal">
      <formula>0.75</formula>
    </cfRule>
    <cfRule type="cellIs" dxfId="11" priority="11" operator="equal">
      <formula>1</formula>
    </cfRule>
  </conditionalFormatting>
  <conditionalFormatting sqref="A2:A30">
    <cfRule type="cellIs" dxfId="10" priority="1" operator="equal">
      <formula>"BSE"</formula>
    </cfRule>
  </conditionalFormatting>
  <conditionalFormatting sqref="G2:G30">
    <cfRule type="cellIs" dxfId="9" priority="12" operator="lessThanOrEqual">
      <formula>-0.1</formula>
    </cfRule>
    <cfRule type="cellIs" dxfId="8" priority="13" stopIfTrue="1" operator="between">
      <formula>-0.07</formula>
      <formula>-0.1</formula>
    </cfRule>
    <cfRule type="cellIs" dxfId="7" priority="14" operator="between">
      <formula>-0.05</formula>
      <formula>-0.07</formula>
    </cfRule>
    <cfRule type="cellIs" dxfId="6" priority="15" stopIfTrue="1" operator="between">
      <formula>0</formula>
      <formula>-0.05</formula>
    </cfRule>
  </conditionalFormatting>
  <conditionalFormatting sqref="I2:I30">
    <cfRule type="expression" dxfId="5" priority="4">
      <formula>AND(I2&lt;&gt;"", I2&gt;=0.15)</formula>
    </cfRule>
    <cfRule type="expression" dxfId="4" priority="5" stopIfTrue="1">
      <formula>AND(I2&lt;&gt;"", I2&gt;=0.1)</formula>
    </cfRule>
    <cfRule type="expression" dxfId="3" priority="6" stopIfTrue="1">
      <formula>AND(I2&lt;&gt;"", I2&gt;=0.07)</formula>
    </cfRule>
    <cfRule type="expression" dxfId="2" priority="7">
      <formula>AND(I2&lt;&gt;"", I2&lt;=0.07)</formula>
    </cfRule>
  </conditionalFormatting>
  <conditionalFormatting sqref="J2:K30">
    <cfRule type="expression" dxfId="1" priority="2" stopIfTrue="1">
      <formula>AND(J2&lt;&gt;"", J2&gt;=0)</formula>
    </cfRule>
    <cfRule type="expression" dxfId="0" priority="3">
      <formula>J2&lt;0</formula>
    </cfRule>
  </conditionalFormatting>
  <dataValidations count="2">
    <dataValidation type="list" allowBlank="1" showErrorMessage="1" sqref="A2:A30" xr:uid="{414A0185-CC9A-3242-B3C5-924C40E8C4C3}">
      <formula1>"NSE,BSE"</formula1>
    </dataValidation>
    <dataValidation type="list" allowBlank="1" showErrorMessage="1" sqref="H2:H30" xr:uid="{771C4412-2320-DC4D-A913-D825F50966BF}">
      <formula1>"0.25,0.50,0.75,1.00"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2BBAFD-8955-9745-9C3F-21E7EF6A175A}">
          <x14:formula1>
            <xm:f>STOCKS!$A$2:$A$3000</xm:f>
          </x14:formula1>
          <xm:sqref>B2:B30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STOCKS</vt:lpstr>
      <vt:lpstr>STOCKS_OLD</vt:lpstr>
      <vt:lpstr>GTT</vt:lpstr>
      <vt:lpstr>OCO</vt:lpstr>
      <vt:lpstr>ALERT</vt:lpstr>
      <vt:lpstr>OCO_kummi</vt:lpstr>
      <vt:lpstr>LEDGER_ENTRY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Anand Ganesh</cp:lastModifiedBy>
  <dcterms:modified xsi:type="dcterms:W3CDTF">2025-10-09T08:51:36Z</dcterms:modified>
</cp:coreProperties>
</file>